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tables/table2.xml" ContentType="application/vnd.openxmlformats-officedocument.spreadsheetml.table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tables/table4.xml" ContentType="application/vnd.openxmlformats-officedocument.spreadsheetml.table+xml"/>
  <Override PartName="/xl/worksheets/sheet18.xml" ContentType="application/vnd.openxmlformats-officedocument.spreadsheetml.worksheet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tables/table6.xml" ContentType="application/vnd.openxmlformats-officedocument.spreadsheetml.table+xml"/>
  <Override PartName="/xl/worksheets/sheet20.xml" ContentType="application/vnd.openxmlformats-officedocument.spreadsheetml.worksheet+xml"/>
  <Override PartName="/xl/tables/table7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dea557200c46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ny_Profile" sheetId="2" r:id="R87c45fe7be5f4d07"/>
    <x:sheet xmlns:r="http://schemas.openxmlformats.org/officeDocument/2006/relationships" name="Fund_Master" sheetId="3" r:id="R48d2ab6912f74ed2"/>
    <x:sheet xmlns:r="http://schemas.openxmlformats.org/officeDocument/2006/relationships" name="AUM" sheetId="4" r:id="R921b7879d3bf4a1e"/>
    <x:sheet xmlns:r="http://schemas.openxmlformats.org/officeDocument/2006/relationships" name="Fund_Flows" sheetId="5" r:id="R5864c6545877465a"/>
    <x:sheet xmlns:r="http://schemas.openxmlformats.org/officeDocument/2006/relationships" name="NAV_History" sheetId="6" r:id="Reb3e095a5a494fa5"/>
    <x:sheet xmlns:r="http://schemas.openxmlformats.org/officeDocument/2006/relationships" name="Portfolio" sheetId="7" r:id="R48406867bd854fff"/>
    <x:sheet xmlns:r="http://schemas.openxmlformats.org/officeDocument/2006/relationships" name="Financials" sheetId="8" r:id="R7bf4622511534ffb"/>
    <x:sheet xmlns:r="http://schemas.openxmlformats.org/officeDocument/2006/relationships" name="Shareholders" sheetId="9" r:id="Ra6fe3fed500741c3"/>
    <x:sheet xmlns:r="http://schemas.openxmlformats.org/officeDocument/2006/relationships" name="Board_Events" sheetId="10" r:id="R65b72c768ddc4a88"/>
    <x:sheet xmlns:r="http://schemas.openxmlformats.org/officeDocument/2006/relationships" name="Competitors" sheetId="12" r:id="R10b517888e914c46"/>
    <x:sheet xmlns:r="http://schemas.openxmlformats.org/officeDocument/2006/relationships" name="Risk_Indicators" sheetId="13" r:id="Rc1d3fe524e604a44"/>
    <x:sheet xmlns:r="http://schemas.openxmlformats.org/officeDocument/2006/relationships" name="Scenarios" sheetId="14" r:id="Rdb959d20806d4415"/>
    <x:sheet xmlns:r="http://schemas.openxmlformats.org/officeDocument/2006/relationships" name="Advisory_Rules" sheetId="15" r:id="Re55b8dfa12a84b1d"/>
    <x:sheet xmlns:r="http://schemas.openxmlformats.org/officeDocument/2006/relationships" name="Market_Config" sheetId="18" r:id="R2d9bdf4a48eb4f2d"/>
    <x:sheet xmlns:r="http://schemas.openxmlformats.org/officeDocument/2006/relationships" name="Attribution_Input" sheetId="19" r:id="R3958d66e16e24e91"/>
    <x:sheet xmlns:r="http://schemas.openxmlformats.org/officeDocument/2006/relationships" name="Checks" sheetId="23" r:id="R2f5051650bc54858"/>
    <x:sheet xmlns:r="http://schemas.openxmlformats.org/officeDocument/2006/relationships" name="Benchmark_History" sheetId="25" r:id="R5b0a46144a0c4933"/>
    <x:sheet xmlns:r="http://schemas.openxmlformats.org/officeDocument/2006/relationships" name="Data_Quality" sheetId="26" r:id="R7eb012f7b20647ee"/>
    <x:sheet xmlns:r="http://schemas.openxmlformats.org/officeDocument/2006/relationships" name="Financial_Drivers" sheetId="27" r:id="R4e24fb4c607c4628"/>
    <x:sheet xmlns:r="http://schemas.openxmlformats.org/officeDocument/2006/relationships" name="Action_Tracker" sheetId="29" r:id="Re27a33e8f8b74bde"/>
    <x:sheet xmlns:r="http://schemas.openxmlformats.org/officeDocument/2006/relationships" name="Product_Profitability" sheetId="31" r:id="Rd50a925cc80b462d"/>
    <x:sheet xmlns:r="http://schemas.openxmlformats.org/officeDocument/2006/relationships" name="Distribution_Channels" sheetId="32" r:id="R958c07ce72c94509"/>
    <x:sheet xmlns:r="http://schemas.openxmlformats.org/officeDocument/2006/relationships" name="Investor_Behaviour" sheetId="33" r:id="Rd8759b7644fb445a"/>
    <x:sheet xmlns:r="http://schemas.openxmlformats.org/officeDocument/2006/relationships" name="Regulatory_Compliance" sheetId="34" r:id="Rdb2a881657a14551"/>
    <x:sheet xmlns:r="http://schemas.openxmlformats.org/officeDocument/2006/relationships" name="Product_Strategy" sheetId="35" r:id="R857bfe85a2cb47b6"/>
    <x:sheet xmlns:r="http://schemas.openxmlformats.org/officeDocument/2006/relationships" name="Business_Plan_KPI" sheetId="36" r:id="R90d4b540e96440ea"/>
    <x:sheet xmlns:r="http://schemas.openxmlformats.org/officeDocument/2006/relationships" name="Decision_Tracker" sheetId="38" r:id="Rb598d27fd8b9490c"/>
    <x:sheet xmlns:r="http://schemas.openxmlformats.org/officeDocument/2006/relationships" name="Macro_Indicators" sheetId="39" r:id="Rffc3e27b69744f13"/>
    <x:sheet xmlns:r="http://schemas.openxmlformats.org/officeDocument/2006/relationships" name="Operating_KPI" sheetId="40" r:id="R2ea4a5c22b66437a"/>
    <x:sheet xmlns:r="http://schemas.openxmlformats.org/officeDocument/2006/relationships" name="Read_Me" sheetId="41" r:id="R469e32b33e314696"/>
    <x:sheet xmlns:r="http://schemas.openxmlformats.org/officeDocument/2006/relationships" name="Assumptions" sheetId="42" r:id="R9fee6f9d7b3148df"/>
    <x:sheet xmlns:r="http://schemas.openxmlformats.org/officeDocument/2006/relationships" name="News_Events" sheetId="43" r:id="R43be0a3571d84708"/>
    <x:sheet xmlns:r="http://schemas.openxmlformats.org/officeDocument/2006/relationships" name="Sources" sheetId="44" r:id="Ref43d1e2cf644326"/>
    <x:sheet xmlns:r="http://schemas.openxmlformats.org/officeDocument/2006/relationships" name="Change_Log" sheetId="45" r:id="R98ae58cde19346c9"/>
    <x:sheet xmlns:r="http://schemas.openxmlformats.org/officeDocument/2006/relationships" name="Scenario_Assumptions" sheetId="55" r:id="Rc7c42184bd98471f"/>
    <x:sheet xmlns:r="http://schemas.openxmlformats.org/officeDocument/2006/relationships" name="Financial_Impact_Model" sheetId="56" r:id="R9ffea855e5ff4bf9"/>
    <x:sheet xmlns:r="http://schemas.openxmlformats.org/officeDocument/2006/relationships" name="Scenario_Checks" sheetId="57" r:id="R49d229a2d7524362"/>
    <x:sheet xmlns:r="http://schemas.openxmlformats.org/officeDocument/2006/relationships" name="Three_Statement_Map" sheetId="58" r:id="Ra5df6ed247c64324"/>
    <x:sheet xmlns:r="http://schemas.openxmlformats.org/officeDocument/2006/relationships" name="Macro_History" sheetId="59" r:id="R6942d40756694e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#,##0;[Red](#,##0);-"/>
    <x:numFmt numFmtId="201" formatCode="0.0%"/>
    <x:numFmt numFmtId="202" formatCode="0.00%"/>
    <x:numFmt numFmtId="203" formatCode="0.0"/>
    <x:numFmt numFmtId="204" formatCode="0.00"/>
    <x:numFmt numFmtId="205" formatCode="#,##0.00"/>
    <x:numFmt numFmtId="206" formatCode="yyyy-mm-dd"/>
    <x:numFmt numFmtId="207" formatCode="#,##0.0;[Red](#,##0.0);-"/>
    <x:numFmt numFmtId="208" formatCode="0%"/>
    <x:numFmt numFmtId="209" formatCode="#,##0.0"/>
  </x:numFmts>
  <x:fonts count="17">
    <x:font>
      <x:sz val="11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b/>
      <x:sz val="16"/>
      <x:color rgb="FFFFFFFF"/>
      <x:name val="Carlito"/>
    </x:font>
    <x:font>
      <x:b/>
      <x:sz val="11"/>
      <x:color rgb="FF0B1F33"/>
      <x:name val="Carlito"/>
    </x:font>
    <x:font>
      <x:b/>
      <x:sz val="11"/>
      <x:color rgb="FF1F6E8C"/>
      <x:name val="Carlito"/>
    </x:font>
    <x:font>
      <x:b/>
      <x:sz val="10"/>
      <x:color rgb="FF111827"/>
      <x:name val="Aptos"/>
    </x:font>
    <x:font>
      <x:sz val="10"/>
      <x:color rgb="FF111827"/>
      <x:name val="Aptos"/>
    </x:font>
    <x:font>
      <x:b/>
      <x:sz val="10"/>
      <x:color rgb="FFFFFFFF"/>
      <x:name val="Aptos Display"/>
    </x:font>
    <x:font>
      <x:b/>
      <x:sz val="10"/>
      <x:color rgb="FFFFFFFF"/>
      <x:name val="Aptos"/>
    </x:font>
    <x:font>
      <x:sz val="10"/>
      <x:color rgb="FF0000FF"/>
      <x:name val="Aptos"/>
    </x:font>
    <x:font>
      <x:i/>
      <x:sz val="9"/>
      <x:color rgb="FF44546A"/>
      <x:name val="Carlito"/>
    </x:font>
    <x:font>
      <x:b/>
      <x:sz val="14"/>
      <x:color rgb="FFFFFFFF"/>
      <x:name val="Carlito"/>
    </x:font>
    <x:font>
      <x:i/>
      <x:sz val="9"/>
      <x:color rgb="FF334155"/>
      <x:name val="Carlito"/>
    </x:font>
    <x:font>
      <x:i/>
      <x:sz val="11"/>
      <x:color rgb="FF334155"/>
      <x:name val="Carlito"/>
    </x:font>
    <x:font>
      <x:b/>
      <x:sz val="11"/>
      <x:color rgb="FF1F4E78"/>
      <x:name val="Carlito"/>
    </x:font>
    <x:font>
      <x:sz val="11"/>
      <x:color rgb="FF0070C0"/>
      <x:name val="Carlito"/>
    </x:font>
  </x:fonts>
  <x:fills count="53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A5E"/>
      </x:patternFill>
    </x:fill>
    <x:fill>
      <x:patternFill patternType="solid">
        <x:fgColor rgb="FF0B1628"/>
      </x:patternFill>
    </x:fill>
    <x:fill>
      <x:patternFill patternType="solid">
        <x:fgColor rgb="FF1F6FEB"/>
      </x:patternFill>
    </x:fill>
    <x:fill>
      <x:patternFill patternType="solid">
        <x:fgColor rgb="FF1F6FEB"/>
      </x:patternFill>
    </x:fill>
    <x:fill>
      <x:patternFill patternType="solid">
        <x:fgColor rgb="FF081426"/>
      </x:patternFill>
    </x:fill>
    <x:fill>
      <x:patternFill patternType="solid">
        <x:fgColor rgb="FF081426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FFF2CC"/>
      </x:patternFill>
    </x:fill>
    <x:fill>
      <x:patternFill patternType="solid">
        <x:fgColor rgb="FF081426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081426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2F80ED"/>
      </x:patternFill>
    </x:fill>
    <x:fill>
      <x:patternFill patternType="solid">
        <x:fgColor rgb="FF081426"/>
      </x:patternFill>
    </x:fill>
    <x:fill>
      <x:patternFill patternType="solid">
        <x:fgColor rgb="FFE8EEF7"/>
      </x:patternFill>
    </x:fill>
    <x:fill>
      <x:patternFill patternType="solid">
        <x:fgColor rgb="FFDCEBFA"/>
      </x:patternFill>
    </x:fill>
    <x:fill>
      <x:patternFill patternType="solid">
        <x:fgColor rgb="FFF8FAFC"/>
      </x:patternFill>
    </x:fill>
    <x:fill>
      <x:patternFill patternType="solid">
        <x:fgColor rgb="FF2F80ED"/>
      </x:patternFill>
    </x:fill>
    <x:fill>
      <x:patternFill patternType="solid">
        <x:fgColor rgb="FF081426"/>
      </x:patternFill>
    </x:fill>
    <x:fill>
      <x:patternFill patternType="solid">
        <x:fgColor rgb="FFE8EEF7"/>
      </x:patternFill>
    </x:fill>
    <x:fill>
      <x:patternFill patternType="solid">
        <x:fgColor rgb="FFDCEBFA"/>
      </x:patternFill>
    </x:fill>
    <x:fill>
      <x:patternFill patternType="solid">
        <x:fgColor rgb="FFF8FAFC"/>
      </x:patternFill>
    </x:fill>
    <x:fill>
      <x:patternFill patternType="solid">
        <x:fgColor rgb="FF2F80ED"/>
      </x:patternFill>
    </x:fill>
    <x:fill>
      <x:patternFill patternType="solid">
        <x:fgColor rgb="FF081426"/>
      </x:patternFill>
    </x:fill>
    <x:fill>
      <x:patternFill patternType="solid">
        <x:fgColor rgb="FFE8EEF7"/>
      </x:patternFill>
    </x:fill>
    <x:fill>
      <x:patternFill patternType="solid">
        <x:fgColor rgb="FFDCEBFA"/>
      </x:patternFill>
    </x:fill>
    <x:fill>
      <x:patternFill patternType="solid">
        <x:fgColor rgb="FFF8FAFC"/>
      </x:patternFill>
    </x:fill>
    <x:fill>
      <x:patternFill patternType="solid">
        <x:fgColor rgb="FF2F80ED"/>
      </x:patternFill>
    </x:fill>
    <x:fill>
      <x:patternFill patternType="solid">
        <x:fgColor rgb="FF081426"/>
      </x:patternFill>
    </x:fill>
    <x:fill>
      <x:patternFill patternType="solid">
        <x:fgColor rgb="FFE8EEF7"/>
      </x:patternFill>
    </x:fill>
    <x:fill>
      <x:patternFill patternType="solid">
        <x:fgColor rgb="FFDCEBFA"/>
      </x:patternFill>
    </x:fill>
    <x:fill>
      <x:patternFill patternType="solid">
        <x:fgColor rgb="FFF8FAFC"/>
      </x:patternFill>
    </x:fill>
    <x:fill>
      <x:patternFill patternType="solid">
        <x:fgColor rgb="FFD6E6F7"/>
      </x:patternFill>
    </x:fill>
    <x:fill>
      <x:patternFill patternType="solid">
        <x:fgColor rgb="FF081426"/>
      </x:patternFill>
    </x:fill>
    <x:fill>
      <x:patternFill patternType="solid">
        <x:fgColor rgb="FFE8EEF7"/>
      </x:patternFill>
    </x:fill>
    <x:fill>
      <x:patternFill patternType="solid">
        <x:fgColor rgb="FF2F80ED"/>
      </x:patternFill>
    </x:fill>
    <x:fill>
      <x:patternFill patternType="solid">
        <x:fgColor rgb="FFD6E6F7"/>
      </x:patternFill>
    </x:fill>
    <x:fill>
      <x:patternFill patternType="solid">
        <x:fgColor rgb="FF081426"/>
      </x:patternFill>
    </x:fill>
    <x:fill>
      <x:patternFill patternType="solid">
        <x:fgColor rgb="FFE8EEF7"/>
      </x:patternFill>
    </x:fill>
    <x:fill>
      <x:patternFill patternType="solid">
        <x:fgColor rgb="FF2F80ED"/>
      </x:patternFill>
    </x:fill>
    <x:fill>
      <x:patternFill patternType="solid">
        <x:fgColor rgb="FF081426"/>
      </x:patternFill>
    </x:fill>
    <x:fill>
      <x:patternFill patternType="solid">
        <x:fgColor rgb="FFE8EEF7"/>
      </x:patternFill>
    </x:fill>
    <x:fill>
      <x:patternFill patternType="solid">
        <x:fgColor rgb="FF2F80ED"/>
      </x:patternFill>
    </x:fill>
    <x:fill>
      <x:patternFill patternType="solid">
        <x:fgColor rgb="FFD6E6F7"/>
      </x:patternFill>
    </x:fill>
    <x:fill>
      <x:patternFill patternType="solid">
        <x:fgColor rgb="FFFFF2CC"/>
      </x:patternFill>
    </x:fill>
  </x:fills>
  <x:borders count="23">
    <x:border/>
    <x:border/>
    <x:border>
      <x:left style="medium">
        <x:color rgb="FF0B1628"/>
      </x:left>
      <x:top style="medium">
        <x:color rgb="FF0B1628"/>
      </x:top>
      <x:bottom style="medium">
        <x:color rgb="FF0B1628"/>
      </x:bottom>
    </x:border>
    <x:border>
      <x:right style="medium">
        <x:color rgb="FF0B1628"/>
      </x:right>
      <x:top style="medium">
        <x:color rgb="FF0B1628"/>
      </x:top>
      <x:bottom style="medium">
        <x:color rgb="FF0B1628"/>
      </x:bottom>
    </x:border>
    <x:border>
      <x:top style="medium">
        <x:color rgb="FF0B1628"/>
      </x:top>
      <x:bottom style="medium">
        <x:color rgb="FF0B1628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right style="thin">
        <x:color rgb="FFD9E2F0"/>
      </x:right>
      <x:bottom style="thin">
        <x:color rgb="FFD9E2F0"/>
      </x:bottom>
    </x:border>
    <x:border>
      <x:left style="thin">
        <x:color rgb="FFD9E2F0"/>
      </x:left>
      <x:right style="thin">
        <x:color rgb="FFD9E2F0"/>
      </x:right>
      <x:bottom style="thin">
        <x:color rgb="FFD9E2F0"/>
      </x:bottom>
    </x:border>
    <x:border>
      <x:left style="thin">
        <x:color rgb="FFD9E2F0"/>
      </x:left>
      <x:bottom style="thin">
        <x:color rgb="FFD9E2F0"/>
      </x:bottom>
    </x:border>
    <x:border>
      <x:right style="thin">
        <x:color rgb="FFD9E2F0"/>
      </x:right>
      <x:top style="thin">
        <x:color rgb="FFD9E2F0"/>
      </x:top>
      <x:bottom style="thin">
        <x:color rgb="FFD9E2F0"/>
      </x:bottom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 style="thin">
        <x:color rgb="FFD9E2F0"/>
      </x:bottom>
    </x:border>
    <x:border>
      <x:left style="thin">
        <x:color rgb="FFD9E2F0"/>
      </x:left>
      <x:top style="thin">
        <x:color rgb="FFD9E2F0"/>
      </x:top>
      <x:bottom style="thin">
        <x:color rgb="FFD9E2F0"/>
      </x:bottom>
    </x:border>
    <x:border>
      <x:right style="thin">
        <x:color rgb="FFD9E2F0"/>
      </x:right>
      <x:top style="thin">
        <x:color rgb="FFD9E2F0"/>
      </x:top>
    </x:border>
    <x:border>
      <x:left style="thin">
        <x:color rgb="FFD9E2F0"/>
      </x:left>
      <x:right style="thin">
        <x:color rgb="FFD9E2F0"/>
      </x:right>
      <x:top style="thin">
        <x:color rgb="FFD9E2F0"/>
      </x:top>
    </x:border>
    <x:border>
      <x:left style="thin">
        <x:color rgb="FFD9E2F0"/>
      </x:left>
      <x:top style="thin">
        <x:color rgb="FFD9E2F0"/>
      </x:top>
    </x:border>
  </x:borders>
  <x:cellStyleXfs count="1">
    <x:xf numFmtId="0" fontId="0" fillId="0" borderId="0"/>
  </x:cellStyleXfs>
  <x:cellXfs count="4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0"/>
    </x:xf>
    <x:xf numFmtId="0" fontId="0" fillId="0" borderId="0" xfId="0" applyNumberFormat="1" applyFont="1" applyFill="1" applyBorder="1" applyAlignment="1">
      <x:alignment wrapText="0"/>
    </x:xf>
    <x:xf numFmtId="0" fontId="1" fillId="2" borderId="1" xfId="0" applyNumberFormat="1" applyFont="1" applyFill="1" applyBorder="1" applyAlignment="1">
      <x:alignment horizontal="center" vertical="center" wrapText="0"/>
    </x:xf>
    <x:xf numFmtId="0" fontId="0" fillId="0" borderId="1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200" fontId="0" fillId="0" borderId="1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0" fontId="2" fillId="0" borderId="1" xfId="0" applyNumberFormat="1" applyFont="1" applyFill="1" applyBorder="1" applyAlignment="1">
      <x:alignment wrapText="0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5" fillId="0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6" fillId="0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 vertical="center"/>
    </x:xf>
    <x:xf numFmtId="0" fontId="8" fillId="6" borderId="0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0" fontId="8" fillId="6" borderId="3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8" fillId="6" borderId="3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/>
    <x:xf numFmtId="0" fontId="9" fillId="7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 applyAlignment="1">
      <x:alignment horizontal="center" vertical="center" wrapText="1"/>
    </x:xf>
    <x:xf numFmtId="0" fontId="8" fillId="6" borderId="4" xfId="0" applyNumberFormat="1" applyFont="1" applyFill="1" applyBorder="1" applyAlignment="1">
      <x:alignment horizontal="center" vertical="center" wrapText="1"/>
    </x:xf>
    <x:xf numFmtId="0" fontId="7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4" xfId="0" applyNumberFormat="1" applyFont="1" applyFill="1" applyBorder="1"/>
    <x:xf numFmtId="0" fontId="8" fillId="6" borderId="3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4" xfId="0" applyNumberFormat="1" applyFont="1" applyFill="1" applyBorder="1" applyAlignment="1">
      <x:alignment wrapText="1"/>
    </x:xf>
    <x:xf numFmtId="0" fontId="8" fillId="6" borderId="3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horizontal="center" wrapText="1"/>
    </x:xf>
    <x:xf numFmtId="0" fontId="8" fillId="6" borderId="4" xfId="0" applyNumberFormat="1" applyFont="1" applyFill="1" applyBorder="1" applyAlignment="1">
      <x:alignment horizontal="center" wrapText="1"/>
    </x:xf>
    <x:xf numFmtId="0" fontId="8" fillId="6" borderId="3" xfId="0" applyNumberFormat="1" applyFont="1" applyFill="1" applyBorder="1" applyAlignment="1">
      <x:alignment horizontal="center" wrapText="1"/>
    </x:xf>
    <x:xf numFmtId="0" fontId="10" fillId="0" borderId="0" xfId="0" applyNumberFormat="1" applyFont="1" applyFill="1" applyBorder="1"/>
    <x:xf numFmtId="201" fontId="10" fillId="0" borderId="0" xfId="0" applyNumberFormat="1" applyFont="1" applyFill="1" applyBorder="1"/>
    <x:xf numFmtId="202" fontId="7" fillId="0" borderId="0" xfId="0" applyNumberFormat="1" applyFont="1" applyFill="1" applyBorder="1"/>
    <x:xf numFmtId="203" fontId="7" fillId="0" borderId="0" xfId="0" applyNumberFormat="1" applyFont="1" applyFill="1" applyBorder="1"/>
    <x:xf numFmtId="201" fontId="7" fillId="0" borderId="0" xfId="0" applyNumberFormat="1" applyFont="1" applyFill="1" applyBorder="1"/>
    <x:xf numFmtId="204" fontId="7" fillId="0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 vertical="center" wrapText="0"/>
    </x:xf>
    <x:xf numFmtId="0" fontId="7" fillId="0" borderId="0" xfId="0" applyNumberFormat="1" applyFont="1" applyFill="1" applyBorder="1" applyAlignment="1">
      <x:alignment wrapText="0"/>
    </x:xf>
    <x:xf numFmtId="0" fontId="6" fillId="6" borderId="0" xfId="0" applyNumberFormat="1" applyFont="1" applyFill="1" applyBorder="1" applyAlignment="1">
      <x:alignment horizontal="center" vertical="center" wrapText="0"/>
    </x:xf>
    <x:xf numFmtId="0" fontId="7" fillId="6" borderId="0" xfId="0" applyNumberFormat="1" applyFont="1" applyFill="1" applyBorder="1" applyAlignment="1">
      <x:alignment wrapText="0"/>
    </x:xf>
    <x:xf numFmtId="0" fontId="9" fillId="6" borderId="0" xfId="0" applyNumberFormat="1" applyFont="1" applyFill="1" applyBorder="1" applyAlignment="1">
      <x:alignment horizontal="center" vertical="center" wrapText="0"/>
    </x:xf>
    <x:xf numFmtId="0" fontId="9" fillId="6" borderId="0" xfId="0" applyNumberFormat="1" applyFont="1" applyFill="1" applyBorder="1" applyAlignment="1">
      <x:alignment wrapText="0"/>
    </x:xf>
    <x:xf numFmtId="0" fontId="9" fillId="6" borderId="0" xfId="0" applyNumberFormat="1" applyFont="1" applyFill="1" applyBorder="1" applyAlignment="1">
      <x:alignment horizontal="center" vertical="center" wrapText="1"/>
    </x:xf>
    <x:xf numFmtId="0" fontId="9" fillId="6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horizontal="center" wrapText="1"/>
    </x:xf>
    <x:xf numFmtId="200" fontId="7" fillId="0" borderId="0" xfId="0" applyNumberFormat="1" applyFont="1" applyFill="1" applyBorder="1" applyAlignment="1">
      <x:alignment wrapText="0"/>
    </x:xf>
    <x:xf numFmtId="0" fontId="7" fillId="3" borderId="0" xfId="0" applyNumberFormat="1" applyFont="1" applyFill="1" applyBorder="1"/>
    <x:xf numFmtId="202" fontId="7" fillId="0" borderId="0" xfId="0" applyNumberFormat="1" applyFont="1" applyFill="1" applyBorder="1" applyAlignment="1">
      <x:alignment wrapText="0"/>
    </x:xf>
    <x:xf numFmtId="202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6" fillId="6" borderId="4" xfId="0" applyNumberFormat="1" applyFont="1" applyFill="1" applyBorder="1" applyAlignment="1">
      <x:alignment horizontal="center" vertical="center" wrapText="1"/>
    </x:xf>
    <x:xf numFmtId="0" fontId="6" fillId="6" borderId="3" xfId="0" applyNumberFormat="1" applyFont="1" applyFill="1" applyBorder="1" applyAlignment="1">
      <x:alignment horizontal="center" vertical="center" wrapText="1"/>
    </x:xf>
    <x:xf numFmtId="0" fontId="6" fillId="9" borderId="2" xfId="0" applyNumberFormat="1" applyFont="1" applyFill="1" applyBorder="1" applyAlignment="1">
      <x:alignment horizontal="center" vertical="center" wrapText="1"/>
    </x:xf>
    <x:xf numFmtId="0" fontId="6" fillId="9" borderId="4" xfId="0" applyNumberFormat="1" applyFont="1" applyFill="1" applyBorder="1" applyAlignment="1">
      <x:alignment horizontal="center" vertical="center" wrapText="1"/>
    </x:xf>
    <x:xf numFmtId="0" fontId="6" fillId="9" borderId="3" xfId="0" applyNumberFormat="1" applyFont="1" applyFill="1" applyBorder="1" applyAlignment="1">
      <x:alignment horizontal="center" vertical="center" wrapText="1"/>
    </x:xf>
    <x:xf numFmtId="0" fontId="8" fillId="9" borderId="2" xfId="0" applyNumberFormat="1" applyFont="1" applyFill="1" applyBorder="1" applyAlignment="1">
      <x:alignment horizontal="center" vertical="center" wrapText="1"/>
    </x:xf>
    <x:xf numFmtId="0" fontId="8" fillId="9" borderId="4" xfId="0" applyNumberFormat="1" applyFont="1" applyFill="1" applyBorder="1" applyAlignment="1">
      <x:alignment horizontal="center" vertical="center" wrapText="1"/>
    </x:xf>
    <x:xf numFmtId="0" fontId="8" fillId="9" borderId="3" xfId="0" applyNumberFormat="1" applyFont="1" applyFill="1" applyBorder="1" applyAlignment="1">
      <x:alignment horizontal="center" vertical="center" wrapText="1"/>
    </x:xf>
    <x:xf numFmtId="0" fontId="7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horizontal="center" wrapText="1"/>
    </x:xf>
    <x:xf numFmtId="0" fontId="8" fillId="9" borderId="0" xfId="0" applyNumberFormat="1" applyFont="1" applyFill="1" applyBorder="1" applyAlignment="1">
      <x:alignment horizontal="center" vertical="center" wrapText="1"/>
    </x:xf>
    <x:xf numFmtId="205" fontId="7" fillId="0" borderId="0" xfId="0" applyNumberFormat="1" applyFont="1" applyFill="1" applyBorder="1"/>
    <x:xf numFmtId="206" fontId="7" fillId="0" borderId="0" xfId="0" applyNumberFormat="1" applyFont="1" applyFill="1" applyBorder="1"/>
    <x:xf numFmtId="202" fontId="10" fillId="0" borderId="0" xfId="0" applyNumberFormat="1" applyFont="1" applyFill="1" applyBorder="1"/>
    <x:xf numFmtId="207" fontId="7" fillId="0" borderId="0" xfId="0" applyNumberFormat="1" applyFont="1" applyFill="1" applyBorder="1"/>
    <x:xf numFmtId="207" fontId="10" fillId="0" borderId="0" xfId="0" applyNumberFormat="1" applyFont="1" applyFill="1" applyBorder="1"/>
    <x:xf numFmtId="208" fontId="7" fillId="0" borderId="0" xfId="0" applyNumberFormat="1" applyFont="1" applyFill="1" applyBorder="1"/>
    <x:xf numFmtId="208" fontId="10" fillId="0" borderId="0" xfId="0" applyNumberFormat="1" applyFont="1" applyFill="1" applyBorder="1"/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202" fontId="0" fillId="0" borderId="6" xfId="0" applyNumberFormat="1" applyFont="1" applyFill="1" applyBorder="1"/>
    <x:xf numFmtId="202" fontId="0" fillId="0" borderId="9" xfId="0" applyNumberFormat="1" applyFont="1" applyFill="1" applyBorder="1"/>
    <x:xf numFmtId="202" fontId="0" fillId="0" borderId="12" xfId="0" applyNumberFormat="1" applyFont="1" applyFill="1" applyBorder="1"/>
    <x:xf numFmtId="201" fontId="0" fillId="0" borderId="6" xfId="0" applyNumberFormat="1" applyFont="1" applyFill="1" applyBorder="1"/>
    <x:xf numFmtId="201" fontId="0" fillId="0" borderId="9" xfId="0" applyNumberFormat="1" applyFont="1" applyFill="1" applyBorder="1"/>
    <x:xf numFmtId="201" fontId="0" fillId="0" borderId="12" xfId="0" applyNumberFormat="1" applyFont="1" applyFill="1" applyBorder="1"/>
    <x:xf numFmtId="0" fontId="0" fillId="13" borderId="6" xfId="0" applyNumberFormat="1" applyFont="1" applyFill="1" applyBorder="1"/>
    <x:xf numFmtId="0" fontId="0" fillId="13" borderId="9" xfId="0" applyNumberFormat="1" applyFont="1" applyFill="1" applyBorder="1"/>
    <x:xf numFmtId="0" fontId="0" fillId="13" borderId="12" xfId="0" applyNumberFormat="1" applyFont="1" applyFill="1" applyBorder="1"/>
    <x:xf numFmtId="202" fontId="0" fillId="13" borderId="6" xfId="0" applyNumberFormat="1" applyFont="1" applyFill="1" applyBorder="1"/>
    <x:xf numFmtId="202" fontId="0" fillId="13" borderId="9" xfId="0" applyNumberFormat="1" applyFont="1" applyFill="1" applyBorder="1"/>
    <x:xf numFmtId="202" fontId="0" fillId="13" borderId="12" xfId="0" applyNumberFormat="1" applyFont="1" applyFill="1" applyBorder="1"/>
    <x:xf numFmtId="206" fontId="0" fillId="0" borderId="6" xfId="0" applyNumberFormat="1" applyFont="1" applyFill="1" applyBorder="1"/>
    <x:xf numFmtId="206" fontId="0" fillId="0" borderId="9" xfId="0" applyNumberFormat="1" applyFont="1" applyFill="1" applyBorder="1"/>
    <x:xf numFmtId="206" fontId="0" fillId="0" borderId="12" xfId="0" applyNumberFormat="1" applyFont="1" applyFill="1" applyBorder="1"/>
    <x:xf numFmtId="208" fontId="0" fillId="0" borderId="6" xfId="0" applyNumberFormat="1" applyFont="1" applyFill="1" applyBorder="1"/>
    <x:xf numFmtId="208" fontId="0" fillId="0" borderId="9" xfId="0" applyNumberFormat="1" applyFont="1" applyFill="1" applyBorder="1"/>
    <x:xf numFmtId="208" fontId="0" fillId="0" borderId="12" xfId="0" applyNumberFormat="1" applyFont="1" applyFill="1" applyBorder="1"/>
    <x:xf numFmtId="209" fontId="0" fillId="0" borderId="6" xfId="0" applyNumberFormat="1" applyFont="1" applyFill="1" applyBorder="1"/>
    <x:xf numFmtId="209" fontId="0" fillId="0" borderId="9" xfId="0" applyNumberFormat="1" applyFont="1" applyFill="1" applyBorder="1"/>
    <x:xf numFmtId="209" fontId="0" fillId="0" borderId="12" xfId="0" applyNumberFormat="1" applyFont="1" applyFill="1" applyBorder="1"/>
    <x:xf numFmtId="203" fontId="0" fillId="0" borderId="6" xfId="0" applyNumberFormat="1" applyFont="1" applyFill="1" applyBorder="1"/>
    <x:xf numFmtId="203" fontId="0" fillId="0" borderId="9" xfId="0" applyNumberFormat="1" applyFont="1" applyFill="1" applyBorder="1"/>
    <x:xf numFmtId="203" fontId="0" fillId="0" borderId="12" xfId="0" applyNumberFormat="1" applyFont="1" applyFill="1" applyBorder="1"/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wrapText="1"/>
    </x:xf>
    <x:xf numFmtId="206" fontId="0" fillId="0" borderId="5" xfId="0" applyNumberFormat="1" applyFont="1" applyFill="1" applyBorder="1"/>
    <x:xf numFmtId="206" fontId="0" fillId="0" borderId="8" xfId="0" applyNumberFormat="1" applyFont="1" applyFill="1" applyBorder="1"/>
    <x:xf numFmtId="206" fontId="0" fillId="0" borderId="11" xfId="0" applyNumberFormat="1" applyFont="1" applyFill="1" applyBorder="1"/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0" fillId="18" borderId="0" xfId="0" applyNumberFormat="1" applyFont="1" applyFill="1" applyBorder="1"/>
    <x:xf numFmtId="0" fontId="11" fillId="18" borderId="0" xfId="0" applyNumberFormat="1" applyFont="1" applyFill="1" applyBorder="1"/>
    <x:xf numFmtId="0" fontId="11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1" fillId="20" borderId="14" xfId="0" applyNumberFormat="1" applyFont="1" applyFill="1" applyBorder="1" applyAlignment="1">
      <x:alignment wrapText="1"/>
    </x:xf>
    <x:xf numFmtId="0" fontId="1" fillId="20" borderId="15" xfId="0" applyNumberFormat="1" applyFont="1" applyFill="1" applyBorder="1" applyAlignment="1">
      <x:alignment wrapText="1"/>
    </x:xf>
    <x:xf numFmtId="0" fontId="1" fillId="2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/>
    <x:xf numFmtId="201" fontId="0" fillId="0" borderId="18" xfId="0" applyNumberFormat="1" applyFont="1" applyFill="1" applyBorder="1"/>
    <x:xf numFmtId="0" fontId="0" fillId="0" borderId="18" xfId="0" applyNumberFormat="1" applyFont="1" applyFill="1" applyBorder="1"/>
    <x:xf numFmtId="201" fontId="0" fillId="0" borderId="19" xfId="0" applyNumberFormat="1" applyFont="1" applyFill="1" applyBorder="1"/>
    <x:xf numFmtId="0" fontId="0" fillId="0" borderId="20" xfId="0" applyNumberFormat="1" applyFont="1" applyFill="1" applyBorder="1"/>
    <x:xf numFmtId="201" fontId="0" fillId="0" borderId="21" xfId="0" applyNumberFormat="1" applyFont="1" applyFill="1" applyBorder="1"/>
    <x:xf numFmtId="0" fontId="0" fillId="0" borderId="21" xfId="0" applyNumberFormat="1" applyFont="1" applyFill="1" applyBorder="1"/>
    <x:xf numFmtId="201" fontId="0" fillId="0" borderId="22" xfId="0" applyNumberFormat="1" applyFont="1" applyFill="1" applyBorder="1"/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0" fillId="22" borderId="0" xfId="0" applyNumberFormat="1" applyFont="1" applyFill="1" applyBorder="1"/>
    <x:xf numFmtId="0" fontId="13" fillId="22" borderId="0" xfId="0" applyNumberFormat="1" applyFont="1" applyFill="1" applyBorder="1"/>
    <x:xf numFmtId="0" fontId="13" fillId="22" borderId="0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202" fontId="0" fillId="23" borderId="0" xfId="0" applyNumberFormat="1" applyFont="1" applyFill="1" applyBorder="1"/>
    <x:xf numFmtId="201" fontId="0" fillId="23" borderId="0" xfId="0" applyNumberFormat="1" applyFont="1" applyFill="1" applyBorder="1"/>
    <x:xf numFmtId="0" fontId="0" fillId="23" borderId="18" xfId="0" applyNumberFormat="1" applyFont="1" applyFill="1" applyBorder="1"/>
    <x:xf numFmtId="0" fontId="0" fillId="0" borderId="19" xfId="0" applyNumberFormat="1" applyFont="1" applyFill="1" applyBorder="1"/>
    <x:xf numFmtId="202" fontId="0" fillId="23" borderId="18" xfId="0" applyNumberFormat="1" applyFont="1" applyFill="1" applyBorder="1"/>
    <x:xf numFmtId="201" fontId="0" fillId="23" borderId="18" xfId="0" applyNumberFormat="1" applyFont="1" applyFill="1" applyBorder="1"/>
    <x:xf numFmtId="0" fontId="0" fillId="23" borderId="21" xfId="0" applyNumberFormat="1" applyFont="1" applyFill="1" applyBorder="1"/>
    <x:xf numFmtId="0" fontId="0" fillId="0" borderId="22" xfId="0" applyNumberFormat="1" applyFont="1" applyFill="1" applyBorder="1"/>
    <x:xf numFmtId="0" fontId="0" fillId="24" borderId="0" xfId="0" applyNumberFormat="1" applyFont="1" applyFill="1" applyBorder="1"/>
    <x:xf numFmtId="202" fontId="0" fillId="24" borderId="0" xfId="0" applyNumberFormat="1" applyFont="1" applyFill="1" applyBorder="1"/>
    <x:xf numFmtId="201" fontId="0" fillId="24" borderId="0" xfId="0" applyNumberFormat="1" applyFont="1" applyFill="1" applyBorder="1"/>
    <x:xf numFmtId="201" fontId="0" fillId="23" borderId="19" xfId="0" applyNumberFormat="1" applyFont="1" applyFill="1" applyBorder="1"/>
    <x:xf numFmtId="0" fontId="0" fillId="23" borderId="19" xfId="0" applyNumberFormat="1" applyFont="1" applyFill="1" applyBorder="1"/>
    <x:xf numFmtId="0" fontId="0" fillId="24" borderId="18" xfId="0" applyNumberFormat="1" applyFont="1" applyFill="1" applyBorder="1"/>
    <x:xf numFmtId="0" fontId="0" fillId="24" borderId="19" xfId="0" applyNumberFormat="1" applyFont="1" applyFill="1" applyBorder="1"/>
    <x:xf numFmtId="202" fontId="0" fillId="24" borderId="18" xfId="0" applyNumberFormat="1" applyFont="1" applyFill="1" applyBorder="1"/>
    <x:xf numFmtId="202" fontId="0" fillId="24" borderId="19" xfId="0" applyNumberFormat="1" applyFont="1" applyFill="1" applyBorder="1"/>
    <x:xf numFmtId="201" fontId="0" fillId="24" borderId="18" xfId="0" applyNumberFormat="1" applyFont="1" applyFill="1" applyBorder="1"/>
    <x:xf numFmtId="201" fontId="0" fillId="24" borderId="19" xfId="0" applyNumberFormat="1" applyFont="1" applyFill="1" applyBorder="1"/>
    <x:xf numFmtId="0" fontId="0" fillId="24" borderId="21" xfId="0" applyNumberFormat="1" applyFont="1" applyFill="1" applyBorder="1"/>
    <x:xf numFmtId="0" fontId="0" fillId="24" borderId="22" xfId="0" applyNumberFormat="1" applyFont="1" applyFill="1" applyBorder="1"/>
    <x:xf numFmtId="0" fontId="1" fillId="21" borderId="0" xfId="0" applyNumberFormat="1" applyFont="1" applyFill="1" applyBorder="1"/>
    <x:xf numFmtId="0" fontId="1" fillId="20" borderId="14" xfId="0" applyNumberFormat="1" applyFont="1" applyFill="1" applyBorder="1"/>
    <x:xf numFmtId="0" fontId="1" fillId="20" borderId="15" xfId="0" applyNumberFormat="1" applyFont="1" applyFill="1" applyBorder="1"/>
    <x:xf numFmtId="0" fontId="1" fillId="20" borderId="16" xfId="0" applyNumberFormat="1" applyFont="1" applyFill="1" applyBorder="1"/>
    <x:xf numFmtId="0" fontId="1" fillId="21" borderId="17" xfId="0" applyNumberFormat="1" applyFont="1" applyFill="1" applyBorder="1"/>
    <x:xf numFmtId="0" fontId="1" fillId="21" borderId="18" xfId="0" applyNumberFormat="1" applyFont="1" applyFill="1" applyBorder="1"/>
    <x:xf numFmtId="0" fontId="1" fillId="21" borderId="19" xfId="0" applyNumberFormat="1" applyFont="1" applyFill="1" applyBorder="1"/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wrapText="1"/>
    </x:xf>
    <x:xf numFmtId="0" fontId="1" fillId="25" borderId="14" xfId="0" applyNumberFormat="1" applyFont="1" applyFill="1" applyBorder="1" applyAlignment="1">
      <x:alignment wrapText="1"/>
    </x:xf>
    <x:xf numFmtId="0" fontId="1" fillId="25" borderId="15" xfId="0" applyNumberFormat="1" applyFont="1" applyFill="1" applyBorder="1" applyAlignment="1">
      <x:alignment wrapText="1"/>
    </x:xf>
    <x:xf numFmtId="0" fontId="1" fillId="25" borderId="16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12" fillId="26" borderId="0" xfId="0" applyNumberFormat="1" applyFont="1" applyFill="1" applyBorder="1"/>
    <x:xf numFmtId="0" fontId="0" fillId="27" borderId="0" xfId="0" applyNumberFormat="1" applyFont="1" applyFill="1" applyBorder="1"/>
    <x:xf numFmtId="0" fontId="13" fillId="27" borderId="0" xfId="0" applyNumberFormat="1" applyFont="1" applyFill="1" applyBorder="1"/>
    <x:xf numFmtId="0" fontId="13" fillId="27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/>
    <x:xf numFmtId="202" fontId="0" fillId="28" borderId="0" xfId="0" applyNumberFormat="1" applyFont="1" applyFill="1" applyBorder="1"/>
    <x:xf numFmtId="201" fontId="0" fillId="28" borderId="0" xfId="0" applyNumberFormat="1" applyFont="1" applyFill="1" applyBorder="1"/>
    <x:xf numFmtId="0" fontId="0" fillId="28" borderId="18" xfId="0" applyNumberFormat="1" applyFont="1" applyFill="1" applyBorder="1"/>
    <x:xf numFmtId="202" fontId="0" fillId="28" borderId="18" xfId="0" applyNumberFormat="1" applyFont="1" applyFill="1" applyBorder="1"/>
    <x:xf numFmtId="201" fontId="0" fillId="28" borderId="18" xfId="0" applyNumberFormat="1" applyFont="1" applyFill="1" applyBorder="1"/>
    <x:xf numFmtId="0" fontId="0" fillId="28" borderId="21" xfId="0" applyNumberFormat="1" applyFont="1" applyFill="1" applyBorder="1"/>
    <x:xf numFmtId="0" fontId="0" fillId="29" borderId="0" xfId="0" applyNumberFormat="1" applyFont="1" applyFill="1" applyBorder="1"/>
    <x:xf numFmtId="202" fontId="0" fillId="29" borderId="0" xfId="0" applyNumberFormat="1" applyFont="1" applyFill="1" applyBorder="1"/>
    <x:xf numFmtId="201" fontId="0" fillId="29" borderId="0" xfId="0" applyNumberFormat="1" applyFont="1" applyFill="1" applyBorder="1"/>
    <x:xf numFmtId="201" fontId="0" fillId="28" borderId="19" xfId="0" applyNumberFormat="1" applyFont="1" applyFill="1" applyBorder="1"/>
    <x:xf numFmtId="0" fontId="0" fillId="28" borderId="19" xfId="0" applyNumberFormat="1" applyFont="1" applyFill="1" applyBorder="1"/>
    <x:xf numFmtId="0" fontId="0" fillId="29" borderId="18" xfId="0" applyNumberFormat="1" applyFont="1" applyFill="1" applyBorder="1"/>
    <x:xf numFmtId="0" fontId="0" fillId="29" borderId="19" xfId="0" applyNumberFormat="1" applyFont="1" applyFill="1" applyBorder="1"/>
    <x:xf numFmtId="202" fontId="0" fillId="29" borderId="18" xfId="0" applyNumberFormat="1" applyFont="1" applyFill="1" applyBorder="1"/>
    <x:xf numFmtId="202" fontId="0" fillId="29" borderId="19" xfId="0" applyNumberFormat="1" applyFont="1" applyFill="1" applyBorder="1"/>
    <x:xf numFmtId="201" fontId="0" fillId="29" borderId="18" xfId="0" applyNumberFormat="1" applyFont="1" applyFill="1" applyBorder="1"/>
    <x:xf numFmtId="201" fontId="0" fillId="29" borderId="19" xfId="0" applyNumberFormat="1" applyFont="1" applyFill="1" applyBorder="1"/>
    <x:xf numFmtId="0" fontId="0" fillId="29" borderId="21" xfId="0" applyNumberFormat="1" applyFont="1" applyFill="1" applyBorder="1"/>
    <x:xf numFmtId="0" fontId="0" fillId="29" borderId="22" xfId="0" applyNumberFormat="1" applyFont="1" applyFill="1" applyBorder="1"/>
    <x:xf numFmtId="0" fontId="1" fillId="26" borderId="0" xfId="0" applyNumberFormat="1" applyFont="1" applyFill="1" applyBorder="1"/>
    <x:xf numFmtId="0" fontId="1" fillId="25" borderId="14" xfId="0" applyNumberFormat="1" applyFont="1" applyFill="1" applyBorder="1"/>
    <x:xf numFmtId="0" fontId="1" fillId="25" borderId="15" xfId="0" applyNumberFormat="1" applyFont="1" applyFill="1" applyBorder="1"/>
    <x:xf numFmtId="0" fontId="1" fillId="25" borderId="16" xfId="0" applyNumberFormat="1" applyFont="1" applyFill="1" applyBorder="1"/>
    <x:xf numFmtId="0" fontId="1" fillId="26" borderId="17" xfId="0" applyNumberFormat="1" applyFont="1" applyFill="1" applyBorder="1"/>
    <x:xf numFmtId="0" fontId="1" fillId="26" borderId="18" xfId="0" applyNumberFormat="1" applyFont="1" applyFill="1" applyBorder="1"/>
    <x:xf numFmtId="0" fontId="1" fillId="26" borderId="19" xfId="0" applyNumberFormat="1" applyFont="1" applyFill="1" applyBorder="1"/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wrapText="1"/>
    </x:xf>
    <x:xf numFmtId="0" fontId="1" fillId="30" borderId="14" xfId="0" applyNumberFormat="1" applyFont="1" applyFill="1" applyBorder="1" applyAlignment="1">
      <x:alignment wrapText="1"/>
    </x:xf>
    <x:xf numFmtId="0" fontId="1" fillId="30" borderId="15" xfId="0" applyNumberFormat="1" applyFont="1" applyFill="1" applyBorder="1" applyAlignment="1">
      <x:alignment wrapText="1"/>
    </x:xf>
    <x:xf numFmtId="0" fontId="1" fillId="30" borderId="16" xfId="0" applyNumberFormat="1" applyFont="1" applyFill="1" applyBorder="1" applyAlignment="1">
      <x:alignment wrapText="1"/>
    </x:xf>
    <x:xf numFmtId="0" fontId="0" fillId="31" borderId="0" xfId="0" applyNumberFormat="1" applyFont="1" applyFill="1" applyBorder="1"/>
    <x:xf numFmtId="0" fontId="12" fillId="31" borderId="0" xfId="0" applyNumberFormat="1" applyFont="1" applyFill="1" applyBorder="1"/>
    <x:xf numFmtId="0" fontId="0" fillId="32" borderId="0" xfId="0" applyNumberFormat="1" applyFont="1" applyFill="1" applyBorder="1"/>
    <x:xf numFmtId="0" fontId="13" fillId="32" borderId="0" xfId="0" applyNumberFormat="1" applyFont="1" applyFill="1" applyBorder="1"/>
    <x:xf numFmtId="0" fontId="13" fillId="32" borderId="0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202" fontId="0" fillId="33" borderId="0" xfId="0" applyNumberFormat="1" applyFont="1" applyFill="1" applyBorder="1"/>
    <x:xf numFmtId="201" fontId="0" fillId="33" borderId="0" xfId="0" applyNumberFormat="1" applyFont="1" applyFill="1" applyBorder="1"/>
    <x:xf numFmtId="0" fontId="0" fillId="33" borderId="18" xfId="0" applyNumberFormat="1" applyFont="1" applyFill="1" applyBorder="1"/>
    <x:xf numFmtId="202" fontId="0" fillId="33" borderId="18" xfId="0" applyNumberFormat="1" applyFont="1" applyFill="1" applyBorder="1"/>
    <x:xf numFmtId="201" fontId="0" fillId="33" borderId="18" xfId="0" applyNumberFormat="1" applyFont="1" applyFill="1" applyBorder="1"/>
    <x:xf numFmtId="0" fontId="0" fillId="33" borderId="21" xfId="0" applyNumberFormat="1" applyFont="1" applyFill="1" applyBorder="1"/>
    <x:xf numFmtId="0" fontId="0" fillId="34" borderId="0" xfId="0" applyNumberFormat="1" applyFont="1" applyFill="1" applyBorder="1"/>
    <x:xf numFmtId="202" fontId="0" fillId="34" borderId="0" xfId="0" applyNumberFormat="1" applyFont="1" applyFill="1" applyBorder="1"/>
    <x:xf numFmtId="201" fontId="0" fillId="34" borderId="0" xfId="0" applyNumberFormat="1" applyFont="1" applyFill="1" applyBorder="1"/>
    <x:xf numFmtId="201" fontId="0" fillId="33" borderId="19" xfId="0" applyNumberFormat="1" applyFont="1" applyFill="1" applyBorder="1"/>
    <x:xf numFmtId="0" fontId="0" fillId="33" borderId="19" xfId="0" applyNumberFormat="1" applyFont="1" applyFill="1" applyBorder="1"/>
    <x:xf numFmtId="0" fontId="0" fillId="34" borderId="18" xfId="0" applyNumberFormat="1" applyFont="1" applyFill="1" applyBorder="1"/>
    <x:xf numFmtId="0" fontId="0" fillId="34" borderId="19" xfId="0" applyNumberFormat="1" applyFont="1" applyFill="1" applyBorder="1"/>
    <x:xf numFmtId="202" fontId="0" fillId="34" borderId="18" xfId="0" applyNumberFormat="1" applyFont="1" applyFill="1" applyBorder="1"/>
    <x:xf numFmtId="202" fontId="0" fillId="34" borderId="19" xfId="0" applyNumberFormat="1" applyFont="1" applyFill="1" applyBorder="1"/>
    <x:xf numFmtId="201" fontId="0" fillId="34" borderId="18" xfId="0" applyNumberFormat="1" applyFont="1" applyFill="1" applyBorder="1"/>
    <x:xf numFmtId="201" fontId="0" fillId="34" borderId="19" xfId="0" applyNumberFormat="1" applyFont="1" applyFill="1" applyBorder="1"/>
    <x:xf numFmtId="0" fontId="0" fillId="34" borderId="21" xfId="0" applyNumberFormat="1" applyFont="1" applyFill="1" applyBorder="1"/>
    <x:xf numFmtId="0" fontId="0" fillId="34" borderId="22" xfId="0" applyNumberFormat="1" applyFont="1" applyFill="1" applyBorder="1"/>
    <x:xf numFmtId="0" fontId="1" fillId="31" borderId="0" xfId="0" applyNumberFormat="1" applyFont="1" applyFill="1" applyBorder="1"/>
    <x:xf numFmtId="0" fontId="1" fillId="30" borderId="14" xfId="0" applyNumberFormat="1" applyFont="1" applyFill="1" applyBorder="1"/>
    <x:xf numFmtId="0" fontId="1" fillId="30" borderId="15" xfId="0" applyNumberFormat="1" applyFont="1" applyFill="1" applyBorder="1"/>
    <x:xf numFmtId="0" fontId="1" fillId="30" borderId="16" xfId="0" applyNumberFormat="1" applyFont="1" applyFill="1" applyBorder="1"/>
    <x:xf numFmtId="0" fontId="1" fillId="31" borderId="17" xfId="0" applyNumberFormat="1" applyFont="1" applyFill="1" applyBorder="1"/>
    <x:xf numFmtId="0" fontId="1" fillId="31" borderId="18" xfId="0" applyNumberFormat="1" applyFont="1" applyFill="1" applyBorder="1"/>
    <x:xf numFmtId="0" fontId="1" fillId="31" borderId="19" xfId="0" applyNumberFormat="1" applyFont="1" applyFill="1" applyBorder="1"/>
    <x:xf numFmtId="0" fontId="0" fillId="35" borderId="0" xfId="0" applyNumberFormat="1" applyFont="1" applyFill="1" applyBorder="1"/>
    <x:xf numFmtId="0" fontId="1" fillId="35" borderId="0" xfId="0" applyNumberFormat="1" applyFont="1" applyFill="1" applyBorder="1"/>
    <x:xf numFmtId="0" fontId="1" fillId="35" borderId="0" xfId="0" applyNumberFormat="1" applyFont="1" applyFill="1" applyBorder="1" applyAlignment="1">
      <x:alignment wrapText="1"/>
    </x:xf>
    <x:xf numFmtId="0" fontId="1" fillId="35" borderId="14" xfId="0" applyNumberFormat="1" applyFont="1" applyFill="1" applyBorder="1" applyAlignment="1">
      <x:alignment wrapText="1"/>
    </x:xf>
    <x:xf numFmtId="0" fontId="1" fillId="35" borderId="15" xfId="0" applyNumberFormat="1" applyFont="1" applyFill="1" applyBorder="1" applyAlignment="1">
      <x:alignment wrapText="1"/>
    </x:xf>
    <x:xf numFmtId="0" fontId="1" fillId="35" borderId="16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12" fillId="36" borderId="0" xfId="0" applyNumberFormat="1" applyFont="1" applyFill="1" applyBorder="1"/>
    <x:xf numFmtId="0" fontId="0" fillId="37" borderId="0" xfId="0" applyNumberFormat="1" applyFont="1" applyFill="1" applyBorder="1"/>
    <x:xf numFmtId="0" fontId="13" fillId="37" borderId="0" xfId="0" applyNumberFormat="1" applyFont="1" applyFill="1" applyBorder="1"/>
    <x:xf numFmtId="0" fontId="13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202" fontId="0" fillId="38" borderId="0" xfId="0" applyNumberFormat="1" applyFont="1" applyFill="1" applyBorder="1"/>
    <x:xf numFmtId="201" fontId="0" fillId="38" borderId="0" xfId="0" applyNumberFormat="1" applyFont="1" applyFill="1" applyBorder="1"/>
    <x:xf numFmtId="0" fontId="0" fillId="38" borderId="18" xfId="0" applyNumberFormat="1" applyFont="1" applyFill="1" applyBorder="1"/>
    <x:xf numFmtId="202" fontId="0" fillId="38" borderId="18" xfId="0" applyNumberFormat="1" applyFont="1" applyFill="1" applyBorder="1"/>
    <x:xf numFmtId="201" fontId="0" fillId="38" borderId="18" xfId="0" applyNumberFormat="1" applyFont="1" applyFill="1" applyBorder="1"/>
    <x:xf numFmtId="0" fontId="0" fillId="38" borderId="21" xfId="0" applyNumberFormat="1" applyFont="1" applyFill="1" applyBorder="1"/>
    <x:xf numFmtId="0" fontId="0" fillId="39" borderId="0" xfId="0" applyNumberFormat="1" applyFont="1" applyFill="1" applyBorder="1"/>
    <x:xf numFmtId="202" fontId="0" fillId="39" borderId="0" xfId="0" applyNumberFormat="1" applyFont="1" applyFill="1" applyBorder="1"/>
    <x:xf numFmtId="201" fontId="0" fillId="39" borderId="0" xfId="0" applyNumberFormat="1" applyFont="1" applyFill="1" applyBorder="1"/>
    <x:xf numFmtId="201" fontId="0" fillId="38" borderId="19" xfId="0" applyNumberFormat="1" applyFont="1" applyFill="1" applyBorder="1"/>
    <x:xf numFmtId="0" fontId="0" fillId="38" borderId="19" xfId="0" applyNumberFormat="1" applyFont="1" applyFill="1" applyBorder="1"/>
    <x:xf numFmtId="0" fontId="0" fillId="39" borderId="18" xfId="0" applyNumberFormat="1" applyFont="1" applyFill="1" applyBorder="1"/>
    <x:xf numFmtId="0" fontId="0" fillId="39" borderId="19" xfId="0" applyNumberFormat="1" applyFont="1" applyFill="1" applyBorder="1"/>
    <x:xf numFmtId="202" fontId="0" fillId="39" borderId="18" xfId="0" applyNumberFormat="1" applyFont="1" applyFill="1" applyBorder="1"/>
    <x:xf numFmtId="202" fontId="0" fillId="39" borderId="19" xfId="0" applyNumberFormat="1" applyFont="1" applyFill="1" applyBorder="1"/>
    <x:xf numFmtId="201" fontId="0" fillId="39" borderId="18" xfId="0" applyNumberFormat="1" applyFont="1" applyFill="1" applyBorder="1"/>
    <x:xf numFmtId="201" fontId="0" fillId="39" borderId="19" xfId="0" applyNumberFormat="1" applyFont="1" applyFill="1" applyBorder="1"/>
    <x:xf numFmtId="0" fontId="0" fillId="39" borderId="21" xfId="0" applyNumberFormat="1" applyFont="1" applyFill="1" applyBorder="1"/>
    <x:xf numFmtId="0" fontId="0" fillId="39" borderId="22" xfId="0" applyNumberFormat="1" applyFont="1" applyFill="1" applyBorder="1"/>
    <x:xf numFmtId="0" fontId="1" fillId="36" borderId="0" xfId="0" applyNumberFormat="1" applyFont="1" applyFill="1" applyBorder="1"/>
    <x:xf numFmtId="0" fontId="1" fillId="35" borderId="14" xfId="0" applyNumberFormat="1" applyFont="1" applyFill="1" applyBorder="1"/>
    <x:xf numFmtId="0" fontId="1" fillId="35" borderId="15" xfId="0" applyNumberFormat="1" applyFont="1" applyFill="1" applyBorder="1"/>
    <x:xf numFmtId="0" fontId="1" fillId="35" borderId="16" xfId="0" applyNumberFormat="1" applyFont="1" applyFill="1" applyBorder="1"/>
    <x:xf numFmtId="0" fontId="1" fillId="36" borderId="17" xfId="0" applyNumberFormat="1" applyFont="1" applyFill="1" applyBorder="1"/>
    <x:xf numFmtId="0" fontId="1" fillId="36" borderId="18" xfId="0" applyNumberFormat="1" applyFont="1" applyFill="1" applyBorder="1"/>
    <x:xf numFmtId="0" fontId="1" fillId="36" borderId="19" xfId="0" applyNumberFormat="1" applyFont="1" applyFill="1" applyBorder="1"/>
    <x:xf numFmtId="204" fontId="0" fillId="0" borderId="18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40" borderId="15" xfId="0" applyNumberFormat="1" applyFont="1" applyFill="1" applyBorder="1"/>
    <x:xf numFmtId="0" fontId="0" fillId="40" borderId="18" xfId="0" applyNumberFormat="1" applyFont="1" applyFill="1" applyBorder="1"/>
    <x:xf numFmtId="0" fontId="0" fillId="40" borderId="21" xfId="0" applyNumberFormat="1" applyFont="1" applyFill="1" applyBorder="1"/>
    <x:xf numFmtId="205" fontId="0" fillId="40" borderId="15" xfId="0" applyNumberFormat="1" applyFont="1" applyFill="1" applyBorder="1"/>
    <x:xf numFmtId="205" fontId="0" fillId="40" borderId="18" xfId="0" applyNumberFormat="1" applyFont="1" applyFill="1" applyBorder="1"/>
    <x:xf numFmtId="205" fontId="0" fillId="40" borderId="21" xfId="0" applyNumberFormat="1" applyFont="1" applyFill="1" applyBorder="1"/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18" xfId="0" applyNumberFormat="1" applyFont="1" applyFill="1" applyBorder="1"/>
    <x:xf numFmtId="0" fontId="1" fillId="43" borderId="18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15" fillId="0" borderId="14" xfId="0" applyNumberFormat="1" applyFont="1" applyFill="1" applyBorder="1" applyAlignment="1">
      <x:alignment wrapText="1"/>
    </x:xf>
    <x:xf numFmtId="0" fontId="15" fillId="0" borderId="17" xfId="0" applyNumberFormat="1" applyFont="1" applyFill="1" applyBorder="1" applyAlignment="1">
      <x:alignment wrapText="1"/>
    </x:xf>
    <x:xf numFmtId="0" fontId="15" fillId="0" borderId="20" xfId="0" applyNumberFormat="1" applyFont="1" applyFill="1" applyBorder="1" applyAlignment="1">
      <x:alignment wrapText="1"/>
    </x:xf>
    <x:xf numFmtId="205" fontId="0" fillId="44" borderId="15" xfId="0" applyNumberFormat="1" applyFont="1" applyFill="1" applyBorder="1"/>
    <x:xf numFmtId="205" fontId="0" fillId="44" borderId="18" xfId="0" applyNumberFormat="1" applyFont="1" applyFill="1" applyBorder="1"/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0" fillId="46" borderId="0" xfId="0" applyNumberFormat="1" applyFont="1" applyFill="1" applyBorder="1"/>
    <x:xf numFmtId="0" fontId="14" fillId="46" borderId="0" xfId="0" applyNumberFormat="1" applyFont="1" applyFill="1" applyBorder="1"/>
    <x:xf numFmtId="0" fontId="14" fillId="46" borderId="0" xfId="0" applyNumberFormat="1" applyFont="1" applyFill="1" applyBorder="1" applyAlignment="1">
      <x:alignment wrapText="1"/>
    </x:xf>
    <x:xf numFmtId="0" fontId="0" fillId="47" borderId="0" xfId="0" applyNumberFormat="1" applyFont="1" applyFill="1" applyBorder="1"/>
    <x:xf numFmtId="0" fontId="1" fillId="47" borderId="0" xfId="0" applyNumberFormat="1" applyFont="1" applyFill="1" applyBorder="1"/>
    <x:xf numFmtId="0" fontId="1" fillId="47" borderId="18" xfId="0" applyNumberFormat="1" applyFont="1" applyFill="1" applyBorder="1"/>
    <x:xf numFmtId="0" fontId="1" fillId="47" borderId="18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0" fillId="49" borderId="0" xfId="0" applyNumberFormat="1" applyFont="1" applyFill="1" applyBorder="1"/>
    <x:xf numFmtId="0" fontId="14" fillId="49" borderId="0" xfId="0" applyNumberFormat="1" applyFont="1" applyFill="1" applyBorder="1"/>
    <x:xf numFmtId="0" fontId="14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18" xfId="0" applyNumberFormat="1" applyFont="1" applyFill="1" applyBorder="1"/>
    <x:xf numFmtId="0" fontId="1" fillId="50" borderId="18" xfId="0" applyNumberFormat="1" applyFont="1" applyFill="1" applyBorder="1" applyAlignment="1">
      <x:alignment wrapText="1"/>
    </x:xf>
    <x:xf numFmtId="206" fontId="0" fillId="0" borderId="14" xfId="0" applyNumberFormat="1" applyFont="1" applyFill="1" applyBorder="1" applyAlignment="1">
      <x:alignment wrapText="1"/>
    </x:xf>
    <x:xf numFmtId="206" fontId="0" fillId="0" borderId="17" xfId="0" applyNumberFormat="1" applyFont="1" applyFill="1" applyBorder="1" applyAlignment="1">
      <x:alignment wrapText="1"/>
    </x:xf>
    <x:xf numFmtId="206" fontId="0" fillId="0" borderId="20" xfId="0" applyNumberFormat="1" applyFont="1" applyFill="1" applyBorder="1" applyAlignment="1">
      <x:alignment wrapText="1"/>
    </x:xf>
    <x:xf numFmtId="0" fontId="0" fillId="51" borderId="15" xfId="0" applyNumberFormat="1" applyFont="1" applyFill="1" applyBorder="1" applyAlignment="1">
      <x:alignment wrapText="1"/>
    </x:xf>
    <x:xf numFmtId="0" fontId="0" fillId="51" borderId="18" xfId="0" applyNumberFormat="1" applyFont="1" applyFill="1" applyBorder="1" applyAlignment="1">
      <x:alignment wrapText="1"/>
    </x:xf>
    <x:xf numFmtId="0" fontId="0" fillId="51" borderId="21" xfId="0" applyNumberFormat="1" applyFont="1" applyFill="1" applyBorder="1" applyAlignment="1">
      <x:alignment wrapText="1"/>
    </x:xf>
    <x:xf numFmtId="0" fontId="16" fillId="51" borderId="15" xfId="0" applyNumberFormat="1" applyFont="1" applyFill="1" applyBorder="1" applyAlignment="1">
      <x:alignment wrapText="1"/>
    </x:xf>
    <x:xf numFmtId="0" fontId="16" fillId="51" borderId="18" xfId="0" applyNumberFormat="1" applyFont="1" applyFill="1" applyBorder="1" applyAlignment="1">
      <x:alignment wrapText="1"/>
    </x:xf>
    <x:xf numFmtId="0" fontId="16" fillId="51" borderId="21" xfId="0" applyNumberFormat="1" applyFont="1" applyFill="1" applyBorder="1" applyAlignment="1">
      <x:alignment wrapText="1"/>
    </x:xf>
    <x:xf numFmtId="205" fontId="16" fillId="51" borderId="15" xfId="0" applyNumberFormat="1" applyFont="1" applyFill="1" applyBorder="1" applyAlignment="1">
      <x:alignment wrapText="1"/>
    </x:xf>
    <x:xf numFmtId="205" fontId="16" fillId="51" borderId="18" xfId="0" applyNumberFormat="1" applyFont="1" applyFill="1" applyBorder="1" applyAlignment="1">
      <x:alignment wrapText="1"/>
    </x:xf>
    <x:xf numFmtId="205" fontId="16" fillId="51" borderId="21" xfId="0" applyNumberFormat="1" applyFont="1" applyFill="1" applyBorder="1" applyAlignment="1">
      <x:alignment wrapText="1"/>
    </x:xf>
    <x:xf numFmtId="0" fontId="0" fillId="52" borderId="15" xfId="0" applyNumberFormat="1" applyFont="1" applyFill="1" applyBorder="1" applyAlignment="1">
      <x:alignment wrapText="1"/>
    </x:xf>
    <x:xf numFmtId="0" fontId="0" fillId="52" borderId="18" xfId="0" applyNumberFormat="1" applyFont="1" applyFill="1" applyBorder="1" applyAlignment="1">
      <x:alignment wrapText="1"/>
    </x:xf>
    <x:xf numFmtId="0" fontId="0" fillId="52" borderId="21" xfId="0" applyNumberFormat="1" applyFont="1" applyFill="1" applyBorder="1" applyAlignment="1">
      <x:alignment wrapText="1"/>
    </x:xf>
    <x:xf numFmtId="0" fontId="0" fillId="51" borderId="16" xfId="0" applyNumberFormat="1" applyFont="1" applyFill="1" applyBorder="1" applyAlignment="1">
      <x:alignment wrapText="1"/>
    </x:xf>
    <x:xf numFmtId="0" fontId="0" fillId="51" borderId="19" xfId="0" applyNumberFormat="1" applyFont="1" applyFill="1" applyBorder="1" applyAlignment="1">
      <x:alignment wrapText="1"/>
    </x:xf>
    <x:xf numFmtId="0" fontId="0" fillId="51" borderId="22" xfId="0" applyNumberFormat="1" applyFont="1" applyFill="1" applyBorder="1" applyAlignment="1">
      <x:alignment wrapText="1"/>
    </x:xf>
    <x:xf numFmtId="206" fontId="0" fillId="0" borderId="14" xfId="0" applyNumberFormat="1" applyFont="1" applyFill="1" applyBorder="1"/>
    <x:xf numFmtId="206" fontId="0" fillId="0" borderId="17" xfId="0" applyNumberFormat="1" applyFont="1" applyFill="1" applyBorder="1"/>
    <x:xf numFmtId="206" fontId="0" fillId="0" borderId="20" xfId="0" applyNumberFormat="1" applyFont="1" applyFill="1" applyBorder="1"/>
    <x:xf numFmtId="0" fontId="0" fillId="51" borderId="15" xfId="0" applyNumberFormat="1" applyFont="1" applyFill="1" applyBorder="1"/>
    <x:xf numFmtId="0" fontId="0" fillId="51" borderId="18" xfId="0" applyNumberFormat="1" applyFont="1" applyFill="1" applyBorder="1"/>
    <x:xf numFmtId="0" fontId="0" fillId="51" borderId="21" xfId="0" applyNumberFormat="1" applyFont="1" applyFill="1" applyBorder="1"/>
    <x:xf numFmtId="0" fontId="16" fillId="51" borderId="15" xfId="0" applyNumberFormat="1" applyFont="1" applyFill="1" applyBorder="1"/>
    <x:xf numFmtId="0" fontId="16" fillId="51" borderId="18" xfId="0" applyNumberFormat="1" applyFont="1" applyFill="1" applyBorder="1"/>
    <x:xf numFmtId="0" fontId="16" fillId="51" borderId="21" xfId="0" applyNumberFormat="1" applyFont="1" applyFill="1" applyBorder="1"/>
    <x:xf numFmtId="205" fontId="16" fillId="51" borderId="15" xfId="0" applyNumberFormat="1" applyFont="1" applyFill="1" applyBorder="1"/>
    <x:xf numFmtId="205" fontId="16" fillId="51" borderId="18" xfId="0" applyNumberFormat="1" applyFont="1" applyFill="1" applyBorder="1"/>
    <x:xf numFmtId="205" fontId="16" fillId="51" borderId="21" xfId="0" applyNumberFormat="1" applyFont="1" applyFill="1" applyBorder="1"/>
  </x:cellXfs>
  <x:cellStyles count="1">
    <x:cellStyle name="Normal" xfId="0"/>
  </x:cellStyles>
  <x:dxfs count="6"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DC2626"/>
      </x:font>
      <x:fill>
        <x:patternFill>
          <x:bgColor rgb="FFFEE2E2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DC2626"/>
      </x:font>
      <x:fill>
        <x:patternFill>
          <x:bgColor rgb="FFFEE2E2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DC2626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c150a7ba484660" /><Relationship Type="http://schemas.openxmlformats.org/officeDocument/2006/relationships/theme" Target="/xl/theme/theme1.xml" Id="R6a274b06290b4f09" /><Relationship Type="http://schemas.openxmlformats.org/officeDocument/2006/relationships/sharedStrings" Target="/xl/sharedStrings.xml" Id="R71ca927996b34c21" /><Relationship Type="http://schemas.openxmlformats.org/officeDocument/2006/relationships/worksheet" Target="/xl/worksheets/sheet1.xml" Id="R87c45fe7be5f4d07" /><Relationship Type="http://schemas.openxmlformats.org/officeDocument/2006/relationships/worksheet" Target="/xl/worksheets/sheet2.xml" Id="R48d2ab6912f74ed2" /><Relationship Type="http://schemas.openxmlformats.org/officeDocument/2006/relationships/worksheet" Target="/xl/worksheets/sheet3.xml" Id="R921b7879d3bf4a1e" /><Relationship Type="http://schemas.openxmlformats.org/officeDocument/2006/relationships/worksheet" Target="/xl/worksheets/sheet4.xml" Id="R5864c6545877465a" /><Relationship Type="http://schemas.openxmlformats.org/officeDocument/2006/relationships/worksheet" Target="/xl/worksheets/sheet5.xml" Id="Reb3e095a5a494fa5" /><Relationship Type="http://schemas.openxmlformats.org/officeDocument/2006/relationships/worksheet" Target="/xl/worksheets/sheet6.xml" Id="R48406867bd854fff" /><Relationship Type="http://schemas.openxmlformats.org/officeDocument/2006/relationships/worksheet" Target="/xl/worksheets/sheet7.xml" Id="R7bf4622511534ffb" /><Relationship Type="http://schemas.openxmlformats.org/officeDocument/2006/relationships/worksheet" Target="/xl/worksheets/sheet8.xml" Id="Ra6fe3fed500741c3" /><Relationship Type="http://schemas.openxmlformats.org/officeDocument/2006/relationships/worksheet" Target="/xl/worksheets/sheet9.xml" Id="R65b72c768ddc4a88" /><Relationship Type="http://schemas.openxmlformats.org/officeDocument/2006/relationships/worksheet" Target="/xl/worksheets/sheet10.xml" Id="R10b517888e914c46" /><Relationship Type="http://schemas.openxmlformats.org/officeDocument/2006/relationships/worksheet" Target="/xl/worksheets/sheet11.xml" Id="Rc1d3fe524e604a44" /><Relationship Type="http://schemas.openxmlformats.org/officeDocument/2006/relationships/worksheet" Target="/xl/worksheets/sheet12.xml" Id="Rdb959d20806d4415" /><Relationship Type="http://schemas.openxmlformats.org/officeDocument/2006/relationships/worksheet" Target="/xl/worksheets/sheet13.xml" Id="Re55b8dfa12a84b1d" /><Relationship Type="http://schemas.openxmlformats.org/officeDocument/2006/relationships/worksheet" Target="/xl/worksheets/sheet14.xml" Id="R2d9bdf4a48eb4f2d" /><Relationship Type="http://schemas.openxmlformats.org/officeDocument/2006/relationships/worksheet" Target="/xl/worksheets/sheet15.xml" Id="R3958d66e16e24e91" /><Relationship Type="http://schemas.openxmlformats.org/officeDocument/2006/relationships/worksheet" Target="/xl/worksheets/sheet16.xml" Id="R2f5051650bc54858" /><Relationship Type="http://schemas.openxmlformats.org/officeDocument/2006/relationships/worksheet" Target="/xl/worksheets/sheet17.xml" Id="R5b0a46144a0c4933" /><Relationship Type="http://schemas.openxmlformats.org/officeDocument/2006/relationships/worksheet" Target="/xl/worksheets/sheet18.xml" Id="R7eb012f7b20647ee" /><Relationship Type="http://schemas.openxmlformats.org/officeDocument/2006/relationships/worksheet" Target="/xl/worksheets/sheet19.xml" Id="R4e24fb4c607c4628" /><Relationship Type="http://schemas.openxmlformats.org/officeDocument/2006/relationships/worksheet" Target="/xl/worksheets/sheet20.xml" Id="Re27a33e8f8b74bde" /><Relationship Type="http://schemas.openxmlformats.org/officeDocument/2006/relationships/worksheet" Target="/xl/worksheets/sheet21.xml" Id="Rd50a925cc80b462d" /><Relationship Type="http://schemas.openxmlformats.org/officeDocument/2006/relationships/worksheet" Target="/xl/worksheets/sheet22.xml" Id="R958c07ce72c94509" /><Relationship Type="http://schemas.openxmlformats.org/officeDocument/2006/relationships/worksheet" Target="/xl/worksheets/sheet23.xml" Id="Rd8759b7644fb445a" /><Relationship Type="http://schemas.openxmlformats.org/officeDocument/2006/relationships/worksheet" Target="/xl/worksheets/sheet24.xml" Id="Rdb2a881657a14551" /><Relationship Type="http://schemas.openxmlformats.org/officeDocument/2006/relationships/worksheet" Target="/xl/worksheets/sheet25.xml" Id="R857bfe85a2cb47b6" /><Relationship Type="http://schemas.openxmlformats.org/officeDocument/2006/relationships/worksheet" Target="/xl/worksheets/sheet26.xml" Id="R90d4b540e96440ea" /><Relationship Type="http://schemas.openxmlformats.org/officeDocument/2006/relationships/worksheet" Target="/xl/worksheets/sheet27.xml" Id="Rb598d27fd8b9490c" /><Relationship Type="http://schemas.openxmlformats.org/officeDocument/2006/relationships/worksheet" Target="/xl/worksheets/sheet28.xml" Id="Rffc3e27b69744f13" /><Relationship Type="http://schemas.openxmlformats.org/officeDocument/2006/relationships/worksheet" Target="/xl/worksheets/sheet29.xml" Id="R2ea4a5c22b66437a" /><Relationship Type="http://schemas.openxmlformats.org/officeDocument/2006/relationships/worksheet" Target="/xl/worksheets/sheet30.xml" Id="R469e32b33e314696" /><Relationship Type="http://schemas.openxmlformats.org/officeDocument/2006/relationships/worksheet" Target="/xl/worksheets/sheet31.xml" Id="R9fee6f9d7b3148df" /><Relationship Type="http://schemas.openxmlformats.org/officeDocument/2006/relationships/worksheet" Target="/xl/worksheets/sheet32.xml" Id="R43be0a3571d84708" /><Relationship Type="http://schemas.openxmlformats.org/officeDocument/2006/relationships/worksheet" Target="/xl/worksheets/sheet33.xml" Id="Ref43d1e2cf644326" /><Relationship Type="http://schemas.openxmlformats.org/officeDocument/2006/relationships/worksheet" Target="/xl/worksheets/sheet34.xml" Id="R98ae58cde19346c9" /><Relationship Type="http://schemas.openxmlformats.org/officeDocument/2006/relationships/worksheet" Target="/xl/worksheets/sheet35.xml" Id="Rc7c42184bd98471f" /><Relationship Type="http://schemas.openxmlformats.org/officeDocument/2006/relationships/worksheet" Target="/xl/worksheets/sheet36.xml" Id="R9ffea855e5ff4bf9" /><Relationship Type="http://schemas.openxmlformats.org/officeDocument/2006/relationships/worksheet" Target="/xl/worksheets/sheet37.xml" Id="R49d229a2d7524362" /><Relationship Type="http://schemas.openxmlformats.org/officeDocument/2006/relationships/worksheet" Target="/xl/worksheets/sheet38.xml" Id="Ra5df6ed247c64324" /><Relationship Type="http://schemas.openxmlformats.org/officeDocument/2006/relationships/worksheet" Target="/xl/worksheets/sheet39.xml" Id="R6942d40756694ef8" /><Relationship Type="http://schemas.microsoft.com/office/2017/10/relationships/person" Target="/xl/persons/person.xml" Id="R5d7aa703a0df4207" /></Relationships>
</file>

<file path=xl/persons/person.xml><?xml version="1.0" encoding="utf-8"?>
<xltc:personList xmlns:xltc="http://schemas.microsoft.com/office/spreadsheetml/2018/threadedcomments">
  <xltc:person displayName="Le Hoang Quan" id="{104282A0-EE90-4F63-8096-9E8D24E6A3E2}"/>
  <xltc:person displayName="Le Hoang Quan" id="{FCCFB37F-00C7-4387-AFCB-2B15B3F8D591}"/>
</xltc:personList>
</file>

<file path=xl/tables/table1.xml><?xml version="1.0" encoding="utf-8"?>
<x:table xmlns:x="http://schemas.openxmlformats.org/spreadsheetml/2006/main" id="1" name="MarketConfigTable" displayName="MarketConfigTable" ref="A1:E9" headerRowCount="1" totalsRowCount="0" totalsRowShown="0">
  <x:tableColumns count="5">
    <x:tableColumn id="1" name="Parameter"/>
    <x:tableColumn id="2" name="Value"/>
    <x:tableColumn id="3" name="Data_Type"/>
    <x:tableColumn id="4" name="Description"/>
    <x:tableColumn id="5" name="Editab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ttributionInputTable" displayName="AttributionInputTable" ref="A1:K9" headerRowCount="1" totalsRowCount="0" totalsRowShown="0">
  <x:tableColumns count="11">
    <x:tableColumn id="1" name="Date"/>
    <x:tableColumn id="2" name="Fund_Code"/>
    <x:tableColumn id="3" name="Sector"/>
    <x:tableColumn id="4" name="Ticker"/>
    <x:tableColumn id="5" name="Fund_Weight_Pct"/>
    <x:tableColumn id="6" name="Benchmark_Weight_Pct"/>
    <x:tableColumn id="7" name="Security_Return_Pct"/>
    <x:tableColumn id="8" name="Benchmark_Return_Pct"/>
    <x:tableColumn id="9" name="Contribution_Pct"/>
    <x:tableColumn id="10" name="Source_ID"/>
    <x:tableColumn id="11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ChecksTable" displayName="ChecksTable" ref="A1:H7" headerRowCount="1" totalsRowCount="0" totalsRowShown="0">
  <x:tableColumns count="8">
    <x:tableColumn id="1" name="Check_ID"/>
    <x:tableColumn id="2" name="Check"/>
    <x:tableColumn id="3" name="Actual"/>
    <x:tableColumn id="4" name="Expected"/>
    <x:tableColumn id="5" name="Difference"/>
    <x:tableColumn id="6" name="Tolerance"/>
    <x:tableColumn id="7" name="Status"/>
    <x:tableColumn id="8" name="Fix_Hi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8" name="BenchmarkHistoryTable" displayName="BenchmarkHistoryTable" ref="A1:E77" headerRowCount="1" totalsRowCount="0" totalsRowShown="0">
  <x:tableColumns count="5">
    <x:tableColumn id="1" name="Date"/>
    <x:tableColumn id="2" name="Benchmark"/>
    <x:tableColumn id="3" name="Index_Level"/>
    <x:tableColumn id="4" name="Source_ID"/>
    <x:tableColumn id="5" name="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9" name="DataQualityTable" displayName="DataQualityTable" ref="A1:N9" headerRowCount="1" totalsRowCount="0" totalsRowShown="0">
  <x:tableColumns count="14">
    <x:tableColumn id="1" name="Data_Domain"/>
    <x:tableColumn id="2" name="Required_Fields"/>
    <x:tableColumn id="3" name="Populated_Fields"/>
    <x:tableColumn id="4" name="Verified_Fields"/>
    <x:tableColumn id="5" name="Source_Type"/>
    <x:tableColumn id="6" name="Source_Risk_1_3"/>
    <x:tableColumn id="7" name="Last_Update"/>
    <x:tableColumn id="8" name="Freshness_Target_Days"/>
    <x:tableColumn id="9" name="Completeness_Weight"/>
    <x:tableColumn id="10" name="Verification_Weight"/>
    <x:tableColumn id="11" name="Freshness_Weight"/>
    <x:tableColumn id="12" name="Quality_Score"/>
    <x:tableColumn id="13" name="Owner"/>
    <x:tableColumn id="14" name="Next_Ac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0" name="FinancialDriversTable" displayName="FinancialDriversTable" ref="A1:P6" headerRowCount="1" totalsRowCount="0" totalsRowShown="0">
  <x:tableColumns count="16">
    <x:tableColumn id="1" name="Year"/>
    <x:tableColumn id="2" name="Period_Type"/>
    <x:tableColumn id="3" name="Beginning_AUM_VND_bn"/>
    <x:tableColumn id="4" name="Net_Flow_VND_bn"/>
    <x:tableColumn id="5" name="Market_Return_Pct"/>
    <x:tableColumn id="6" name="Ending_AUM_VND_bn"/>
    <x:tableColumn id="7" name="Average_AUM_VND_bn"/>
    <x:tableColumn id="8" name="Fee_Yield_Pct"/>
    <x:tableColumn id="9" name="Revenue_VND_bn"/>
    <x:tableColumn id="10" name="Personnel_VND_bn"/>
    <x:tableColumn id="11" name="Other_Opex_VND_bn"/>
    <x:tableColumn id="12" name="PBT_VND_bn"/>
    <x:tableColumn id="13" name="Effective_Tax_Pct"/>
    <x:tableColumn id="14" name="NPAT_VND_bn"/>
    <x:tableColumn id="15" name="Source_ID"/>
    <x:tableColumn id="16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ActionTrackerTable" displayName="ActionTrackerTable" ref="A1:M6" headerRowCount="1" totalsRowCount="0" totalsRowShown="0">
  <x:tableColumns count="13">
    <x:tableColumn id="1" name="Action_ID"/>
    <x:tableColumn id="2" name="Priority"/>
    <x:tableColumn id="3" name="Domain"/>
    <x:tableColumn id="4" name="Recommendation"/>
    <x:tableColumn id="5" name="Owner"/>
    <x:tableColumn id="6" name="Start_Date"/>
    <x:tableColumn id="7" name="Due_Date"/>
    <x:tableColumn id="8" name="Status"/>
    <x:tableColumn id="9" name="Progress_Pct"/>
    <x:tableColumn id="10" name="Expected_Impact"/>
    <x:tableColumn id="11" name="Evidence_or_Output"/>
    <x:tableColumn id="12" name="Last_Update"/>
    <x:tableColumn id="13" name="Escalation_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33426dc7ef204d5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2.xml" Id="Rc36bb922f4f74b88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3.xml" Id="R2f158b1c800c4212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4.xml" Id="R6a6805e8c3d94a8a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5.xml" Id="R7374084a1496474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6.xml" Id="Rb8eb3e83cde846f8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7.xml" Id="Rfb003a9f64384b55" /></Relationships>
</file>

<file path=xl/worksheets/sheet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35.439998626708984" hidden="0" customWidth="1"/>
    <x:col min="3" max="3" width="8.5600004196167" hidden="0" customWidth="1"/>
    <x:col min="4" max="4" width="8.5600004196167" hidden="0" customWidth="1"/>
  </x:cols>
  <x:sheetData>
    <x:row r="1">
      <x:c r="A1" s="6" t="str">
        <x:v>Field</x:v>
      </x:c>
      <x:c r="B1" s="6" t="str">
        <x:v>Value</x:v>
      </x:c>
      <x:c r="C1" s="6" t="str">
        <x:v>Source_ID</x:v>
      </x:c>
      <x:c r="D1" s="6" t="str">
        <x:v>Status</x:v>
      </x:c>
    </x:row>
    <x:row r="2">
      <x:c r="A2" t="str">
        <x:v>Company_Name</x:v>
      </x:c>
      <x:c r="B2" t="str">
        <x:v>Dragon Capital Vietnam Fund Management JSC</x:v>
      </x:c>
      <x:c r="C2" t="str">
        <x:v>S001</x:v>
      </x:c>
      <x:c r="D2" t="str">
        <x:v>Public</x:v>
      </x:c>
    </x:row>
    <x:row r="3">
      <x:c r="A3" t="str">
        <x:v>Ticker</x:v>
      </x:c>
      <x:c r="B3" t="str">
        <x:v>DCV</x:v>
      </x:c>
      <x:c r="C3" t="str">
        <x:v>S001</x:v>
      </x:c>
      <x:c r="D3" t="str">
        <x:v>Public</x:v>
      </x:c>
    </x:row>
    <x:row r="4">
      <x:c r="A4" t="str">
        <x:v>Market</x:v>
      </x:c>
      <x:c r="B4" t="str">
        <x:v>UPCoM</x:v>
      </x:c>
      <x:c r="C4" t="str">
        <x:v>S001</x:v>
      </x:c>
      <x:c r="D4" t="str">
        <x:v>Public</x:v>
      </x:c>
    </x:row>
    <x:row r="5">
      <x:c r="A5" t="str">
        <x:v>Charter_Capital_VND_bn</x:v>
      </x:c>
      <x:c r="B5" t="n">
        <x:v>312</x:v>
      </x:c>
      <x:c r="C5" t="str">
        <x:v>S001</x:v>
      </x:c>
      <x:c r="D5" t="str">
        <x:v>Public</x:v>
      </x:c>
    </x:row>
    <x:row r="6">
      <x:c r="A6" t="str">
        <x:v>Shares_mn</x:v>
      </x:c>
      <x:c r="B6" t="n">
        <x:v>31.2</x:v>
      </x:c>
      <x:c r="C6" t="str">
        <x:v>S001</x:v>
      </x:c>
      <x:c r="D6" t="str">
        <x:v>Public</x:v>
      </x:c>
    </x:row>
    <x:row r="7">
      <x:c r="A7" t="str">
        <x:v>AUM_Dec2025_VND_bn</x:v>
      </x:c>
      <x:c r="B7" t="n">
        <x:v>140000</x:v>
      </x:c>
      <x:c r="C7" t="str">
        <x:v>S001</x:v>
      </x:c>
      <x:c r="D7" t="str">
        <x:v>Public</x:v>
      </x:c>
    </x:row>
    <x:row r="8">
      <x:c r="A8" t="str">
        <x:v>Platform_As_of</x:v>
      </x:c>
      <x:c r="B8" t="str">
        <x:v>2026-08-04</x:v>
      </x:c>
      <x:c r="C8" t="str">
        <x:v>S004</x:v>
      </x:c>
      <x:c r="D8" t="str">
        <x:v>Model date</x:v>
      </x:c>
    </x:row>
    <x:row r="9">
      <x:c r="A9" t="str">
        <x:v>Model_Version</x:v>
      </x:c>
      <x:c r="B9" t="str">
        <x:v>V4.4</x:v>
      </x:c>
      <x:c r="C9" t="str">
        <x:v>S004</x:v>
      </x:c>
      <x:c r="D9" t="str">
        <x:v>Model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2" hidden="0" customWidth="1"/>
    <x:col min="3" max="3" width="20" hidden="0" customWidth="1"/>
    <x:col min="4" max="4" width="16" hidden="0" customWidth="1"/>
    <x:col min="5" max="5" width="16" hidden="0" customWidth="1"/>
    <x:col min="6" max="6" width="20" hidden="0" customWidth="1"/>
    <x:col min="7" max="7" width="12" hidden="0" customWidth="1"/>
    <x:col min="8" max="8" width="20" hidden="0" customWidth="1"/>
  </x:cols>
  <x:sheetData>
    <x:row r="1">
      <x:c r="A1" s="6" t="str">
        <x:v>Fund_Code</x:v>
      </x:c>
      <x:c r="B1" s="6" t="str">
        <x:v>Fund_Name</x:v>
      </x:c>
      <x:c r="C1" s="6" t="str">
        <x:v>Strategy</x:v>
      </x:c>
      <x:c r="D1" s="6" t="str">
        <x:v>Benchmark</x:v>
      </x:c>
      <x:c r="E1" s="6" t="str">
        <x:v>Mgmt_Fee_Pct</x:v>
      </x:c>
      <x:c r="F1" s="6" t="str">
        <x:v>Tracking_Target_Pct</x:v>
      </x:c>
      <x:c r="G1" s="6" t="str">
        <x:v>Risk_Level</x:v>
      </x:c>
      <x:c r="H1" s="6" t="str">
        <x:v>Status</x:v>
      </x:c>
    </x:row>
    <x:row r="2">
      <x:c r="A2" t="str">
        <x:v>DCDS</x:v>
      </x:c>
      <x:c r="B2" t="str">
        <x:v>DC Dynamic Securities Fund</x:v>
      </x:c>
      <x:c r="C2" t="str">
        <x:v>Active Equity</x:v>
      </x:c>
      <x:c r="D2" t="str">
        <x:v>VNINDEX</x:v>
      </x:c>
      <x:c r="E2" s="92" t="n">
        <x:v>0.018</x:v>
      </x:c>
      <x:c r="F2" s="92" t="n">
        <x:v>0.02</x:v>
      </x:c>
      <x:c r="G2" t="str">
        <x:v>High</x:v>
      </x:c>
      <x:c r="H2" t="str">
        <x:v>Public/Assumption</x:v>
      </x:c>
    </x:row>
    <x:row r="3">
      <x:c r="A3" t="str">
        <x:v>DCBF</x:v>
      </x:c>
      <x:c r="B3" t="str">
        <x:v>DC Bond Fund</x:v>
      </x:c>
      <x:c r="C3" t="str">
        <x:v>Fixed Income</x:v>
      </x:c>
      <x:c r="D3" t="str">
        <x:v>Deposit/Bond</x:v>
      </x:c>
      <x:c r="E3" s="92" t="n">
        <x:v>0.012</x:v>
      </x:c>
      <x:c r="F3" s="92" t="n">
        <x:v>0.005</x:v>
      </x:c>
      <x:c r="G3" t="str">
        <x:v>Low</x:v>
      </x:c>
      <x:c r="H3" t="str">
        <x:v>Public/Assumption</x:v>
      </x:c>
    </x:row>
    <x:row r="4">
      <x:c r="A4" t="str">
        <x:v>DCDE</x:v>
      </x:c>
      <x:c r="B4" t="str">
        <x:v>DC Dividend Equity Fund</x:v>
      </x:c>
      <x:c r="C4" t="str">
        <x:v>Dividend Equity</x:v>
      </x:c>
      <x:c r="D4" t="str">
        <x:v>VNINDEX</x:v>
      </x:c>
      <x:c r="E4" s="92" t="n">
        <x:v>0.016</x:v>
      </x:c>
      <x:c r="F4" s="92" t="n">
        <x:v>0.015</x:v>
      </x:c>
      <x:c r="G4" t="str">
        <x:v>Medium</x:v>
      </x:c>
      <x:c r="H4" t="str">
        <x:v>Public/Assumption</x:v>
      </x:c>
    </x:row>
    <x:row r="5">
      <x:c r="A5" t="str">
        <x:v>E1VFVN30</x:v>
      </x:c>
      <x:c r="B5" t="str">
        <x:v>DCVFM VN30 ETF</x:v>
      </x:c>
      <x:c r="C5" t="str">
        <x:v>ETF</x:v>
      </x:c>
      <x:c r="D5" t="str">
        <x:v>VN30</x:v>
      </x:c>
      <x:c r="E5" s="92" t="n">
        <x:v>0.0065</x:v>
      </x:c>
      <x:c r="F5" s="92" t="n">
        <x:v>0.003</x:v>
      </x:c>
      <x:c r="G5" t="str">
        <x:v>Medium</x:v>
      </x:c>
      <x:c r="H5" t="str">
        <x:v>Public/Assumption</x:v>
      </x:c>
    </x:row>
    <x:row r="6">
      <x:c r="A6" t="str">
        <x:v>FUEVFVND</x:v>
      </x:c>
      <x:c r="B6" t="str">
        <x:v>DCVFM VNDiamond ETF</x:v>
      </x:c>
      <x:c r="C6" t="str">
        <x:v>ETF</x:v>
      </x:c>
      <x:c r="D6" t="str">
        <x:v>VN Diamond</x:v>
      </x:c>
      <x:c r="E6" s="92" t="n">
        <x:v>0.008</x:v>
      </x:c>
      <x:c r="F6" s="92" t="n">
        <x:v>0.003</x:v>
      </x:c>
      <x:c r="G6" t="str">
        <x:v>Medium</x:v>
      </x:c>
      <x:c r="H6" t="str">
        <x:v>Public/Assumption</x:v>
      </x:c>
    </x:row>
    <x:row r="7">
      <x:c r="A7" t="str">
        <x:v>VEF_LOCAL</x:v>
      </x:c>
      <x:c r="B7" t="str">
        <x:v>Vietnam Equity Strategy - Local View</x:v>
      </x:c>
      <x:c r="C7" t="str">
        <x:v>Institutional Equity</x:v>
      </x:c>
      <x:c r="D7" t="str">
        <x:v>VNINDEX</x:v>
      </x:c>
      <x:c r="E7" s="92" t="n">
        <x:v>0.013</x:v>
      </x:c>
      <x:c r="F7" s="92" t="n">
        <x:v>0.01</x:v>
      </x:c>
      <x:c r="G7" t="str">
        <x:v>High</x:v>
      </x:c>
      <x:c r="H7" t="str">
        <x:v>Assumption</x:v>
      </x:c>
    </x:row>
    <x:row r="8">
      <x:c r="E8" s="92"/>
      <x:c r="F8" s="92"/>
    </x:row>
    <x:row r="9">
      <x:c r="E9" s="92"/>
      <x:c r="F9" s="92"/>
    </x:row>
    <x:row r="10">
      <x:c r="E10" s="92"/>
      <x:c r="F10" s="92"/>
    </x:row>
    <x:row r="11">
      <x:c r="E11" s="92"/>
      <x:c r="F11" s="92"/>
    </x:row>
    <x:row r="12">
      <x:c r="E12" s="92"/>
      <x:c r="F12" s="92"/>
    </x:row>
    <x:row r="13">
      <x:c r="E13" s="92"/>
      <x:c r="F13" s="92"/>
    </x:row>
    <x:row r="14">
      <x:c r="E14" s="92"/>
      <x:c r="F14" s="92"/>
    </x:row>
    <x:row r="15">
      <x:c r="E15" s="92"/>
      <x:c r="F15" s="92"/>
    </x:row>
    <x:row r="16">
      <x:c r="E16" s="92"/>
      <x:c r="F16" s="92"/>
    </x:row>
    <x:row r="17">
      <x:c r="E17" s="92"/>
      <x:c r="F17" s="92"/>
    </x:row>
    <x:row r="18">
      <x:c r="E18" s="92"/>
      <x:c r="F18" s="92"/>
    </x:row>
    <x:row r="19">
      <x:c r="E19" s="92"/>
      <x:c r="F19" s="92"/>
    </x:row>
    <x:row r="20">
      <x:c r="E20" s="92"/>
      <x:c r="F20" s="92"/>
    </x:row>
    <x:row r="21">
      <x:c r="E21" s="92"/>
      <x:c r="F21" s="92"/>
    </x:row>
    <x:row r="22">
      <x:c r="E22" s="92"/>
      <x:c r="F22" s="92"/>
    </x:row>
    <x:row r="23">
      <x:c r="E23" s="92"/>
      <x:c r="F23" s="92"/>
    </x:row>
    <x:row r="24">
      <x:c r="E24" s="92"/>
      <x:c r="F24" s="92"/>
    </x:row>
    <x:row r="25">
      <x:c r="E25" s="92"/>
      <x:c r="F25" s="92"/>
    </x:row>
    <x:row r="26">
      <x:c r="E26" s="92"/>
      <x:c r="F26" s="92"/>
    </x:row>
    <x:row r="27">
      <x:c r="E27" s="92"/>
      <x:c r="F27" s="92"/>
    </x:row>
    <x:row r="28">
      <x:c r="E28" s="92"/>
      <x:c r="F28" s="92"/>
    </x:row>
    <x:row r="29">
      <x:c r="E29" s="92"/>
      <x:c r="F29" s="92"/>
    </x:row>
    <x:row r="30">
      <x:c r="E30" s="92"/>
      <x:c r="F30" s="92"/>
    </x:row>
    <x:row r="31">
      <x:c r="E31" s="92"/>
      <x:c r="F31" s="92"/>
    </x:row>
    <x:row r="32">
      <x:c r="E32" s="92"/>
      <x:c r="F32" s="92"/>
    </x:row>
    <x:row r="33">
      <x:c r="E33" s="92"/>
      <x:c r="F33" s="92"/>
    </x:row>
    <x:row r="34">
      <x:c r="E34" s="92"/>
      <x:c r="F34" s="92"/>
    </x:row>
    <x:row r="35">
      <x:c r="E35" s="92"/>
      <x:c r="F35" s="92"/>
    </x:row>
    <x:row r="36">
      <x:c r="E36" s="92"/>
      <x:c r="F36" s="92"/>
    </x:row>
    <x:row r="37">
      <x:c r="E37" s="92"/>
      <x:c r="F37" s="92"/>
    </x:row>
    <x:row r="38">
      <x:c r="E38" s="92"/>
      <x:c r="F38" s="92"/>
    </x:row>
    <x:row r="39">
      <x:c r="E39" s="92"/>
      <x:c r="F39" s="92"/>
    </x:row>
    <x:row r="40">
      <x:c r="E40" s="92"/>
      <x:c r="F40" s="92"/>
    </x:row>
    <x:row r="41">
      <x:c r="E41" s="92"/>
      <x:c r="F41" s="92"/>
    </x:row>
    <x:row r="42">
      <x:c r="E42" s="92"/>
      <x:c r="F42" s="92"/>
    </x:row>
    <x:row r="43">
      <x:c r="E43" s="92"/>
      <x:c r="F43" s="92"/>
    </x:row>
    <x:row r="44">
      <x:c r="E44" s="92"/>
      <x:c r="F44" s="92"/>
    </x:row>
    <x:row r="45">
      <x:c r="E45" s="92"/>
      <x:c r="F45" s="92"/>
    </x:row>
    <x:row r="46">
      <x:c r="E46" s="92"/>
      <x:c r="F46" s="92"/>
    </x:row>
    <x:row r="47">
      <x:c r="E47" s="92"/>
      <x:c r="F47" s="92"/>
    </x:row>
    <x:row r="48">
      <x:c r="E48" s="92"/>
      <x:c r="F48" s="92"/>
    </x:row>
    <x:row r="49">
      <x:c r="E49" s="92"/>
      <x:c r="F49" s="92"/>
    </x:row>
    <x:row r="50">
      <x:c r="E50" s="92"/>
      <x:c r="F50" s="92"/>
    </x:row>
    <x:row r="51">
      <x:c r="E51" s="92"/>
      <x:c r="F51" s="92"/>
    </x:row>
    <x:row r="52">
      <x:c r="E52" s="92"/>
      <x:c r="F52" s="92"/>
    </x:row>
    <x:row r="53">
      <x:c r="E53" s="92"/>
      <x:c r="F53" s="92"/>
    </x:row>
    <x:row r="54">
      <x:c r="E54" s="92"/>
      <x:c r="F54" s="92"/>
    </x:row>
    <x:row r="55">
      <x:c r="E55" s="92"/>
      <x:c r="F55" s="92"/>
    </x:row>
    <x:row r="56">
      <x:c r="E56" s="92"/>
      <x:c r="F56" s="92"/>
    </x:row>
    <x:row r="57">
      <x:c r="E57" s="92"/>
      <x:c r="F57" s="92"/>
    </x:row>
    <x:row r="58">
      <x:c r="E58" s="92"/>
      <x:c r="F58" s="92"/>
    </x:row>
    <x:row r="59">
      <x:c r="E59" s="92"/>
      <x:c r="F59" s="92"/>
    </x:row>
    <x:row r="60">
      <x:c r="E60" s="92"/>
      <x:c r="F60" s="92"/>
    </x:row>
    <x:row r="61">
      <x:c r="E61" s="92"/>
      <x:c r="F61" s="92"/>
    </x:row>
    <x:row r="62">
      <x:c r="E62" s="92"/>
      <x:c r="F62" s="92"/>
    </x:row>
    <x:row r="63">
      <x:c r="E63" s="92"/>
      <x:c r="F63" s="92"/>
    </x:row>
    <x:row r="64">
      <x:c r="E64" s="92"/>
      <x:c r="F64" s="92"/>
    </x:row>
    <x:row r="65">
      <x:c r="E65" s="92"/>
      <x:c r="F65" s="92"/>
    </x:row>
    <x:row r="66">
      <x:c r="E66" s="92"/>
      <x:c r="F66" s="92"/>
    </x:row>
    <x:row r="67">
      <x:c r="E67" s="92"/>
      <x:c r="F67" s="92"/>
    </x:row>
    <x:row r="68">
      <x:c r="E68" s="92"/>
      <x:c r="F68" s="92"/>
    </x:row>
    <x:row r="69">
      <x:c r="E69" s="92"/>
      <x:c r="F69" s="92"/>
    </x:row>
    <x:row r="70">
      <x:c r="E70" s="92"/>
      <x:c r="F70" s="92"/>
    </x:row>
    <x:row r="71">
      <x:c r="E71" s="92"/>
      <x:c r="F71" s="92"/>
    </x:row>
    <x:row r="72">
      <x:c r="E72" s="92"/>
      <x:c r="F72" s="92"/>
    </x:row>
    <x:row r="73">
      <x:c r="E73" s="92"/>
      <x:c r="F73" s="92"/>
    </x:row>
    <x:row r="74">
      <x:c r="E74" s="92"/>
      <x:c r="F74" s="92"/>
    </x:row>
    <x:row r="75">
      <x:c r="E75" s="92"/>
      <x:c r="F75" s="92"/>
    </x:row>
    <x:row r="76">
      <x:c r="E76" s="92"/>
      <x:c r="F76" s="92"/>
    </x:row>
    <x:row r="77">
      <x:c r="E77" s="92"/>
      <x:c r="F77" s="92"/>
    </x:row>
    <x:row r="78">
      <x:c r="E78" s="92"/>
      <x:c r="F78" s="92"/>
    </x:row>
    <x:row r="79">
      <x:c r="E79" s="92"/>
      <x:c r="F79" s="92"/>
    </x:row>
    <x:row r="80">
      <x:c r="E80" s="92"/>
      <x:c r="F80" s="92"/>
    </x:row>
    <x:row r="81">
      <x:c r="E81" s="92"/>
      <x:c r="F81" s="92"/>
    </x:row>
    <x:row r="82">
      <x:c r="E82" s="92"/>
      <x:c r="F82" s="92"/>
    </x:row>
    <x:row r="83">
      <x:c r="E83" s="92"/>
      <x:c r="F83" s="92"/>
    </x:row>
    <x:row r="84">
      <x:c r="E84" s="92"/>
      <x:c r="F84" s="92"/>
    </x:row>
    <x:row r="85">
      <x:c r="E85" s="92"/>
      <x:c r="F85" s="92"/>
    </x:row>
    <x:row r="86">
      <x:c r="E86" s="92"/>
      <x:c r="F86" s="92"/>
    </x:row>
    <x:row r="87">
      <x:c r="E87" s="92"/>
      <x:c r="F87" s="92"/>
    </x:row>
    <x:row r="88">
      <x:c r="E88" s="92"/>
      <x:c r="F88" s="92"/>
    </x:row>
    <x:row r="89">
      <x:c r="E89" s="92"/>
      <x:c r="F89" s="92"/>
    </x:row>
    <x:row r="90">
      <x:c r="E90" s="92"/>
      <x:c r="F90" s="92"/>
    </x:row>
    <x:row r="91">
      <x:c r="E91" s="92"/>
      <x:c r="F91" s="92"/>
    </x:row>
    <x:row r="92">
      <x:c r="E92" s="92"/>
      <x:c r="F92" s="92"/>
    </x:row>
    <x:row r="93">
      <x:c r="E93" s="92"/>
      <x:c r="F93" s="92"/>
    </x:row>
    <x:row r="94">
      <x:c r="E94" s="92"/>
      <x:c r="F94" s="92"/>
    </x:row>
    <x:row r="95">
      <x:c r="E95" s="92"/>
      <x:c r="F95" s="92"/>
    </x:row>
    <x:row r="96">
      <x:c r="E96" s="92"/>
      <x:c r="F96" s="92"/>
    </x:row>
    <x:row r="97">
      <x:c r="E97" s="92"/>
      <x:c r="F97" s="92"/>
    </x:row>
    <x:row r="98">
      <x:c r="E98" s="92"/>
      <x:c r="F98" s="92"/>
    </x:row>
    <x:row r="99">
      <x:c r="E99" s="92"/>
      <x:c r="F99" s="92"/>
    </x:row>
    <x:row r="100">
      <x:c r="E100" s="92"/>
      <x:c r="F100" s="9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09999656677246" hidden="0" customWidth="1"/>
    <x:col min="2" max="2" width="9.109999656677246" hidden="0" customWidth="1"/>
    <x:col min="3" max="3" width="10.4399995803833" hidden="0" customWidth="1"/>
    <x:col min="4" max="4" width="7.78000020980835" hidden="0" customWidth="1"/>
    <x:col min="5" max="5" width="8.220000267028809" hidden="0" customWidth="1"/>
  </x:cols>
  <x:sheetData>
    <x:row r="1">
      <x:c r="A1" s="86" t="str">
        <x:v>Date</x:v>
      </x:c>
      <x:c r="B1" s="86" t="str">
        <x:v>Fund_Code</x:v>
      </x:c>
      <x:c r="C1" s="86" t="str">
        <x:v>AUM_VND_bn</x:v>
      </x:c>
      <x:c r="D1" s="86" t="str">
        <x:v>Source_ID</x:v>
      </x:c>
      <x:c r="E1" s="86" t="str">
        <x:v>Status</x:v>
      </x:c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  <x:c r="T1" s="88"/>
      <x:c r="U1" s="88"/>
      <x:c r="V1" s="88"/>
      <x:c r="W1" s="88"/>
      <x:c r="X1" s="88"/>
      <x:c r="Y1" s="88"/>
      <x:c r="Z1" s="88"/>
    </x:row>
    <x:row r="2">
      <x:c r="A2" s="81" t="str">
        <x:v>2025-01-31</x:v>
      </x:c>
      <x:c r="B2" s="81" t="str">
        <x:v>DCDS</x:v>
      </x:c>
      <x:c r="C2" s="81" t="n">
        <x:v>29202.2</x:v>
      </x:c>
      <x:c r="D2" s="81" t="str">
        <x:v>S004</x:v>
      </x:c>
      <x:c r="E2" s="81" t="str">
        <x:v>Assumption</x:v>
      </x:c>
      <x:c r="F2" s="81"/>
      <x:c r="G2" s="81"/>
      <x:c r="H2" s="81"/>
      <x:c r="I2" s="81"/>
      <x:c r="J2" s="81"/>
      <x:c r="K2" s="81"/>
      <x:c r="L2" s="81"/>
      <x:c r="M2" s="81"/>
      <x:c r="N2" s="81"/>
      <x:c r="O2" s="81"/>
      <x:c r="P2" s="81"/>
      <x:c r="Q2" s="81"/>
      <x:c r="R2" s="81"/>
      <x:c r="S2" s="81"/>
      <x:c r="T2" s="81"/>
      <x:c r="U2" s="81"/>
      <x:c r="V2" s="81"/>
      <x:c r="W2" s="81"/>
      <x:c r="X2" s="81"/>
      <x:c r="Y2" s="81"/>
      <x:c r="Z2" s="81"/>
    </x:row>
    <x:row r="3">
      <x:c r="A3" s="81" t="str">
        <x:v>2025-01-31</x:v>
      </x:c>
      <x:c r="B3" s="81" t="str">
        <x:v>DCBF</x:v>
      </x:c>
      <x:c r="C3" s="81" t="n">
        <x:v>13763.4</x:v>
      </x:c>
      <x:c r="D3" s="81" t="str">
        <x:v>S004</x:v>
      </x:c>
      <x:c r="E3" s="81" t="str">
        <x:v>Assumption</x:v>
      </x:c>
      <x:c r="F3" s="81"/>
      <x:c r="G3" s="81"/>
      <x:c r="H3" s="81"/>
      <x:c r="I3" s="81"/>
      <x:c r="J3" s="81"/>
      <x:c r="K3" s="81"/>
      <x:c r="L3" s="81"/>
      <x:c r="M3" s="81"/>
      <x:c r="N3" s="81"/>
      <x:c r="O3" s="81"/>
      <x:c r="P3" s="81"/>
      <x:c r="Q3" s="81"/>
      <x:c r="R3" s="81"/>
      <x:c r="S3" s="81"/>
      <x:c r="T3" s="81"/>
      <x:c r="U3" s="81"/>
      <x:c r="V3" s="81"/>
      <x:c r="W3" s="81"/>
      <x:c r="X3" s="81"/>
      <x:c r="Y3" s="81"/>
      <x:c r="Z3" s="81"/>
    </x:row>
    <x:row r="4">
      <x:c r="A4" s="81" t="str">
        <x:v>2025-01-31</x:v>
      </x:c>
      <x:c r="B4" s="81" t="str">
        <x:v>DCDE</x:v>
      </x:c>
      <x:c r="C4" s="81" t="n">
        <x:v>11737.2</x:v>
      </x:c>
      <x:c r="D4" s="81" t="str">
        <x:v>S004</x:v>
      </x:c>
      <x:c r="E4" s="81" t="str">
        <x:v>Assumption</x:v>
      </x:c>
      <x:c r="F4" s="81"/>
      <x:c r="G4" s="81"/>
      <x:c r="H4" s="81"/>
      <x:c r="I4" s="81"/>
      <x:c r="J4" s="81"/>
      <x:c r="K4" s="81"/>
      <x:c r="L4" s="81"/>
      <x:c r="M4" s="81"/>
      <x:c r="N4" s="81"/>
      <x:c r="O4" s="81"/>
      <x:c r="P4" s="81"/>
      <x:c r="Q4" s="81"/>
      <x:c r="R4" s="81"/>
      <x:c r="S4" s="81"/>
      <x:c r="T4" s="81"/>
      <x:c r="U4" s="81"/>
      <x:c r="V4" s="81"/>
      <x:c r="W4" s="81"/>
      <x:c r="X4" s="81"/>
      <x:c r="Y4" s="81"/>
      <x:c r="Z4" s="81"/>
    </x:row>
    <x:row r="5">
      <x:c r="A5" s="81" t="str">
        <x:v>2025-01-31</x:v>
      </x:c>
      <x:c r="B5" s="81" t="str">
        <x:v>E1VFVN30</x:v>
      </x:c>
      <x:c r="C5" s="81" t="n">
        <x:v>21289.4</x:v>
      </x:c>
      <x:c r="D5" s="81" t="str">
        <x:v>S004</x:v>
      </x:c>
      <x:c r="E5" s="81" t="str">
        <x:v>Assumption</x:v>
      </x:c>
      <x:c r="F5" s="81"/>
      <x:c r="G5" s="81"/>
      <x:c r="H5" s="81"/>
      <x:c r="I5" s="81"/>
      <x:c r="J5" s="81"/>
      <x:c r="K5" s="81"/>
      <x:c r="L5" s="81"/>
      <x:c r="M5" s="81"/>
      <x:c r="N5" s="81"/>
      <x:c r="O5" s="81"/>
      <x:c r="P5" s="81"/>
      <x:c r="Q5" s="81"/>
      <x:c r="R5" s="81"/>
      <x:c r="S5" s="81"/>
      <x:c r="T5" s="81"/>
      <x:c r="U5" s="81"/>
      <x:c r="V5" s="81"/>
      <x:c r="W5" s="81"/>
      <x:c r="X5" s="81"/>
      <x:c r="Y5" s="81"/>
      <x:c r="Z5" s="81"/>
    </x:row>
    <x:row r="6">
      <x:c r="A6" s="81" t="str">
        <x:v>2025-01-31</x:v>
      </x:c>
      <x:c r="B6" s="81" t="str">
        <x:v>FUEVFVND</x:v>
      </x:c>
      <x:c r="C6" s="81" t="n">
        <x:v>26575.8</x:v>
      </x:c>
      <x:c r="D6" s="81" t="str">
        <x:v>S004</x:v>
      </x:c>
      <x:c r="E6" s="81" t="str">
        <x:v>Assumption</x:v>
      </x:c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</x:row>
    <x:row r="7">
      <x:c r="A7" s="81" t="str">
        <x:v>2025-01-31</x:v>
      </x:c>
      <x:c r="B7" s="81" t="str">
        <x:v>VEF_LOCAL</x:v>
      </x:c>
      <x:c r="C7" s="81" t="n">
        <x:v>13724.2</x:v>
      </x:c>
      <x:c r="D7" s="81" t="str">
        <x:v>S004</x:v>
      </x:c>
      <x:c r="E7" s="81" t="str">
        <x:v>Assumption</x:v>
      </x:c>
      <x:c r="F7" s="81"/>
      <x:c r="G7" s="81"/>
      <x:c r="H7" s="81"/>
      <x:c r="I7" s="81"/>
      <x:c r="J7" s="81"/>
      <x:c r="K7" s="81"/>
      <x:c r="L7" s="81"/>
      <x:c r="M7" s="81"/>
      <x:c r="N7" s="81"/>
      <x:c r="O7" s="81"/>
      <x:c r="P7" s="81"/>
      <x:c r="Q7" s="81"/>
      <x:c r="R7" s="81"/>
      <x:c r="S7" s="81"/>
      <x:c r="T7" s="81"/>
      <x:c r="U7" s="81"/>
      <x:c r="V7" s="81"/>
      <x:c r="W7" s="81"/>
      <x:c r="X7" s="81"/>
      <x:c r="Y7" s="81"/>
      <x:c r="Z7" s="81"/>
    </x:row>
    <x:row r="8">
      <x:c r="A8" s="81" t="str">
        <x:v>2025-02-28</x:v>
      </x:c>
      <x:c r="B8" s="81" t="str">
        <x:v>DCDS</x:v>
      </x:c>
      <x:c r="C8" s="81" t="n">
        <x:v>29005.8</x:v>
      </x:c>
      <x:c r="D8" s="81" t="str">
        <x:v>S004</x:v>
      </x:c>
      <x:c r="E8" s="81" t="str">
        <x:v>Assumption</x:v>
      </x:c>
      <x:c r="F8" s="81"/>
      <x:c r="G8" s="81"/>
      <x:c r="H8" s="81"/>
      <x:c r="I8" s="81"/>
      <x:c r="J8" s="81"/>
      <x:c r="K8" s="81"/>
      <x:c r="L8" s="81"/>
      <x:c r="M8" s="81"/>
      <x:c r="N8" s="81"/>
      <x:c r="O8" s="81"/>
      <x:c r="P8" s="81"/>
      <x:c r="Q8" s="81"/>
      <x:c r="R8" s="81"/>
      <x:c r="S8" s="81"/>
      <x:c r="T8" s="81"/>
      <x:c r="U8" s="81"/>
      <x:c r="V8" s="81"/>
      <x:c r="W8" s="81"/>
      <x:c r="X8" s="81"/>
      <x:c r="Y8" s="81"/>
      <x:c r="Z8" s="81"/>
    </x:row>
    <x:row r="9">
      <x:c r="A9" s="81" t="str">
        <x:v>2025-02-28</x:v>
      </x:c>
      <x:c r="B9" s="81" t="str">
        <x:v>DCBF</x:v>
      </x:c>
      <x:c r="C9" s="81" t="n">
        <x:v>14292.4</x:v>
      </x:c>
      <x:c r="D9" s="81" t="str">
        <x:v>S004</x:v>
      </x:c>
      <x:c r="E9" s="81" t="str">
        <x:v>Assumption</x:v>
      </x:c>
      <x:c r="F9" s="81"/>
      <x:c r="G9" s="81"/>
      <x:c r="H9" s="81"/>
      <x:c r="I9" s="81"/>
      <x:c r="J9" s="81"/>
      <x:c r="K9" s="81"/>
      <x:c r="L9" s="81"/>
      <x:c r="M9" s="81"/>
      <x:c r="N9" s="81"/>
      <x:c r="O9" s="81"/>
      <x:c r="P9" s="81"/>
      <x:c r="Q9" s="81"/>
      <x:c r="R9" s="81"/>
      <x:c r="S9" s="81"/>
      <x:c r="T9" s="81"/>
      <x:c r="U9" s="81"/>
      <x:c r="V9" s="81"/>
      <x:c r="W9" s="81"/>
      <x:c r="X9" s="81"/>
      <x:c r="Y9" s="81"/>
      <x:c r="Z9" s="81"/>
    </x:row>
    <x:row r="10">
      <x:c r="A10" s="81" t="str">
        <x:v>2025-02-28</x:v>
      </x:c>
      <x:c r="B10" s="81" t="str">
        <x:v>DCDE</x:v>
      </x:c>
      <x:c r="C10" s="81" t="n">
        <x:v>12067.5</x:v>
      </x:c>
      <x:c r="D10" s="81" t="str">
        <x:v>S004</x:v>
      </x:c>
      <x:c r="E10" s="81" t="str">
        <x:v>Assumption</x:v>
      </x:c>
      <x:c r="F10" s="81"/>
      <x:c r="G10" s="81"/>
      <x:c r="H10" s="81"/>
      <x:c r="I10" s="81"/>
      <x:c r="J10" s="81"/>
      <x:c r="K10" s="81"/>
      <x:c r="L10" s="81"/>
      <x:c r="M10" s="81"/>
      <x:c r="N10" s="81"/>
      <x:c r="O10" s="81"/>
      <x:c r="P10" s="81"/>
      <x:c r="Q10" s="81"/>
      <x:c r="R10" s="81"/>
      <x:c r="S10" s="81"/>
      <x:c r="T10" s="81"/>
      <x:c r="U10" s="81"/>
      <x:c r="V10" s="81"/>
      <x:c r="W10" s="81"/>
      <x:c r="X10" s="81"/>
      <x:c r="Y10" s="81"/>
      <x:c r="Z10" s="81"/>
    </x:row>
    <x:row r="11">
      <x:c r="A11" s="81" t="str">
        <x:v>2025-02-28</x:v>
      </x:c>
      <x:c r="B11" s="81" t="str">
        <x:v>E1VFVN30</x:v>
      </x:c>
      <x:c r="C11" s="81" t="n">
        <x:v>21602.5</x:v>
      </x:c>
      <x:c r="D11" s="81" t="str">
        <x:v>S004</x:v>
      </x:c>
      <x:c r="E11" s="81" t="str">
        <x:v>Assumption</x:v>
      </x:c>
      <x:c r="F11" s="81"/>
      <x:c r="G11" s="81"/>
      <x:c r="H11" s="81"/>
      <x:c r="I11" s="81"/>
      <x:c r="J11" s="81"/>
      <x:c r="K11" s="81"/>
      <x:c r="L11" s="81"/>
      <x:c r="M11" s="81"/>
      <x:c r="N11" s="81"/>
      <x:c r="O11" s="81"/>
      <x:c r="P11" s="81"/>
      <x:c r="Q11" s="81"/>
      <x:c r="R11" s="81"/>
      <x:c r="S11" s="81"/>
      <x:c r="T11" s="81"/>
      <x:c r="U11" s="81"/>
      <x:c r="V11" s="81"/>
      <x:c r="W11" s="81"/>
      <x:c r="X11" s="81"/>
      <x:c r="Y11" s="81"/>
      <x:c r="Z11" s="81"/>
    </x:row>
    <x:row r="12">
      <x:c r="A12" s="81" t="str">
        <x:v>2025-02-28</x:v>
      </x:c>
      <x:c r="B12" s="81" t="str">
        <x:v>FUEVFVND</x:v>
      </x:c>
      <x:c r="C12" s="81" t="n">
        <x:v>27957.2</x:v>
      </x:c>
      <x:c r="D12" s="81" t="str">
        <x:v>S004</x:v>
      </x:c>
      <x:c r="E12" s="81" t="str">
        <x:v>Assumption</x:v>
      </x:c>
      <x:c r="F12" s="81"/>
      <x:c r="G12" s="81"/>
      <x:c r="H12" s="81"/>
      <x:c r="I12" s="81"/>
      <x:c r="J12" s="81"/>
      <x:c r="K12" s="81"/>
      <x:c r="L12" s="81"/>
      <x:c r="M12" s="81"/>
      <x:c r="N12" s="81"/>
      <x:c r="O12" s="81"/>
      <x:c r="P12" s="81"/>
      <x:c r="Q12" s="81"/>
      <x:c r="R12" s="81"/>
      <x:c r="S12" s="81"/>
      <x:c r="T12" s="81"/>
      <x:c r="U12" s="81"/>
      <x:c r="V12" s="81"/>
      <x:c r="W12" s="81"/>
      <x:c r="X12" s="81"/>
      <x:c r="Y12" s="81"/>
      <x:c r="Z12" s="81"/>
    </x:row>
    <x:row r="13">
      <x:c r="A13" s="81" t="str">
        <x:v>2025-02-28</x:v>
      </x:c>
      <x:c r="B13" s="81" t="str">
        <x:v>VEF_LOCAL</x:v>
      </x:c>
      <x:c r="C13" s="81" t="n">
        <x:v>13972.8</x:v>
      </x:c>
      <x:c r="D13" s="81" t="str">
        <x:v>S004</x:v>
      </x:c>
      <x:c r="E13" s="81" t="str">
        <x:v>Assumption</x:v>
      </x:c>
      <x:c r="F13" s="81"/>
      <x:c r="G13" s="81"/>
      <x:c r="H13" s="81"/>
      <x:c r="I13" s="81"/>
      <x:c r="J13" s="81"/>
      <x:c r="K13" s="81"/>
      <x:c r="L13" s="81"/>
      <x:c r="M13" s="81"/>
      <x:c r="N13" s="81"/>
      <x:c r="O13" s="81"/>
      <x:c r="P13" s="81"/>
      <x:c r="Q13" s="81"/>
      <x:c r="R13" s="81"/>
      <x:c r="S13" s="81"/>
      <x:c r="T13" s="81"/>
      <x:c r="U13" s="81"/>
      <x:c r="V13" s="81"/>
      <x:c r="W13" s="81"/>
      <x:c r="X13" s="81"/>
      <x:c r="Y13" s="81"/>
      <x:c r="Z13" s="81"/>
    </x:row>
    <x:row r="14">
      <x:c r="A14" s="81" t="str">
        <x:v>2025-03-31</x:v>
      </x:c>
      <x:c r="B14" s="81" t="str">
        <x:v>DCDS</x:v>
      </x:c>
      <x:c r="C14" s="81" t="n">
        <x:v>30848.2</x:v>
      </x:c>
      <x:c r="D14" s="81" t="str">
        <x:v>S004</x:v>
      </x:c>
      <x:c r="E14" s="81" t="str">
        <x:v>Assumption</x:v>
      </x:c>
      <x:c r="F14" s="81"/>
      <x:c r="G14" s="81"/>
      <x:c r="H14" s="81"/>
      <x:c r="I14" s="81"/>
      <x:c r="J14" s="81"/>
      <x:c r="K14" s="81"/>
      <x:c r="L14" s="81"/>
      <x:c r="M14" s="81"/>
      <x:c r="N14" s="81"/>
      <x:c r="O14" s="81"/>
      <x:c r="P14" s="81"/>
      <x:c r="Q14" s="81"/>
      <x:c r="R14" s="81"/>
      <x:c r="S14" s="81"/>
      <x:c r="T14" s="81"/>
      <x:c r="U14" s="81"/>
      <x:c r="V14" s="81"/>
      <x:c r="W14" s="81"/>
      <x:c r="X14" s="81"/>
      <x:c r="Y14" s="81"/>
      <x:c r="Z14" s="81"/>
    </x:row>
    <x:row r="15">
      <x:c r="A15" s="81" t="str">
        <x:v>2025-03-31</x:v>
      </x:c>
      <x:c r="B15" s="81" t="str">
        <x:v>DCBF</x:v>
      </x:c>
      <x:c r="C15" s="81" t="n">
        <x:v>14928.2</x:v>
      </x:c>
      <x:c r="D15" s="81" t="str">
        <x:v>S004</x:v>
      </x:c>
      <x:c r="E15" s="81" t="str">
        <x:v>Assumption</x:v>
      </x:c>
      <x:c r="F15" s="81"/>
      <x:c r="G15" s="81"/>
      <x:c r="H15" s="81"/>
      <x:c r="I15" s="81"/>
      <x:c r="J15" s="81"/>
      <x:c r="K15" s="81"/>
      <x:c r="L15" s="81"/>
      <x:c r="M15" s="81"/>
      <x:c r="N15" s="81"/>
      <x:c r="O15" s="81"/>
      <x:c r="P15" s="81"/>
      <x:c r="Q15" s="81"/>
      <x:c r="R15" s="81"/>
      <x:c r="S15" s="81"/>
      <x:c r="T15" s="81"/>
      <x:c r="U15" s="81"/>
      <x:c r="V15" s="81"/>
      <x:c r="W15" s="81"/>
      <x:c r="X15" s="81"/>
      <x:c r="Y15" s="81"/>
      <x:c r="Z15" s="81"/>
    </x:row>
    <x:row r="16">
      <x:c r="A16" s="81" t="str">
        <x:v>2025-03-31</x:v>
      </x:c>
      <x:c r="B16" s="81" t="str">
        <x:v>DCDE</x:v>
      </x:c>
      <x:c r="C16" s="81" t="n">
        <x:v>12352.8</x:v>
      </x:c>
      <x:c r="D16" s="81" t="str">
        <x:v>S004</x:v>
      </x:c>
      <x:c r="E16" s="81" t="str">
        <x:v>Assumption</x:v>
      </x:c>
      <x:c r="F16" s="81"/>
      <x:c r="G16" s="81"/>
      <x:c r="H16" s="81"/>
      <x:c r="I16" s="81"/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81"/>
      <x:c r="W16" s="81"/>
      <x:c r="X16" s="81"/>
      <x:c r="Y16" s="81"/>
      <x:c r="Z16" s="81"/>
    </x:row>
    <x:row r="17">
      <x:c r="A17" s="81" t="str">
        <x:v>2025-03-31</x:v>
      </x:c>
      <x:c r="B17" s="81" t="str">
        <x:v>E1VFVN30</x:v>
      </x:c>
      <x:c r="C17" s="81" t="n">
        <x:v>21959.4</x:v>
      </x:c>
      <x:c r="D17" s="81" t="str">
        <x:v>S004</x:v>
      </x:c>
      <x:c r="E17" s="81" t="str">
        <x:v>Assumption</x:v>
      </x:c>
      <x:c r="F17" s="81"/>
      <x:c r="G17" s="81"/>
      <x:c r="H17" s="81"/>
      <x:c r="I17" s="81"/>
      <x:c r="J17" s="81"/>
      <x:c r="K17" s="81"/>
      <x:c r="L17" s="81"/>
      <x:c r="M17" s="81"/>
      <x:c r="N17" s="81"/>
      <x:c r="O17" s="81"/>
      <x:c r="P17" s="81"/>
      <x:c r="Q17" s="81"/>
      <x:c r="R17" s="81"/>
      <x:c r="S17" s="81"/>
      <x:c r="T17" s="81"/>
      <x:c r="U17" s="81"/>
      <x:c r="V17" s="81"/>
      <x:c r="W17" s="81"/>
      <x:c r="X17" s="81"/>
      <x:c r="Y17" s="81"/>
      <x:c r="Z17" s="81"/>
    </x:row>
    <x:row r="18">
      <x:c r="A18" s="81" t="str">
        <x:v>2025-03-31</x:v>
      </x:c>
      <x:c r="B18" s="81" t="str">
        <x:v>FUEVFVND</x:v>
      </x:c>
      <x:c r="C18" s="81" t="n">
        <x:v>27570.8</x:v>
      </x:c>
      <x:c r="D18" s="81" t="str">
        <x:v>S004</x:v>
      </x:c>
      <x:c r="E18" s="81" t="str">
        <x:v>Assumption</x:v>
      </x:c>
      <x:c r="F18" s="81"/>
      <x:c r="G18" s="81"/>
      <x:c r="H18" s="81"/>
      <x:c r="I18" s="81"/>
      <x:c r="J18" s="81"/>
      <x:c r="K18" s="81"/>
      <x:c r="L18" s="81"/>
      <x:c r="M18" s="81"/>
      <x:c r="N18" s="81"/>
      <x:c r="O18" s="81"/>
      <x:c r="P18" s="81"/>
      <x:c r="Q18" s="81"/>
      <x:c r="R18" s="81"/>
      <x:c r="S18" s="81"/>
      <x:c r="T18" s="81"/>
      <x:c r="U18" s="81"/>
      <x:c r="V18" s="81"/>
      <x:c r="W18" s="81"/>
      <x:c r="X18" s="81"/>
      <x:c r="Y18" s="81"/>
      <x:c r="Z18" s="81"/>
    </x:row>
    <x:row r="19">
      <x:c r="A19" s="81" t="str">
        <x:v>2025-03-31</x:v>
      </x:c>
      <x:c r="B19" s="81" t="str">
        <x:v>VEF_LOCAL</x:v>
      </x:c>
      <x:c r="C19" s="81" t="n">
        <x:v>14388.4</x:v>
      </x:c>
      <x:c r="D19" s="81" t="str">
        <x:v>S004</x:v>
      </x:c>
      <x:c r="E19" s="81" t="str">
        <x:v>Assumption</x:v>
      </x:c>
      <x:c r="F19" s="81"/>
      <x:c r="G19" s="81"/>
      <x:c r="H19" s="81"/>
      <x:c r="I19" s="81"/>
      <x:c r="J19" s="81"/>
      <x:c r="K19" s="81"/>
      <x:c r="L19" s="81"/>
      <x:c r="M19" s="81"/>
      <x:c r="N19" s="81"/>
      <x:c r="O19" s="81"/>
      <x:c r="P19" s="81"/>
      <x:c r="Q19" s="81"/>
      <x:c r="R19" s="81"/>
      <x:c r="S19" s="81"/>
      <x:c r="T19" s="81"/>
      <x:c r="U19" s="81"/>
      <x:c r="V19" s="81"/>
      <x:c r="W19" s="81"/>
      <x:c r="X19" s="81"/>
      <x:c r="Y19" s="81"/>
      <x:c r="Z19" s="81"/>
    </x:row>
    <x:row r="20">
      <x:c r="A20" s="81" t="str">
        <x:v>2025-04-30</x:v>
      </x:c>
      <x:c r="B20" s="81" t="str">
        <x:v>DCDS</x:v>
      </x:c>
      <x:c r="C20" s="81" t="n">
        <x:v>31195.3</x:v>
      </x:c>
      <x:c r="D20" s="81" t="str">
        <x:v>S004</x:v>
      </x:c>
      <x:c r="E20" s="81" t="str">
        <x:v>Assumption</x:v>
      </x:c>
      <x:c r="F20" s="81"/>
      <x:c r="G20" s="81"/>
      <x:c r="H20" s="81"/>
      <x:c r="I20" s="81"/>
      <x:c r="J20" s="81"/>
      <x:c r="K20" s="81"/>
      <x:c r="L20" s="81"/>
      <x:c r="M20" s="81"/>
      <x:c r="N20" s="81"/>
      <x:c r="O20" s="81"/>
      <x:c r="P20" s="81"/>
      <x:c r="Q20" s="81"/>
      <x:c r="R20" s="81"/>
      <x:c r="S20" s="81"/>
      <x:c r="T20" s="81"/>
      <x:c r="U20" s="81"/>
      <x:c r="V20" s="81"/>
      <x:c r="W20" s="81"/>
      <x:c r="X20" s="81"/>
      <x:c r="Y20" s="81"/>
      <x:c r="Z20" s="81"/>
    </x:row>
    <x:row r="21">
      <x:c r="A21" s="81" t="str">
        <x:v>2025-04-30</x:v>
      </x:c>
      <x:c r="B21" s="81" t="str">
        <x:v>DCBF</x:v>
      </x:c>
      <x:c r="C21" s="81" t="n">
        <x:v>14656.8</x:v>
      </x:c>
      <x:c r="D21" s="81" t="str">
        <x:v>S004</x:v>
      </x:c>
      <x:c r="E21" s="81" t="str">
        <x:v>Assumption</x:v>
      </x:c>
      <x:c r="F21" s="81"/>
      <x:c r="G21" s="81"/>
      <x:c r="H21" s="81"/>
      <x:c r="I21" s="81"/>
      <x:c r="J21" s="81"/>
      <x:c r="K21" s="81"/>
      <x:c r="L21" s="81"/>
      <x:c r="M21" s="81"/>
      <x:c r="N21" s="81"/>
      <x:c r="O21" s="81"/>
      <x:c r="P21" s="81"/>
      <x:c r="Q21" s="81"/>
      <x:c r="R21" s="81"/>
      <x:c r="S21" s="81"/>
      <x:c r="T21" s="81"/>
      <x:c r="U21" s="81"/>
      <x:c r="V21" s="81"/>
      <x:c r="W21" s="81"/>
      <x:c r="X21" s="81"/>
      <x:c r="Y21" s="81"/>
      <x:c r="Z21" s="81"/>
    </x:row>
    <x:row r="22">
      <x:c r="A22" s="81" t="str">
        <x:v>2025-04-30</x:v>
      </x:c>
      <x:c r="B22" s="81" t="str">
        <x:v>DCDE</x:v>
      </x:c>
      <x:c r="C22" s="81" t="n">
        <x:v>12485.8</x:v>
      </x:c>
      <x:c r="D22" s="81" t="str">
        <x:v>S004</x:v>
      </x:c>
      <x:c r="E22" s="81" t="str">
        <x:v>Assumption</x:v>
      </x:c>
      <x:c r="F22" s="81"/>
      <x:c r="G22" s="81"/>
      <x:c r="H22" s="81"/>
      <x:c r="I22" s="81"/>
      <x:c r="J22" s="81"/>
      <x:c r="K22" s="81"/>
      <x:c r="L22" s="81"/>
      <x:c r="M22" s="81"/>
      <x:c r="N22" s="81"/>
      <x:c r="O22" s="81"/>
      <x:c r="P22" s="81"/>
      <x:c r="Q22" s="81"/>
      <x:c r="R22" s="81"/>
      <x:c r="S22" s="81"/>
      <x:c r="T22" s="81"/>
      <x:c r="U22" s="81"/>
      <x:c r="V22" s="81"/>
      <x:c r="W22" s="81"/>
      <x:c r="X22" s="81"/>
      <x:c r="Y22" s="81"/>
      <x:c r="Z22" s="81"/>
    </x:row>
    <x:row r="23">
      <x:c r="A23" s="81" t="str">
        <x:v>2025-04-30</x:v>
      </x:c>
      <x:c r="B23" s="81" t="str">
        <x:v>E1VFVN30</x:v>
      </x:c>
      <x:c r="C23" s="81" t="n">
        <x:v>22564.8</x:v>
      </x:c>
      <x:c r="D23" s="81" t="str">
        <x:v>S004</x:v>
      </x:c>
      <x:c r="E23" s="81" t="str">
        <x:v>Assumption</x:v>
      </x:c>
      <x:c r="F23" s="81"/>
      <x:c r="G23" s="81"/>
      <x:c r="H23" s="81"/>
      <x:c r="I23" s="81"/>
      <x:c r="J23" s="81"/>
      <x:c r="K23" s="81"/>
      <x:c r="L23" s="81"/>
      <x:c r="M23" s="81"/>
      <x:c r="N23" s="81"/>
      <x:c r="O23" s="81"/>
      <x:c r="P23" s="81"/>
      <x:c r="Q23" s="81"/>
      <x:c r="R23" s="81"/>
      <x:c r="S23" s="81"/>
      <x:c r="T23" s="81"/>
      <x:c r="U23" s="81"/>
      <x:c r="V23" s="81"/>
      <x:c r="W23" s="81"/>
      <x:c r="X23" s="81"/>
      <x:c r="Y23" s="81"/>
      <x:c r="Z23" s="81"/>
    </x:row>
    <x:row r="24">
      <x:c r="A24" s="81" t="str">
        <x:v>2025-04-30</x:v>
      </x:c>
      <x:c r="B24" s="81" t="str">
        <x:v>FUEVFVND</x:v>
      </x:c>
      <x:c r="C24" s="81" t="n">
        <x:v>29204</x:v>
      </x:c>
      <x:c r="D24" s="81" t="str">
        <x:v>S004</x:v>
      </x:c>
      <x:c r="E24" s="81" t="str">
        <x:v>Assumption</x:v>
      </x:c>
      <x:c r="F24" s="81"/>
      <x:c r="G24" s="81"/>
      <x:c r="H24" s="81"/>
      <x:c r="I24" s="81"/>
      <x:c r="J24" s="81"/>
      <x:c r="K24" s="81"/>
      <x:c r="L24" s="81"/>
      <x:c r="M24" s="81"/>
      <x:c r="N24" s="81"/>
      <x:c r="O24" s="81"/>
      <x:c r="P24" s="81"/>
      <x:c r="Q24" s="81"/>
      <x:c r="R24" s="81"/>
      <x:c r="S24" s="81"/>
      <x:c r="T24" s="81"/>
      <x:c r="U24" s="81"/>
      <x:c r="V24" s="81"/>
      <x:c r="W24" s="81"/>
      <x:c r="X24" s="81"/>
      <x:c r="Y24" s="81"/>
      <x:c r="Z24" s="81"/>
    </x:row>
    <x:row r="25">
      <x:c r="A25" s="81" t="str">
        <x:v>2025-04-30</x:v>
      </x:c>
      <x:c r="B25" s="81" t="str">
        <x:v>VEF_LOCAL</x:v>
      </x:c>
      <x:c r="C25" s="81" t="n">
        <x:v>15010.1</x:v>
      </x:c>
      <x:c r="D25" s="81" t="str">
        <x:v>S004</x:v>
      </x:c>
      <x:c r="E25" s="81" t="str">
        <x:v>Assumption</x:v>
      </x:c>
      <x:c r="F25" s="81"/>
      <x:c r="G25" s="81"/>
      <x:c r="H25" s="81"/>
      <x:c r="I25" s="81"/>
      <x:c r="J25" s="81"/>
      <x:c r="K25" s="81"/>
      <x:c r="L25" s="81"/>
      <x:c r="M25" s="81"/>
      <x:c r="N25" s="81"/>
      <x:c r="O25" s="81"/>
      <x:c r="P25" s="81"/>
      <x:c r="Q25" s="81"/>
      <x:c r="R25" s="81"/>
      <x:c r="S25" s="81"/>
      <x:c r="T25" s="81"/>
      <x:c r="U25" s="81"/>
      <x:c r="V25" s="81"/>
      <x:c r="W25" s="81"/>
      <x:c r="X25" s="81"/>
      <x:c r="Y25" s="81"/>
      <x:c r="Z25" s="81"/>
    </x:row>
    <x:row r="26">
      <x:c r="A26" s="81" t="str">
        <x:v>2025-05-31</x:v>
      </x:c>
      <x:c r="B26" s="81" t="str">
        <x:v>DCDS</x:v>
      </x:c>
      <x:c r="C26" s="81" t="n">
        <x:v>31067.8</x:v>
      </x:c>
      <x:c r="D26" s="81" t="str">
        <x:v>S004</x:v>
      </x:c>
      <x:c r="E26" s="81" t="str">
        <x:v>Assumption</x:v>
      </x:c>
      <x:c r="F26" s="81"/>
      <x:c r="G26" s="81"/>
      <x:c r="H26" s="81"/>
      <x:c r="I26" s="81"/>
      <x:c r="J26" s="81"/>
      <x:c r="K26" s="81"/>
      <x:c r="L26" s="81"/>
      <x:c r="M26" s="81"/>
      <x:c r="N26" s="81"/>
      <x:c r="O26" s="81"/>
      <x:c r="P26" s="81"/>
      <x:c r="Q26" s="81"/>
      <x:c r="R26" s="81"/>
      <x:c r="S26" s="81"/>
      <x:c r="T26" s="81"/>
      <x:c r="U26" s="81"/>
      <x:c r="V26" s="81"/>
      <x:c r="W26" s="81"/>
      <x:c r="X26" s="81"/>
      <x:c r="Y26" s="81"/>
      <x:c r="Z26" s="81"/>
    </x:row>
    <x:row r="27">
      <x:c r="A27" s="81" t="str">
        <x:v>2025-05-31</x:v>
      </x:c>
      <x:c r="B27" s="81" t="str">
        <x:v>DCBF</x:v>
      </x:c>
      <x:c r="C27" s="81" t="n">
        <x:v>14941.8</x:v>
      </x:c>
      <x:c r="D27" s="81" t="str">
        <x:v>S004</x:v>
      </x:c>
      <x:c r="E27" s="81" t="str">
        <x:v>Assumption</x:v>
      </x:c>
      <x:c r="F27" s="81"/>
      <x:c r="G27" s="81"/>
      <x:c r="H27" s="81"/>
      <x:c r="I27" s="81"/>
      <x:c r="J27" s="81"/>
      <x:c r="K27" s="81"/>
      <x:c r="L27" s="81"/>
      <x:c r="M27" s="81"/>
      <x:c r="N27" s="81"/>
      <x:c r="O27" s="81"/>
      <x:c r="P27" s="81"/>
      <x:c r="Q27" s="81"/>
      <x:c r="R27" s="81"/>
      <x:c r="S27" s="81"/>
      <x:c r="T27" s="81"/>
      <x:c r="U27" s="81"/>
      <x:c r="V27" s="81"/>
      <x:c r="W27" s="81"/>
      <x:c r="X27" s="81"/>
      <x:c r="Y27" s="81"/>
      <x:c r="Z27" s="81"/>
    </x:row>
    <x:row r="28">
      <x:c r="A28" s="81" t="str">
        <x:v>2025-05-31</x:v>
      </x:c>
      <x:c r="B28" s="81" t="str">
        <x:v>DCDE</x:v>
      </x:c>
      <x:c r="C28" s="81" t="n">
        <x:v>12834.9</x:v>
      </x:c>
      <x:c r="D28" s="81" t="str">
        <x:v>S004</x:v>
      </x:c>
      <x:c r="E28" s="81" t="str">
        <x:v>Assumption</x:v>
      </x:c>
      <x:c r="F28" s="81"/>
      <x:c r="G28" s="81"/>
      <x:c r="H28" s="81"/>
      <x:c r="I28" s="81"/>
      <x:c r="J28" s="81"/>
      <x:c r="K28" s="81"/>
      <x:c r="L28" s="81"/>
      <x:c r="M28" s="81"/>
      <x:c r="N28" s="81"/>
      <x:c r="O28" s="81"/>
      <x:c r="P28" s="81"/>
      <x:c r="Q28" s="81"/>
      <x:c r="R28" s="81"/>
      <x:c r="S28" s="81"/>
      <x:c r="T28" s="81"/>
      <x:c r="U28" s="81"/>
      <x:c r="V28" s="81"/>
      <x:c r="W28" s="81"/>
      <x:c r="X28" s="81"/>
      <x:c r="Y28" s="81"/>
      <x:c r="Z28" s="81"/>
    </x:row>
    <x:row r="29">
      <x:c r="A29" s="81" t="str">
        <x:v>2025-05-31</x:v>
      </x:c>
      <x:c r="B29" s="81" t="str">
        <x:v>E1VFVN30</x:v>
      </x:c>
      <x:c r="C29" s="81" t="n">
        <x:v>22557.7</x:v>
      </x:c>
      <x:c r="D29" s="81" t="str">
        <x:v>S004</x:v>
      </x:c>
      <x:c r="E29" s="81" t="str">
        <x:v>Assumption</x:v>
      </x:c>
      <x:c r="F29" s="81"/>
      <x:c r="G29" s="81"/>
      <x:c r="H29" s="81"/>
      <x:c r="I29" s="81"/>
      <x:c r="J29" s="81"/>
      <x:c r="K29" s="81"/>
      <x:c r="L29" s="81"/>
      <x:c r="M29" s="81"/>
      <x:c r="N29" s="81"/>
      <x:c r="O29" s="81"/>
      <x:c r="P29" s="81"/>
      <x:c r="Q29" s="81"/>
      <x:c r="R29" s="81"/>
      <x:c r="S29" s="81"/>
      <x:c r="T29" s="81"/>
      <x:c r="U29" s="81"/>
      <x:c r="V29" s="81"/>
      <x:c r="W29" s="81"/>
      <x:c r="X29" s="81"/>
      <x:c r="Y29" s="81"/>
      <x:c r="Z29" s="81"/>
    </x:row>
    <x:row r="30">
      <x:c r="A30" s="81" t="str">
        <x:v>2025-05-31</x:v>
      </x:c>
      <x:c r="B30" s="81" t="str">
        <x:v>FUEVFVND</x:v>
      </x:c>
      <x:c r="C30" s="81" t="n">
        <x:v>28634.3</x:v>
      </x:c>
      <x:c r="D30" s="81" t="str">
        <x:v>S004</x:v>
      </x:c>
      <x:c r="E30" s="81" t="str">
        <x:v>Assumption</x:v>
      </x:c>
      <x:c r="F30" s="81"/>
      <x:c r="G30" s="81"/>
      <x:c r="H30" s="81"/>
      <x:c r="I30" s="81"/>
      <x:c r="J30" s="81"/>
      <x:c r="K30" s="81"/>
      <x:c r="L30" s="81"/>
      <x:c r="M30" s="81"/>
      <x:c r="N30" s="81"/>
      <x:c r="O30" s="81"/>
      <x:c r="P30" s="81"/>
      <x:c r="Q30" s="81"/>
      <x:c r="R30" s="81"/>
      <x:c r="S30" s="81"/>
      <x:c r="T30" s="81"/>
      <x:c r="U30" s="81"/>
      <x:c r="V30" s="81"/>
      <x:c r="W30" s="81"/>
      <x:c r="X30" s="81"/>
      <x:c r="Y30" s="81"/>
      <x:c r="Z30" s="81"/>
    </x:row>
    <x:row r="31">
      <x:c r="A31" s="81" t="str">
        <x:v>2025-05-31</x:v>
      </x:c>
      <x:c r="B31" s="81" t="str">
        <x:v>VEF_LOCAL</x:v>
      </x:c>
      <x:c r="C31" s="81" t="n">
        <x:v>14938</x:v>
      </x:c>
      <x:c r="D31" s="81" t="str">
        <x:v>S004</x:v>
      </x:c>
      <x:c r="E31" s="81" t="str">
        <x:v>Assumption</x:v>
      </x:c>
      <x:c r="F31" s="81"/>
      <x:c r="G31" s="81"/>
      <x:c r="H31" s="81"/>
      <x:c r="I31" s="81"/>
      <x:c r="J31" s="81"/>
      <x:c r="K31" s="81"/>
      <x:c r="L31" s="81"/>
      <x:c r="M31" s="81"/>
      <x:c r="N31" s="81"/>
      <x:c r="O31" s="81"/>
      <x:c r="P31" s="81"/>
      <x:c r="Q31" s="81"/>
      <x:c r="R31" s="81"/>
      <x:c r="S31" s="81"/>
      <x:c r="T31" s="81"/>
      <x:c r="U31" s="81"/>
      <x:c r="V31" s="81"/>
      <x:c r="W31" s="81"/>
      <x:c r="X31" s="81"/>
      <x:c r="Y31" s="81"/>
      <x:c r="Z31" s="81"/>
    </x:row>
    <x:row r="32">
      <x:c r="A32" s="81" t="str">
        <x:v>2025-06-30</x:v>
      </x:c>
      <x:c r="B32" s="81" t="str">
        <x:v>DCDS</x:v>
      </x:c>
      <x:c r="C32" s="81" t="n">
        <x:v>31734.9</x:v>
      </x:c>
      <x:c r="D32" s="81" t="str">
        <x:v>S004</x:v>
      </x:c>
      <x:c r="E32" s="81" t="str">
        <x:v>Assumption</x:v>
      </x:c>
      <x:c r="F32" s="81"/>
      <x:c r="G32" s="81"/>
      <x:c r="H32" s="81"/>
      <x:c r="I32" s="81"/>
      <x:c r="J32" s="81"/>
      <x:c r="K32" s="81"/>
      <x:c r="L32" s="81"/>
      <x:c r="M32" s="81"/>
      <x:c r="N32" s="81"/>
      <x:c r="O32" s="81"/>
      <x:c r="P32" s="81"/>
      <x:c r="Q32" s="81"/>
      <x:c r="R32" s="81"/>
      <x:c r="S32" s="81"/>
      <x:c r="T32" s="81"/>
      <x:c r="U32" s="81"/>
      <x:c r="V32" s="81"/>
      <x:c r="W32" s="81"/>
      <x:c r="X32" s="81"/>
      <x:c r="Y32" s="81"/>
      <x:c r="Z32" s="81"/>
    </x:row>
    <x:row r="33">
      <x:c r="A33" s="81" t="str">
        <x:v>2025-06-30</x:v>
      </x:c>
      <x:c r="B33" s="81" t="str">
        <x:v>DCBF</x:v>
      </x:c>
      <x:c r="C33" s="81" t="n">
        <x:v>15317.1</x:v>
      </x:c>
      <x:c r="D33" s="81" t="str">
        <x:v>S004</x:v>
      </x:c>
      <x:c r="E33" s="81" t="str">
        <x:v>Assumption</x:v>
      </x:c>
      <x:c r="F33" s="81"/>
      <x:c r="G33" s="81"/>
      <x:c r="H33" s="81"/>
      <x:c r="I33" s="81"/>
      <x:c r="J33" s="81"/>
      <x:c r="K33" s="81"/>
      <x:c r="L33" s="81"/>
      <x:c r="M33" s="81"/>
      <x:c r="N33" s="81"/>
      <x:c r="O33" s="81"/>
      <x:c r="P33" s="81"/>
      <x:c r="Q33" s="81"/>
      <x:c r="R33" s="81"/>
      <x:c r="S33" s="81"/>
      <x:c r="T33" s="81"/>
      <x:c r="U33" s="81"/>
      <x:c r="V33" s="81"/>
      <x:c r="W33" s="81"/>
      <x:c r="X33" s="81"/>
      <x:c r="Y33" s="81"/>
      <x:c r="Z33" s="81"/>
    </x:row>
    <x:row r="34">
      <x:c r="A34" s="81" t="str">
        <x:v>2025-06-30</x:v>
      </x:c>
      <x:c r="B34" s="81" t="str">
        <x:v>DCDE</x:v>
      </x:c>
      <x:c r="C34" s="81" t="n">
        <x:v>12509.1</x:v>
      </x:c>
      <x:c r="D34" s="81" t="str">
        <x:v>S004</x:v>
      </x:c>
      <x:c r="E34" s="81" t="str">
        <x:v>Assumption</x:v>
      </x:c>
      <x:c r="F34" s="81"/>
      <x:c r="G34" s="81"/>
      <x:c r="H34" s="81"/>
      <x:c r="I34" s="81"/>
      <x:c r="J34" s="81"/>
      <x:c r="K34" s="81"/>
      <x:c r="L34" s="81"/>
      <x:c r="M34" s="81"/>
      <x:c r="N34" s="81"/>
      <x:c r="O34" s="81"/>
      <x:c r="P34" s="81"/>
      <x:c r="Q34" s="81"/>
      <x:c r="R34" s="81"/>
      <x:c r="S34" s="81"/>
      <x:c r="T34" s="81"/>
      <x:c r="U34" s="81"/>
      <x:c r="V34" s="81"/>
      <x:c r="W34" s="81"/>
      <x:c r="X34" s="81"/>
      <x:c r="Y34" s="81"/>
      <x:c r="Z34" s="81"/>
    </x:row>
    <x:row r="35">
      <x:c r="A35" s="81" t="str">
        <x:v>2025-06-30</x:v>
      </x:c>
      <x:c r="B35" s="81" t="str">
        <x:v>E1VFVN30</x:v>
      </x:c>
      <x:c r="C35" s="81" t="n">
        <x:v>22875.3</x:v>
      </x:c>
      <x:c r="D35" s="81" t="str">
        <x:v>S004</x:v>
      </x:c>
      <x:c r="E35" s="81" t="str">
        <x:v>Assumption</x:v>
      </x:c>
      <x:c r="F35" s="81"/>
      <x:c r="G35" s="81"/>
      <x:c r="H35" s="81"/>
      <x:c r="I35" s="81"/>
      <x:c r="J35" s="81"/>
      <x:c r="K35" s="81"/>
      <x:c r="L35" s="81"/>
      <x:c r="M35" s="81"/>
      <x:c r="N35" s="81"/>
      <x:c r="O35" s="81"/>
      <x:c r="P35" s="81"/>
      <x:c r="Q35" s="81"/>
      <x:c r="R35" s="81"/>
      <x:c r="S35" s="81"/>
      <x:c r="T35" s="81"/>
      <x:c r="U35" s="81"/>
      <x:c r="V35" s="81"/>
      <x:c r="W35" s="81"/>
      <x:c r="X35" s="81"/>
      <x:c r="Y35" s="81"/>
      <x:c r="Z35" s="81"/>
    </x:row>
    <x:row r="36">
      <x:c r="A36" s="81" t="str">
        <x:v>2025-06-30</x:v>
      </x:c>
      <x:c r="B36" s="81" t="str">
        <x:v>FUEVFVND</x:v>
      </x:c>
      <x:c r="C36" s="81" t="n">
        <x:v>30071.6</x:v>
      </x:c>
      <x:c r="D36" s="81" t="str">
        <x:v>S004</x:v>
      </x:c>
      <x:c r="E36" s="81" t="str">
        <x:v>Assumption</x:v>
      </x:c>
      <x:c r="F36" s="81"/>
      <x:c r="G36" s="81"/>
      <x:c r="H36" s="81"/>
      <x:c r="I36" s="81"/>
      <x:c r="J36" s="81"/>
      <x:c r="K36" s="81"/>
      <x:c r="L36" s="81"/>
      <x:c r="M36" s="81"/>
      <x:c r="N36" s="81"/>
      <x:c r="O36" s="81"/>
      <x:c r="P36" s="81"/>
      <x:c r="Q36" s="81"/>
      <x:c r="R36" s="81"/>
      <x:c r="S36" s="81"/>
      <x:c r="T36" s="81"/>
      <x:c r="U36" s="81"/>
      <x:c r="V36" s="81"/>
      <x:c r="W36" s="81"/>
      <x:c r="X36" s="81"/>
      <x:c r="Y36" s="81"/>
      <x:c r="Z36" s="81"/>
    </x:row>
    <x:row r="37">
      <x:c r="A37" s="81" t="str">
        <x:v>2025-06-30</x:v>
      </x:c>
      <x:c r="B37" s="81" t="str">
        <x:v>VEF_LOCAL</x:v>
      </x:c>
      <x:c r="C37" s="81" t="n">
        <x:v>15585.9</x:v>
      </x:c>
      <x:c r="D37" s="81" t="str">
        <x:v>S004</x:v>
      </x:c>
      <x:c r="E37" s="81" t="str">
        <x:v>Assumption</x:v>
      </x:c>
      <x:c r="F37" s="81"/>
      <x:c r="G37" s="81"/>
      <x:c r="H37" s="81"/>
      <x:c r="I37" s="81"/>
      <x:c r="J37" s="81"/>
      <x:c r="K37" s="81"/>
      <x:c r="L37" s="81"/>
      <x:c r="M37" s="81"/>
      <x:c r="N37" s="81"/>
      <x:c r="O37" s="81"/>
      <x:c r="P37" s="81"/>
      <x:c r="Q37" s="81"/>
      <x:c r="R37" s="81"/>
      <x:c r="S37" s="81"/>
      <x:c r="T37" s="81"/>
      <x:c r="U37" s="81"/>
      <x:c r="V37" s="81"/>
      <x:c r="W37" s="81"/>
      <x:c r="X37" s="81"/>
      <x:c r="Y37" s="81"/>
      <x:c r="Z37" s="81"/>
    </x:row>
    <x:row r="38">
      <x:c r="A38" s="81" t="str">
        <x:v>2025-07-31</x:v>
      </x:c>
      <x:c r="B38" s="81" t="str">
        <x:v>DCDS</x:v>
      </x:c>
      <x:c r="C38" s="81" t="n">
        <x:v>32477.4</x:v>
      </x:c>
      <x:c r="D38" s="81" t="str">
        <x:v>S004</x:v>
      </x:c>
      <x:c r="E38" s="81" t="str">
        <x:v>Assumption</x:v>
      </x:c>
      <x:c r="F38" s="81"/>
      <x:c r="G38" s="81"/>
      <x:c r="H38" s="81"/>
      <x:c r="I38" s="81"/>
      <x:c r="J38" s="81"/>
      <x:c r="K38" s="81"/>
      <x:c r="L38" s="81"/>
      <x:c r="M38" s="81"/>
      <x:c r="N38" s="81"/>
      <x:c r="O38" s="81"/>
      <x:c r="P38" s="81"/>
      <x:c r="Q38" s="81"/>
      <x:c r="R38" s="81"/>
      <x:c r="S38" s="81"/>
      <x:c r="T38" s="81"/>
      <x:c r="U38" s="81"/>
      <x:c r="V38" s="81"/>
      <x:c r="W38" s="81"/>
      <x:c r="X38" s="81"/>
      <x:c r="Y38" s="81"/>
      <x:c r="Z38" s="81"/>
    </x:row>
    <x:row r="39">
      <x:c r="A39" s="81" t="str">
        <x:v>2025-07-31</x:v>
      </x:c>
      <x:c r="B39" s="81" t="str">
        <x:v>DCBF</x:v>
      </x:c>
      <x:c r="C39" s="81" t="n">
        <x:v>15557.7</x:v>
      </x:c>
      <x:c r="D39" s="81" t="str">
        <x:v>S004</x:v>
      </x:c>
      <x:c r="E39" s="81" t="str">
        <x:v>Assumption</x:v>
      </x:c>
      <x:c r="F39" s="81"/>
      <x:c r="G39" s="81"/>
      <x:c r="H39" s="81"/>
      <x:c r="I39" s="81"/>
      <x:c r="J39" s="81"/>
      <x:c r="K39" s="81"/>
      <x:c r="L39" s="81"/>
      <x:c r="M39" s="81"/>
      <x:c r="N39" s="81"/>
      <x:c r="O39" s="81"/>
      <x:c r="P39" s="81"/>
      <x:c r="Q39" s="81"/>
      <x:c r="R39" s="81"/>
      <x:c r="S39" s="81"/>
      <x:c r="T39" s="81"/>
      <x:c r="U39" s="81"/>
      <x:c r="V39" s="81"/>
      <x:c r="W39" s="81"/>
      <x:c r="X39" s="81"/>
      <x:c r="Y39" s="81"/>
      <x:c r="Z39" s="81"/>
    </x:row>
    <x:row r="40">
      <x:c r="A40" s="81" t="str">
        <x:v>2025-07-31</x:v>
      </x:c>
      <x:c r="B40" s="81" t="str">
        <x:v>DCDE</x:v>
      </x:c>
      <x:c r="C40" s="81" t="n">
        <x:v>12844.2</x:v>
      </x:c>
      <x:c r="D40" s="81" t="str">
        <x:v>S004</x:v>
      </x:c>
      <x:c r="E40" s="81" t="str">
        <x:v>Assumption</x:v>
      </x:c>
      <x:c r="F40" s="81"/>
      <x:c r="G40" s="81"/>
      <x:c r="H40" s="81"/>
      <x:c r="I40" s="81"/>
      <x:c r="J40" s="81"/>
      <x:c r="K40" s="81"/>
      <x:c r="L40" s="81"/>
      <x:c r="M40" s="81"/>
      <x:c r="N40" s="81"/>
      <x:c r="O40" s="81"/>
      <x:c r="P40" s="81"/>
      <x:c r="Q40" s="81"/>
      <x:c r="R40" s="81"/>
      <x:c r="S40" s="81"/>
      <x:c r="T40" s="81"/>
      <x:c r="U40" s="81"/>
      <x:c r="V40" s="81"/>
      <x:c r="W40" s="81"/>
      <x:c r="X40" s="81"/>
      <x:c r="Y40" s="81"/>
      <x:c r="Z40" s="81"/>
    </x:row>
    <x:row r="41">
      <x:c r="A41" s="81" t="str">
        <x:v>2025-07-31</x:v>
      </x:c>
      <x:c r="B41" s="81" t="str">
        <x:v>E1VFVN30</x:v>
      </x:c>
      <x:c r="C41" s="81" t="n">
        <x:v>22899</x:v>
      </x:c>
      <x:c r="D41" s="81" t="str">
        <x:v>S004</x:v>
      </x:c>
      <x:c r="E41" s="81" t="str">
        <x:v>Assumption</x:v>
      </x:c>
      <x:c r="F41" s="81"/>
      <x:c r="G41" s="81"/>
      <x:c r="H41" s="81"/>
      <x:c r="I41" s="81"/>
      <x:c r="J41" s="81"/>
      <x:c r="K41" s="81"/>
      <x:c r="L41" s="81"/>
      <x:c r="M41" s="81"/>
      <x:c r="N41" s="81"/>
      <x:c r="O41" s="81"/>
      <x:c r="P41" s="81"/>
      <x:c r="Q41" s="81"/>
      <x:c r="R41" s="81"/>
      <x:c r="S41" s="81"/>
      <x:c r="T41" s="81"/>
      <x:c r="U41" s="81"/>
      <x:c r="V41" s="81"/>
      <x:c r="W41" s="81"/>
      <x:c r="X41" s="81"/>
      <x:c r="Y41" s="81"/>
      <x:c r="Z41" s="81"/>
    </x:row>
    <x:row r="42">
      <x:c r="A42" s="81" t="str">
        <x:v>2025-07-31</x:v>
      </x:c>
      <x:c r="B42" s="81" t="str">
        <x:v>FUEVFVND</x:v>
      </x:c>
      <x:c r="C42" s="81" t="n">
        <x:v>30221</x:v>
      </x:c>
      <x:c r="D42" s="81" t="str">
        <x:v>S004</x:v>
      </x:c>
      <x:c r="E42" s="81" t="str">
        <x:v>Assumption</x:v>
      </x:c>
      <x:c r="F42" s="81"/>
      <x:c r="G42" s="81"/>
      <x:c r="H42" s="81"/>
      <x:c r="I42" s="81"/>
      <x:c r="J42" s="81"/>
      <x:c r="K42" s="81"/>
      <x:c r="L42" s="81"/>
      <x:c r="M42" s="81"/>
      <x:c r="N42" s="81"/>
      <x:c r="O42" s="81"/>
      <x:c r="P42" s="81"/>
      <x:c r="Q42" s="81"/>
      <x:c r="R42" s="81"/>
      <x:c r="S42" s="81"/>
      <x:c r="T42" s="81"/>
      <x:c r="U42" s="81"/>
      <x:c r="V42" s="81"/>
      <x:c r="W42" s="81"/>
      <x:c r="X42" s="81"/>
      <x:c r="Y42" s="81"/>
      <x:c r="Z42" s="81"/>
    </x:row>
    <x:row r="43">
      <x:c r="A43" s="81" t="str">
        <x:v>2025-07-31</x:v>
      </x:c>
      <x:c r="B43" s="81" t="str">
        <x:v>VEF_LOCAL</x:v>
      </x:c>
      <x:c r="C43" s="81" t="n">
        <x:v>15556.1</x:v>
      </x:c>
      <x:c r="D43" s="81" t="str">
        <x:v>S004</x:v>
      </x:c>
      <x:c r="E43" s="81" t="str">
        <x:v>Assumption</x:v>
      </x:c>
      <x:c r="F43" s="81"/>
      <x:c r="G43" s="81"/>
      <x:c r="H43" s="81"/>
      <x:c r="I43" s="81"/>
      <x:c r="J43" s="81"/>
      <x:c r="K43" s="81"/>
      <x:c r="L43" s="81"/>
      <x:c r="M43" s="81"/>
      <x:c r="N43" s="81"/>
      <x:c r="O43" s="81"/>
      <x:c r="P43" s="81"/>
      <x:c r="Q43" s="81"/>
      <x:c r="R43" s="81"/>
      <x:c r="S43" s="81"/>
      <x:c r="T43" s="81"/>
      <x:c r="U43" s="81"/>
      <x:c r="V43" s="81"/>
      <x:c r="W43" s="81"/>
      <x:c r="X43" s="81"/>
      <x:c r="Y43" s="81"/>
      <x:c r="Z43" s="81"/>
    </x:row>
    <x:row r="44">
      <x:c r="A44" s="81" t="str">
        <x:v>2025-08-31</x:v>
      </x:c>
      <x:c r="B44" s="81" t="str">
        <x:v>DCDS</x:v>
      </x:c>
      <x:c r="C44" s="81" t="n">
        <x:v>32797.8</x:v>
      </x:c>
      <x:c r="D44" s="81" t="str">
        <x:v>S004</x:v>
      </x:c>
      <x:c r="E44" s="81" t="str">
        <x:v>Assumption</x:v>
      </x:c>
      <x:c r="F44" s="81"/>
      <x:c r="G44" s="81"/>
      <x:c r="H44" s="81"/>
      <x:c r="I44" s="81"/>
      <x:c r="J44" s="81"/>
      <x:c r="K44" s="81"/>
      <x:c r="L44" s="81"/>
      <x:c r="M44" s="81"/>
      <x:c r="N44" s="81"/>
      <x:c r="O44" s="81"/>
      <x:c r="P44" s="81"/>
      <x:c r="Q44" s="81"/>
      <x:c r="R44" s="81"/>
      <x:c r="S44" s="81"/>
      <x:c r="T44" s="81"/>
      <x:c r="U44" s="81"/>
      <x:c r="V44" s="81"/>
      <x:c r="W44" s="81"/>
      <x:c r="X44" s="81"/>
      <x:c r="Y44" s="81"/>
      <x:c r="Z44" s="81"/>
    </x:row>
    <x:row r="45">
      <x:c r="A45" s="81" t="str">
        <x:v>2025-08-31</x:v>
      </x:c>
      <x:c r="B45" s="81" t="str">
        <x:v>DCBF</x:v>
      </x:c>
      <x:c r="C45" s="81" t="n">
        <x:v>15562.6</x:v>
      </x:c>
      <x:c r="D45" s="81" t="str">
        <x:v>S004</x:v>
      </x:c>
      <x:c r="E45" s="81" t="str">
        <x:v>Assumption</x:v>
      </x:c>
      <x:c r="F45" s="81"/>
      <x:c r="G45" s="81"/>
      <x:c r="H45" s="81"/>
      <x:c r="I45" s="81"/>
      <x:c r="J45" s="81"/>
      <x:c r="K45" s="81"/>
      <x:c r="L45" s="81"/>
      <x:c r="M45" s="81"/>
      <x:c r="N45" s="81"/>
      <x:c r="O45" s="81"/>
      <x:c r="P45" s="81"/>
      <x:c r="Q45" s="81"/>
      <x:c r="R45" s="81"/>
      <x:c r="S45" s="81"/>
      <x:c r="T45" s="81"/>
      <x:c r="U45" s="81"/>
      <x:c r="V45" s="81"/>
      <x:c r="W45" s="81"/>
      <x:c r="X45" s="81"/>
      <x:c r="Y45" s="81"/>
      <x:c r="Z45" s="81"/>
    </x:row>
    <x:row r="46">
      <x:c r="A46" s="81" t="str">
        <x:v>2025-08-31</x:v>
      </x:c>
      <x:c r="B46" s="81" t="str">
        <x:v>DCDE</x:v>
      </x:c>
      <x:c r="C46" s="81" t="n">
        <x:v>12638.1</x:v>
      </x:c>
      <x:c r="D46" s="81" t="str">
        <x:v>S004</x:v>
      </x:c>
      <x:c r="E46" s="81" t="str">
        <x:v>Assumption</x:v>
      </x:c>
      <x:c r="F46" s="81"/>
      <x:c r="G46" s="81"/>
      <x:c r="H46" s="81"/>
      <x:c r="I46" s="81"/>
      <x:c r="J46" s="81"/>
      <x:c r="K46" s="81"/>
      <x:c r="L46" s="81"/>
      <x:c r="M46" s="81"/>
      <x:c r="N46" s="81"/>
      <x:c r="O46" s="81"/>
      <x:c r="P46" s="81"/>
      <x:c r="Q46" s="81"/>
      <x:c r="R46" s="81"/>
      <x:c r="S46" s="81"/>
      <x:c r="T46" s="81"/>
      <x:c r="U46" s="81"/>
      <x:c r="V46" s="81"/>
      <x:c r="W46" s="81"/>
      <x:c r="X46" s="81"/>
      <x:c r="Y46" s="81"/>
      <x:c r="Z46" s="81"/>
    </x:row>
    <x:row r="47">
      <x:c r="A47" s="81" t="str">
        <x:v>2025-08-31</x:v>
      </x:c>
      <x:c r="B47" s="81" t="str">
        <x:v>E1VFVN30</x:v>
      </x:c>
      <x:c r="C47" s="81" t="n">
        <x:v>23695</x:v>
      </x:c>
      <x:c r="D47" s="81" t="str">
        <x:v>S004</x:v>
      </x:c>
      <x:c r="E47" s="81" t="str">
        <x:v>Assumption</x:v>
      </x:c>
      <x:c r="F47" s="81"/>
      <x:c r="G47" s="81"/>
      <x:c r="H47" s="81"/>
      <x:c r="I47" s="81"/>
      <x:c r="J47" s="81"/>
      <x:c r="K47" s="81"/>
      <x:c r="L47" s="81"/>
      <x:c r="M47" s="81"/>
      <x:c r="N47" s="81"/>
      <x:c r="O47" s="81"/>
      <x:c r="P47" s="81"/>
      <x:c r="Q47" s="81"/>
      <x:c r="R47" s="81"/>
      <x:c r="S47" s="81"/>
      <x:c r="T47" s="81"/>
      <x:c r="U47" s="81"/>
      <x:c r="V47" s="81"/>
      <x:c r="W47" s="81"/>
      <x:c r="X47" s="81"/>
      <x:c r="Y47" s="81"/>
      <x:c r="Z47" s="81"/>
    </x:row>
    <x:row r="48">
      <x:c r="A48" s="81" t="str">
        <x:v>2025-08-31</x:v>
      </x:c>
      <x:c r="B48" s="81" t="str">
        <x:v>FUEVFVND</x:v>
      </x:c>
      <x:c r="C48" s="81" t="n">
        <x:v>30346</x:v>
      </x:c>
      <x:c r="D48" s="81" t="str">
        <x:v>S004</x:v>
      </x:c>
      <x:c r="E48" s="81" t="str">
        <x:v>Assumption</x:v>
      </x:c>
      <x:c r="F48" s="81"/>
      <x:c r="G48" s="81"/>
      <x:c r="H48" s="81"/>
      <x:c r="I48" s="81"/>
      <x:c r="J48" s="81"/>
      <x:c r="K48" s="81"/>
      <x:c r="L48" s="81"/>
      <x:c r="M48" s="81"/>
      <x:c r="N48" s="81"/>
      <x:c r="O48" s="81"/>
      <x:c r="P48" s="81"/>
      <x:c r="Q48" s="81"/>
      <x:c r="R48" s="81"/>
      <x:c r="S48" s="81"/>
      <x:c r="T48" s="81"/>
      <x:c r="U48" s="81"/>
      <x:c r="V48" s="81"/>
      <x:c r="W48" s="81"/>
      <x:c r="X48" s="81"/>
      <x:c r="Y48" s="81"/>
      <x:c r="Z48" s="81"/>
    </x:row>
    <x:row r="49">
      <x:c r="A49" s="81" t="str">
        <x:v>2025-08-31</x:v>
      </x:c>
      <x:c r="B49" s="81" t="str">
        <x:v>VEF_LOCAL</x:v>
      </x:c>
      <x:c r="C49" s="81" t="n">
        <x:v>15528.1</x:v>
      </x:c>
      <x:c r="D49" s="81" t="str">
        <x:v>S004</x:v>
      </x:c>
      <x:c r="E49" s="81" t="str">
        <x:v>Assumption</x:v>
      </x:c>
      <x:c r="F49" s="81"/>
      <x:c r="G49" s="81"/>
      <x:c r="H49" s="81"/>
      <x:c r="I49" s="81"/>
      <x:c r="J49" s="81"/>
      <x:c r="K49" s="81"/>
      <x:c r="L49" s="81"/>
      <x:c r="M49" s="81"/>
      <x:c r="N49" s="81"/>
      <x:c r="O49" s="81"/>
      <x:c r="P49" s="81"/>
      <x:c r="Q49" s="81"/>
      <x:c r="R49" s="81"/>
      <x:c r="S49" s="81"/>
      <x:c r="T49" s="81"/>
      <x:c r="U49" s="81"/>
      <x:c r="V49" s="81"/>
      <x:c r="W49" s="81"/>
      <x:c r="X49" s="81"/>
      <x:c r="Y49" s="81"/>
      <x:c r="Z49" s="81"/>
    </x:row>
    <x:row r="50">
      <x:c r="A50" s="81" t="str">
        <x:v>2025-09-30</x:v>
      </x:c>
      <x:c r="B50" s="81" t="str">
        <x:v>DCDS</x:v>
      </x:c>
      <x:c r="C50" s="81" t="n">
        <x:v>32911.8</x:v>
      </x:c>
      <x:c r="D50" s="81" t="str">
        <x:v>S004</x:v>
      </x:c>
      <x:c r="E50" s="81" t="str">
        <x:v>Assumption</x:v>
      </x:c>
      <x:c r="F50" s="81"/>
      <x:c r="G50" s="81"/>
      <x:c r="H50" s="81"/>
      <x:c r="I50" s="81"/>
      <x:c r="J50" s="81"/>
      <x:c r="K50" s="81"/>
      <x:c r="L50" s="81"/>
      <x:c r="M50" s="81"/>
      <x:c r="N50" s="81"/>
      <x:c r="O50" s="81"/>
      <x:c r="P50" s="81"/>
      <x:c r="Q50" s="81"/>
      <x:c r="R50" s="81"/>
      <x:c r="S50" s="81"/>
      <x:c r="T50" s="81"/>
      <x:c r="U50" s="81"/>
      <x:c r="V50" s="81"/>
      <x:c r="W50" s="81"/>
      <x:c r="X50" s="81"/>
      <x:c r="Y50" s="81"/>
      <x:c r="Z50" s="81"/>
    </x:row>
    <x:row r="51">
      <x:c r="A51" s="81" t="str">
        <x:v>2025-09-30</x:v>
      </x:c>
      <x:c r="B51" s="81" t="str">
        <x:v>DCBF</x:v>
      </x:c>
      <x:c r="C51" s="81" t="n">
        <x:v>15629.3</x:v>
      </x:c>
      <x:c r="D51" s="81" t="str">
        <x:v>S004</x:v>
      </x:c>
      <x:c r="E51" s="81" t="str">
        <x:v>Assumption</x:v>
      </x:c>
      <x:c r="F51" s="81"/>
      <x:c r="G51" s="81"/>
      <x:c r="H51" s="81"/>
      <x:c r="I51" s="81"/>
      <x:c r="J51" s="81"/>
      <x:c r="K51" s="81"/>
      <x:c r="L51" s="81"/>
      <x:c r="M51" s="81"/>
      <x:c r="N51" s="81"/>
      <x:c r="O51" s="81"/>
      <x:c r="P51" s="81"/>
      <x:c r="Q51" s="81"/>
      <x:c r="R51" s="81"/>
      <x:c r="S51" s="81"/>
      <x:c r="T51" s="81"/>
      <x:c r="U51" s="81"/>
      <x:c r="V51" s="81"/>
      <x:c r="W51" s="81"/>
      <x:c r="X51" s="81"/>
      <x:c r="Y51" s="81"/>
      <x:c r="Z51" s="81"/>
    </x:row>
    <x:row r="52">
      <x:c r="A52" s="81" t="str">
        <x:v>2025-09-30</x:v>
      </x:c>
      <x:c r="B52" s="81" t="str">
        <x:v>DCDE</x:v>
      </x:c>
      <x:c r="C52" s="81" t="n">
        <x:v>12942.1</x:v>
      </x:c>
      <x:c r="D52" s="81" t="str">
        <x:v>S004</x:v>
      </x:c>
      <x:c r="E52" s="81" t="str">
        <x:v>Assumption</x:v>
      </x:c>
      <x:c r="F52" s="81"/>
      <x:c r="G52" s="81"/>
      <x:c r="H52" s="81"/>
      <x:c r="I52" s="81"/>
      <x:c r="J52" s="81"/>
      <x:c r="K52" s="81"/>
      <x:c r="L52" s="81"/>
      <x:c r="M52" s="81"/>
      <x:c r="N52" s="81"/>
      <x:c r="O52" s="81"/>
      <x:c r="P52" s="81"/>
      <x:c r="Q52" s="81"/>
      <x:c r="R52" s="81"/>
      <x:c r="S52" s="81"/>
      <x:c r="T52" s="81"/>
      <x:c r="U52" s="81"/>
      <x:c r="V52" s="81"/>
      <x:c r="W52" s="81"/>
      <x:c r="X52" s="81"/>
      <x:c r="Y52" s="81"/>
      <x:c r="Z52" s="81"/>
    </x:row>
    <x:row r="53">
      <x:c r="A53" s="81" t="str">
        <x:v>2025-09-30</x:v>
      </x:c>
      <x:c r="B53" s="81" t="str">
        <x:v>E1VFVN30</x:v>
      </x:c>
      <x:c r="C53" s="81" t="n">
        <x:v>23654.5</x:v>
      </x:c>
      <x:c r="D53" s="81" t="str">
        <x:v>S004</x:v>
      </x:c>
      <x:c r="E53" s="81" t="str">
        <x:v>Assumption</x:v>
      </x:c>
      <x:c r="F53" s="81"/>
      <x:c r="G53" s="81"/>
      <x:c r="H53" s="81"/>
      <x:c r="I53" s="81"/>
      <x:c r="J53" s="81"/>
      <x:c r="K53" s="81"/>
      <x:c r="L53" s="81"/>
      <x:c r="M53" s="81"/>
      <x:c r="N53" s="81"/>
      <x:c r="O53" s="81"/>
      <x:c r="P53" s="81"/>
      <x:c r="Q53" s="81"/>
      <x:c r="R53" s="81"/>
      <x:c r="S53" s="81"/>
      <x:c r="T53" s="81"/>
      <x:c r="U53" s="81"/>
      <x:c r="V53" s="81"/>
      <x:c r="W53" s="81"/>
      <x:c r="X53" s="81"/>
      <x:c r="Y53" s="81"/>
      <x:c r="Z53" s="81"/>
    </x:row>
    <x:row r="54">
      <x:c r="A54" s="81" t="str">
        <x:v>2025-09-30</x:v>
      </x:c>
      <x:c r="B54" s="81" t="str">
        <x:v>FUEVFVND</x:v>
      </x:c>
      <x:c r="C54" s="81" t="n">
        <x:v>30621.5</x:v>
      </x:c>
      <x:c r="D54" s="81" t="str">
        <x:v>S004</x:v>
      </x:c>
      <x:c r="E54" s="81" t="str">
        <x:v>Assumption</x:v>
      </x:c>
      <x:c r="F54" s="81"/>
      <x:c r="G54" s="81"/>
      <x:c r="H54" s="81"/>
      <x:c r="I54" s="81"/>
      <x:c r="J54" s="81"/>
      <x:c r="K54" s="81"/>
      <x:c r="L54" s="81"/>
      <x:c r="M54" s="81"/>
      <x:c r="N54" s="81"/>
      <x:c r="O54" s="81"/>
      <x:c r="P54" s="81"/>
      <x:c r="Q54" s="81"/>
      <x:c r="R54" s="81"/>
      <x:c r="S54" s="81"/>
      <x:c r="T54" s="81"/>
      <x:c r="U54" s="81"/>
      <x:c r="V54" s="81"/>
      <x:c r="W54" s="81"/>
      <x:c r="X54" s="81"/>
      <x:c r="Y54" s="81"/>
      <x:c r="Z54" s="81"/>
    </x:row>
    <x:row r="55">
      <x:c r="A55" s="81" t="str">
        <x:v>2025-09-30</x:v>
      </x:c>
      <x:c r="B55" s="81" t="str">
        <x:v>VEF_LOCAL</x:v>
      </x:c>
      <x:c r="C55" s="81" t="n">
        <x:v>15604.2</x:v>
      </x:c>
      <x:c r="D55" s="81" t="str">
        <x:v>S004</x:v>
      </x:c>
      <x:c r="E55" s="81" t="str">
        <x:v>Assumption</x:v>
      </x:c>
      <x:c r="F55" s="81"/>
      <x:c r="G55" s="81"/>
      <x:c r="H55" s="81"/>
      <x:c r="I55" s="81"/>
      <x:c r="J55" s="81"/>
      <x:c r="K55" s="81"/>
      <x:c r="L55" s="81"/>
      <x:c r="M55" s="81"/>
      <x:c r="N55" s="81"/>
      <x:c r="O55" s="81"/>
      <x:c r="P55" s="81"/>
      <x:c r="Q55" s="81"/>
      <x:c r="R55" s="81"/>
      <x:c r="S55" s="81"/>
      <x:c r="T55" s="81"/>
      <x:c r="U55" s="81"/>
      <x:c r="V55" s="81"/>
      <x:c r="W55" s="81"/>
      <x:c r="X55" s="81"/>
      <x:c r="Y55" s="81"/>
      <x:c r="Z55" s="81"/>
    </x:row>
    <x:row r="56">
      <x:c r="A56" s="81" t="str">
        <x:v>2025-10-31</x:v>
      </x:c>
      <x:c r="B56" s="81" t="str">
        <x:v>DCDS</x:v>
      </x:c>
      <x:c r="C56" s="81" t="n">
        <x:v>32272.8</x:v>
      </x:c>
      <x:c r="D56" s="81" t="str">
        <x:v>S004</x:v>
      </x:c>
      <x:c r="E56" s="81" t="str">
        <x:v>Assumption</x:v>
      </x:c>
      <x:c r="F56" s="81"/>
      <x:c r="G56" s="81"/>
      <x:c r="H56" s="81"/>
      <x:c r="I56" s="81"/>
      <x:c r="J56" s="81"/>
      <x:c r="K56" s="81"/>
      <x:c r="L56" s="81"/>
      <x:c r="M56" s="81"/>
      <x:c r="N56" s="81"/>
      <x:c r="O56" s="81"/>
      <x:c r="P56" s="81"/>
      <x:c r="Q56" s="81"/>
      <x:c r="R56" s="81"/>
      <x:c r="S56" s="81"/>
      <x:c r="T56" s="81"/>
      <x:c r="U56" s="81"/>
      <x:c r="V56" s="81"/>
      <x:c r="W56" s="81"/>
      <x:c r="X56" s="81"/>
      <x:c r="Y56" s="81"/>
      <x:c r="Z56" s="81"/>
    </x:row>
    <x:row r="57">
      <x:c r="A57" s="81" t="str">
        <x:v>2025-10-31</x:v>
      </x:c>
      <x:c r="B57" s="81" t="str">
        <x:v>DCBF</x:v>
      </x:c>
      <x:c r="C57" s="81" t="n">
        <x:v>15398.9</x:v>
      </x:c>
      <x:c r="D57" s="81" t="str">
        <x:v>S004</x:v>
      </x:c>
      <x:c r="E57" s="81" t="str">
        <x:v>Assumption</x:v>
      </x:c>
      <x:c r="F57" s="81"/>
      <x:c r="G57" s="81"/>
      <x:c r="H57" s="81"/>
      <x:c r="I57" s="81"/>
      <x:c r="J57" s="81"/>
      <x:c r="K57" s="81"/>
      <x:c r="L57" s="81"/>
      <x:c r="M57" s="81"/>
      <x:c r="N57" s="81"/>
      <x:c r="O57" s="81"/>
      <x:c r="P57" s="81"/>
      <x:c r="Q57" s="81"/>
      <x:c r="R57" s="81"/>
      <x:c r="S57" s="81"/>
      <x:c r="T57" s="81"/>
      <x:c r="U57" s="81"/>
      <x:c r="V57" s="81"/>
      <x:c r="W57" s="81"/>
      <x:c r="X57" s="81"/>
      <x:c r="Y57" s="81"/>
      <x:c r="Z57" s="81"/>
    </x:row>
    <x:row r="58">
      <x:c r="A58" s="81" t="str">
        <x:v>2025-10-31</x:v>
      </x:c>
      <x:c r="B58" s="81" t="str">
        <x:v>DCDE</x:v>
      </x:c>
      <x:c r="C58" s="81" t="n">
        <x:v>12838.1</x:v>
      </x:c>
      <x:c r="D58" s="81" t="str">
        <x:v>S004</x:v>
      </x:c>
      <x:c r="E58" s="81" t="str">
        <x:v>Assumption</x:v>
      </x:c>
      <x:c r="F58" s="81"/>
      <x:c r="G58" s="81"/>
      <x:c r="H58" s="81"/>
      <x:c r="I58" s="81"/>
      <x:c r="J58" s="81"/>
      <x:c r="K58" s="81"/>
      <x:c r="L58" s="81"/>
      <x:c r="M58" s="81"/>
      <x:c r="N58" s="81"/>
      <x:c r="O58" s="81"/>
      <x:c r="P58" s="81"/>
      <x:c r="Q58" s="81"/>
      <x:c r="R58" s="81"/>
      <x:c r="S58" s="81"/>
      <x:c r="T58" s="81"/>
      <x:c r="U58" s="81"/>
      <x:c r="V58" s="81"/>
      <x:c r="W58" s="81"/>
      <x:c r="X58" s="81"/>
      <x:c r="Y58" s="81"/>
      <x:c r="Z58" s="81"/>
    </x:row>
    <x:row r="59">
      <x:c r="A59" s="81" t="str">
        <x:v>2025-10-31</x:v>
      </x:c>
      <x:c r="B59" s="81" t="str">
        <x:v>E1VFVN30</x:v>
      </x:c>
      <x:c r="C59" s="81" t="n">
        <x:v>22923.4</x:v>
      </x:c>
      <x:c r="D59" s="81" t="str">
        <x:v>S004</x:v>
      </x:c>
      <x:c r="E59" s="81" t="str">
        <x:v>Assumption</x:v>
      </x:c>
      <x:c r="F59" s="81"/>
      <x:c r="G59" s="81"/>
      <x:c r="H59" s="81"/>
      <x:c r="I59" s="81"/>
      <x:c r="J59" s="81"/>
      <x:c r="K59" s="81"/>
      <x:c r="L59" s="81"/>
      <x:c r="M59" s="81"/>
      <x:c r="N59" s="81"/>
      <x:c r="O59" s="81"/>
      <x:c r="P59" s="81"/>
      <x:c r="Q59" s="81"/>
      <x:c r="R59" s="81"/>
      <x:c r="S59" s="81"/>
      <x:c r="T59" s="81"/>
      <x:c r="U59" s="81"/>
      <x:c r="V59" s="81"/>
      <x:c r="W59" s="81"/>
      <x:c r="X59" s="81"/>
      <x:c r="Y59" s="81"/>
      <x:c r="Z59" s="81"/>
    </x:row>
    <x:row r="60">
      <x:c r="A60" s="81" t="str">
        <x:v>2025-10-31</x:v>
      </x:c>
      <x:c r="B60" s="81" t="str">
        <x:v>FUEVFVND</x:v>
      </x:c>
      <x:c r="C60" s="81" t="n">
        <x:v>29505.6</x:v>
      </x:c>
      <x:c r="D60" s="81" t="str">
        <x:v>S004</x:v>
      </x:c>
      <x:c r="E60" s="81" t="str">
        <x:v>Assumption</x:v>
      </x:c>
      <x:c r="F60" s="81"/>
      <x:c r="G60" s="81"/>
      <x:c r="H60" s="81"/>
      <x:c r="I60" s="81"/>
      <x:c r="J60" s="81"/>
      <x:c r="K60" s="81"/>
      <x:c r="L60" s="81"/>
      <x:c r="M60" s="81"/>
      <x:c r="N60" s="81"/>
      <x:c r="O60" s="81"/>
      <x:c r="P60" s="81"/>
      <x:c r="Q60" s="81"/>
      <x:c r="R60" s="81"/>
      <x:c r="S60" s="81"/>
      <x:c r="T60" s="81"/>
      <x:c r="U60" s="81"/>
      <x:c r="V60" s="81"/>
      <x:c r="W60" s="81"/>
      <x:c r="X60" s="81"/>
      <x:c r="Y60" s="81"/>
      <x:c r="Z60" s="81"/>
    </x:row>
    <x:row r="61">
      <x:c r="A61" s="81" t="str">
        <x:v>2025-10-31</x:v>
      </x:c>
      <x:c r="B61" s="81" t="str">
        <x:v>VEF_LOCAL</x:v>
      </x:c>
      <x:c r="C61" s="81" t="n">
        <x:v>15672.9</x:v>
      </x:c>
      <x:c r="D61" s="81" t="str">
        <x:v>S004</x:v>
      </x:c>
      <x:c r="E61" s="81" t="str">
        <x:v>Assumption</x:v>
      </x:c>
      <x:c r="F61" s="81"/>
      <x:c r="G61" s="81"/>
      <x:c r="H61" s="81"/>
      <x:c r="I61" s="81"/>
      <x:c r="J61" s="81"/>
      <x:c r="K61" s="81"/>
      <x:c r="L61" s="81"/>
      <x:c r="M61" s="81"/>
      <x:c r="N61" s="81"/>
      <x:c r="O61" s="81"/>
      <x:c r="P61" s="81"/>
      <x:c r="Q61" s="81"/>
      <x:c r="R61" s="81"/>
      <x:c r="S61" s="81"/>
      <x:c r="T61" s="81"/>
      <x:c r="U61" s="81"/>
      <x:c r="V61" s="81"/>
      <x:c r="W61" s="81"/>
      <x:c r="X61" s="81"/>
      <x:c r="Y61" s="81"/>
      <x:c r="Z61" s="81"/>
    </x:row>
    <x:row r="62">
      <x:c r="A62" s="81" t="str">
        <x:v>2025-11-30</x:v>
      </x:c>
      <x:c r="B62" s="81" t="str">
        <x:v>DCDS</x:v>
      </x:c>
      <x:c r="C62" s="81" t="n">
        <x:v>33077.4</x:v>
      </x:c>
      <x:c r="D62" s="81" t="str">
        <x:v>S004</x:v>
      </x:c>
      <x:c r="E62" s="81" t="str">
        <x:v>Assumption</x:v>
      </x:c>
      <x:c r="F62" s="81"/>
      <x:c r="G62" s="81"/>
      <x:c r="H62" s="81"/>
      <x:c r="I62" s="81"/>
      <x:c r="J62" s="81"/>
      <x:c r="K62" s="81"/>
      <x:c r="L62" s="81"/>
      <x:c r="M62" s="81"/>
      <x:c r="N62" s="81"/>
      <x:c r="O62" s="81"/>
      <x:c r="P62" s="81"/>
      <x:c r="Q62" s="81"/>
      <x:c r="R62" s="81"/>
      <x:c r="S62" s="81"/>
      <x:c r="T62" s="81"/>
      <x:c r="U62" s="81"/>
      <x:c r="V62" s="81"/>
      <x:c r="W62" s="81"/>
      <x:c r="X62" s="81"/>
      <x:c r="Y62" s="81"/>
      <x:c r="Z62" s="81"/>
    </x:row>
    <x:row r="63">
      <x:c r="A63" s="81" t="str">
        <x:v>2025-11-30</x:v>
      </x:c>
      <x:c r="B63" s="81" t="str">
        <x:v>DCBF</x:v>
      </x:c>
      <x:c r="C63" s="81" t="n">
        <x:v>15582.8</x:v>
      </x:c>
      <x:c r="D63" s="81" t="str">
        <x:v>S004</x:v>
      </x:c>
      <x:c r="E63" s="81" t="str">
        <x:v>Assumption</x:v>
      </x:c>
      <x:c r="F63" s="81"/>
      <x:c r="G63" s="81"/>
      <x:c r="H63" s="81"/>
      <x:c r="I63" s="81"/>
      <x:c r="J63" s="81"/>
      <x:c r="K63" s="81"/>
      <x:c r="L63" s="81"/>
      <x:c r="M63" s="81"/>
      <x:c r="N63" s="81"/>
      <x:c r="O63" s="81"/>
      <x:c r="P63" s="81"/>
      <x:c r="Q63" s="81"/>
      <x:c r="R63" s="81"/>
      <x:c r="S63" s="81"/>
      <x:c r="T63" s="81"/>
      <x:c r="U63" s="81"/>
      <x:c r="V63" s="81"/>
      <x:c r="W63" s="81"/>
      <x:c r="X63" s="81"/>
      <x:c r="Y63" s="81"/>
      <x:c r="Z63" s="81"/>
    </x:row>
    <x:row r="64">
      <x:c r="A64" s="81" t="str">
        <x:v>2025-11-30</x:v>
      </x:c>
      <x:c r="B64" s="81" t="str">
        <x:v>DCDE</x:v>
      </x:c>
      <x:c r="C64" s="81" t="n">
        <x:v>13179.9</x:v>
      </x:c>
      <x:c r="D64" s="81" t="str">
        <x:v>S004</x:v>
      </x:c>
      <x:c r="E64" s="81" t="str">
        <x:v>Assumption</x:v>
      </x:c>
      <x:c r="F64" s="81"/>
      <x:c r="G64" s="81"/>
      <x:c r="H64" s="81"/>
      <x:c r="I64" s="81"/>
      <x:c r="J64" s="81"/>
      <x:c r="K64" s="81"/>
      <x:c r="L64" s="81"/>
      <x:c r="M64" s="81"/>
      <x:c r="N64" s="81"/>
      <x:c r="O64" s="81"/>
      <x:c r="P64" s="81"/>
      <x:c r="Q64" s="81"/>
      <x:c r="R64" s="81"/>
      <x:c r="S64" s="81"/>
      <x:c r="T64" s="81"/>
      <x:c r="U64" s="81"/>
      <x:c r="V64" s="81"/>
      <x:c r="W64" s="81"/>
      <x:c r="X64" s="81"/>
      <x:c r="Y64" s="81"/>
      <x:c r="Z64" s="81"/>
    </x:row>
    <x:row r="65">
      <x:c r="A65" s="81" t="str">
        <x:v>2025-11-30</x:v>
      </x:c>
      <x:c r="B65" s="81" t="str">
        <x:v>E1VFVN30</x:v>
      </x:c>
      <x:c r="C65" s="81" t="n">
        <x:v>22984.2</x:v>
      </x:c>
      <x:c r="D65" s="81" t="str">
        <x:v>S004</x:v>
      </x:c>
      <x:c r="E65" s="81" t="str">
        <x:v>Assumption</x:v>
      </x:c>
      <x:c r="F65" s="81"/>
      <x:c r="G65" s="81"/>
      <x:c r="H65" s="81"/>
      <x:c r="I65" s="81"/>
      <x:c r="J65" s="81"/>
      <x:c r="K65" s="81"/>
      <x:c r="L65" s="81"/>
      <x:c r="M65" s="81"/>
      <x:c r="N65" s="81"/>
      <x:c r="O65" s="81"/>
      <x:c r="P65" s="81"/>
      <x:c r="Q65" s="81"/>
      <x:c r="R65" s="81"/>
      <x:c r="S65" s="81"/>
      <x:c r="T65" s="81"/>
      <x:c r="U65" s="81"/>
      <x:c r="V65" s="81"/>
      <x:c r="W65" s="81"/>
      <x:c r="X65" s="81"/>
      <x:c r="Y65" s="81"/>
      <x:c r="Z65" s="81"/>
    </x:row>
    <x:row r="66">
      <x:c r="A66" s="81" t="str">
        <x:v>2025-11-30</x:v>
      </x:c>
      <x:c r="B66" s="81" t="str">
        <x:v>FUEVFVND</x:v>
      </x:c>
      <x:c r="C66" s="81" t="n">
        <x:v>30512.4</x:v>
      </x:c>
      <x:c r="D66" s="81" t="str">
        <x:v>S004</x:v>
      </x:c>
      <x:c r="E66" s="81" t="str">
        <x:v>Assumption</x:v>
      </x:c>
      <x:c r="F66" s="81"/>
      <x:c r="G66" s="81"/>
      <x:c r="H66" s="81"/>
      <x:c r="I66" s="81"/>
      <x:c r="J66" s="81"/>
      <x:c r="K66" s="81"/>
      <x:c r="L66" s="81"/>
      <x:c r="M66" s="81"/>
      <x:c r="N66" s="81"/>
      <x:c r="O66" s="81"/>
      <x:c r="P66" s="81"/>
      <x:c r="Q66" s="81"/>
      <x:c r="R66" s="81"/>
      <x:c r="S66" s="81"/>
      <x:c r="T66" s="81"/>
      <x:c r="U66" s="81"/>
      <x:c r="V66" s="81"/>
      <x:c r="W66" s="81"/>
      <x:c r="X66" s="81"/>
      <x:c r="Y66" s="81"/>
      <x:c r="Z66" s="81"/>
    </x:row>
    <x:row r="67">
      <x:c r="A67" s="81" t="str">
        <x:v>2025-11-30</x:v>
      </x:c>
      <x:c r="B67" s="81" t="str">
        <x:v>VEF_LOCAL</x:v>
      </x:c>
      <x:c r="C67" s="81" t="n">
        <x:v>15596.6</x:v>
      </x:c>
      <x:c r="D67" s="81" t="str">
        <x:v>S004</x:v>
      </x:c>
      <x:c r="E67" s="81" t="str">
        <x:v>Assumption</x:v>
      </x:c>
      <x:c r="F67" s="81"/>
      <x:c r="G67" s="81"/>
      <x:c r="H67" s="81"/>
      <x:c r="I67" s="81"/>
      <x:c r="J67" s="81"/>
      <x:c r="K67" s="81"/>
      <x:c r="L67" s="81"/>
      <x:c r="M67" s="81"/>
      <x:c r="N67" s="81"/>
      <x:c r="O67" s="81"/>
      <x:c r="P67" s="81"/>
      <x:c r="Q67" s="81"/>
      <x:c r="R67" s="81"/>
      <x:c r="S67" s="81"/>
      <x:c r="T67" s="81"/>
      <x:c r="U67" s="81"/>
      <x:c r="V67" s="81"/>
      <x:c r="W67" s="81"/>
      <x:c r="X67" s="81"/>
      <x:c r="Y67" s="81"/>
      <x:c r="Z67" s="81"/>
    </x:row>
    <x:row r="68">
      <x:c r="A68" s="81" t="str">
        <x:v>2025-12-31</x:v>
      </x:c>
      <x:c r="B68" s="81" t="str">
        <x:v>DCDS</x:v>
      </x:c>
      <x:c r="C68" s="81" t="n">
        <x:v>32229.9</x:v>
      </x:c>
      <x:c r="D68" s="81" t="str">
        <x:v>S004</x:v>
      </x:c>
      <x:c r="E68" s="81" t="str">
        <x:v>Assumption</x:v>
      </x:c>
      <x:c r="F68" s="81"/>
      <x:c r="G68" s="81"/>
      <x:c r="H68" s="81"/>
      <x:c r="I68" s="81"/>
      <x:c r="J68" s="81"/>
      <x:c r="K68" s="81"/>
      <x:c r="L68" s="81"/>
      <x:c r="M68" s="81"/>
      <x:c r="N68" s="81"/>
      <x:c r="O68" s="81"/>
      <x:c r="P68" s="81"/>
      <x:c r="Q68" s="81"/>
      <x:c r="R68" s="81"/>
      <x:c r="S68" s="81"/>
      <x:c r="T68" s="81"/>
      <x:c r="U68" s="81"/>
      <x:c r="V68" s="81"/>
      <x:c r="W68" s="81"/>
      <x:c r="X68" s="81"/>
      <x:c r="Y68" s="81"/>
      <x:c r="Z68" s="81"/>
    </x:row>
    <x:row r="69">
      <x:c r="A69" s="81" t="str">
        <x:v>2025-12-31</x:v>
      </x:c>
      <x:c r="B69" s="81" t="str">
        <x:v>DCBF</x:v>
      </x:c>
      <x:c r="C69" s="81" t="n">
        <x:v>15949.4</x:v>
      </x:c>
      <x:c r="D69" s="81" t="str">
        <x:v>S004</x:v>
      </x:c>
      <x:c r="E69" s="81" t="str">
        <x:v>Assumption</x:v>
      </x:c>
      <x:c r="F69" s="81"/>
      <x:c r="G69" s="81"/>
      <x:c r="H69" s="81"/>
      <x:c r="I69" s="81"/>
      <x:c r="J69" s="81"/>
      <x:c r="K69" s="81"/>
      <x:c r="L69" s="81"/>
      <x:c r="M69" s="81"/>
      <x:c r="N69" s="81"/>
      <x:c r="O69" s="81"/>
      <x:c r="P69" s="81"/>
      <x:c r="Q69" s="81"/>
      <x:c r="R69" s="81"/>
      <x:c r="S69" s="81"/>
      <x:c r="T69" s="81"/>
      <x:c r="U69" s="81"/>
      <x:c r="V69" s="81"/>
      <x:c r="W69" s="81"/>
      <x:c r="X69" s="81"/>
      <x:c r="Y69" s="81"/>
      <x:c r="Z69" s="81"/>
    </x:row>
    <x:row r="70">
      <x:c r="A70" s="81" t="str">
        <x:v>2025-12-31</x:v>
      </x:c>
      <x:c r="B70" s="81" t="str">
        <x:v>DCDE</x:v>
      </x:c>
      <x:c r="C70" s="81" t="n">
        <x:v>13381.2</x:v>
      </x:c>
      <x:c r="D70" s="81" t="str">
        <x:v>S004</x:v>
      </x:c>
      <x:c r="E70" s="81" t="str">
        <x:v>Assumption</x:v>
      </x:c>
      <x:c r="F70" s="81"/>
      <x:c r="G70" s="81"/>
      <x:c r="H70" s="81"/>
      <x:c r="I70" s="81"/>
      <x:c r="J70" s="81"/>
      <x:c r="K70" s="81"/>
      <x:c r="L70" s="81"/>
      <x:c r="M70" s="81"/>
      <x:c r="N70" s="81"/>
      <x:c r="O70" s="81"/>
      <x:c r="P70" s="81"/>
      <x:c r="Q70" s="81"/>
      <x:c r="R70" s="81"/>
      <x:c r="S70" s="81"/>
      <x:c r="T70" s="81"/>
      <x:c r="U70" s="81"/>
      <x:c r="V70" s="81"/>
      <x:c r="W70" s="81"/>
      <x:c r="X70" s="81"/>
      <x:c r="Y70" s="81"/>
      <x:c r="Z70" s="81"/>
    </x:row>
    <x:row r="71">
      <x:c r="A71" s="81" t="str">
        <x:v>2025-12-31</x:v>
      </x:c>
      <x:c r="B71" s="81" t="str">
        <x:v>E1VFVN30</x:v>
      </x:c>
      <x:c r="C71" s="81" t="n">
        <x:v>24000.5</x:v>
      </x:c>
      <x:c r="D71" s="81" t="str">
        <x:v>S004</x:v>
      </x:c>
      <x:c r="E71" s="81" t="str">
        <x:v>Assumption</x:v>
      </x:c>
      <x:c r="F71" s="81"/>
      <x:c r="G71" s="81"/>
      <x:c r="H71" s="81"/>
      <x:c r="I71" s="81"/>
      <x:c r="J71" s="81"/>
      <x:c r="K71" s="81"/>
      <x:c r="L71" s="81"/>
      <x:c r="M71" s="81"/>
      <x:c r="N71" s="81"/>
      <x:c r="O71" s="81"/>
      <x:c r="P71" s="81"/>
      <x:c r="Q71" s="81"/>
      <x:c r="R71" s="81"/>
      <x:c r="S71" s="81"/>
      <x:c r="T71" s="81"/>
      <x:c r="U71" s="81"/>
      <x:c r="V71" s="81"/>
      <x:c r="W71" s="81"/>
      <x:c r="X71" s="81"/>
      <x:c r="Y71" s="81"/>
      <x:c r="Z71" s="81"/>
    </x:row>
    <x:row r="72">
      <x:c r="A72" s="81" t="str">
        <x:v>2025-12-31</x:v>
      </x:c>
      <x:c r="B72" s="81" t="str">
        <x:v>FUEVFVND</x:v>
      </x:c>
      <x:c r="C72" s="81" t="n">
        <x:v>30005.6</x:v>
      </x:c>
      <x:c r="D72" s="81" t="str">
        <x:v>S004</x:v>
      </x:c>
      <x:c r="E72" s="81" t="str">
        <x:v>Assumption</x:v>
      </x:c>
      <x:c r="F72" s="81"/>
      <x:c r="G72" s="81"/>
      <x:c r="H72" s="81"/>
      <x:c r="I72" s="81"/>
      <x:c r="J72" s="81"/>
      <x:c r="K72" s="81"/>
      <x:c r="L72" s="81"/>
      <x:c r="M72" s="81"/>
      <x:c r="N72" s="81"/>
      <x:c r="O72" s="81"/>
      <x:c r="P72" s="81"/>
      <x:c r="Q72" s="81"/>
      <x:c r="R72" s="81"/>
      <x:c r="S72" s="81"/>
      <x:c r="T72" s="81"/>
      <x:c r="U72" s="81"/>
      <x:c r="V72" s="81"/>
      <x:c r="W72" s="81"/>
      <x:c r="X72" s="81"/>
      <x:c r="Y72" s="81"/>
      <x:c r="Z72" s="81"/>
    </x:row>
    <x:row r="73">
      <x:c r="A73" s="81" t="str">
        <x:v>2025-12-31</x:v>
      </x:c>
      <x:c r="B73" s="81" t="str">
        <x:v>VEF_LOCAL</x:v>
      </x:c>
      <x:c r="C73" s="81" t="n">
        <x:v>15320.6</x:v>
      </x:c>
      <x:c r="D73" s="81" t="str">
        <x:v>S004</x:v>
      </x:c>
      <x:c r="E73" s="81" t="str">
        <x:v>Assumption</x:v>
      </x:c>
      <x:c r="F73" s="81"/>
      <x:c r="G73" s="81"/>
      <x:c r="H73" s="81"/>
      <x:c r="I73" s="81"/>
      <x:c r="J73" s="81"/>
      <x:c r="K73" s="81"/>
      <x:c r="L73" s="81"/>
      <x:c r="M73" s="81"/>
      <x:c r="N73" s="81"/>
      <x:c r="O73" s="81"/>
      <x:c r="P73" s="81"/>
      <x:c r="Q73" s="81"/>
      <x:c r="R73" s="81"/>
      <x:c r="S73" s="81"/>
      <x:c r="T73" s="81"/>
      <x:c r="U73" s="81"/>
      <x:c r="V73" s="81"/>
      <x:c r="W73" s="81"/>
      <x:c r="X73" s="81"/>
      <x:c r="Y73" s="81"/>
      <x:c r="Z73" s="81"/>
    </x:row>
    <x:row r="74">
      <x:c r="A74" s="81" t="str">
        <x:v>2026-01-31</x:v>
      </x:c>
      <x:c r="B74" s="81" t="str">
        <x:v>DCDS</x:v>
      </x:c>
      <x:c r="C74" s="81" t="n">
        <x:v>32371.3</x:v>
      </x:c>
      <x:c r="D74" s="81" t="str">
        <x:v>S004</x:v>
      </x:c>
      <x:c r="E74" s="81" t="str">
        <x:v>Assumption</x:v>
      </x:c>
      <x:c r="F74" s="81"/>
      <x:c r="G74" s="81"/>
      <x:c r="H74" s="81"/>
      <x:c r="I74" s="81"/>
      <x:c r="J74" s="81"/>
      <x:c r="K74" s="81"/>
      <x:c r="L74" s="81"/>
      <x:c r="M74" s="81"/>
      <x:c r="N74" s="81"/>
      <x:c r="O74" s="81"/>
      <x:c r="P74" s="81"/>
      <x:c r="Q74" s="81"/>
      <x:c r="R74" s="81"/>
      <x:c r="S74" s="81"/>
      <x:c r="T74" s="81"/>
      <x:c r="U74" s="81"/>
      <x:c r="V74" s="81"/>
      <x:c r="W74" s="81"/>
      <x:c r="X74" s="81"/>
      <x:c r="Y74" s="81"/>
      <x:c r="Z74" s="81"/>
    </x:row>
    <x:row r="75">
      <x:c r="A75" s="81" t="str">
        <x:v>2026-01-31</x:v>
      </x:c>
      <x:c r="B75" s="81" t="str">
        <x:v>DCBF</x:v>
      </x:c>
      <x:c r="C75" s="81" t="n">
        <x:v>15662.3</x:v>
      </x:c>
      <x:c r="D75" s="81" t="str">
        <x:v>S004</x:v>
      </x:c>
      <x:c r="E75" s="81" t="str">
        <x:v>Assumption</x:v>
      </x:c>
      <x:c r="F75" s="81"/>
      <x:c r="G75" s="81"/>
      <x:c r="H75" s="81"/>
      <x:c r="I75" s="81"/>
      <x:c r="J75" s="81"/>
      <x:c r="K75" s="81"/>
      <x:c r="L75" s="81"/>
      <x:c r="M75" s="81"/>
      <x:c r="N75" s="81"/>
      <x:c r="O75" s="81"/>
      <x:c r="P75" s="81"/>
      <x:c r="Q75" s="81"/>
      <x:c r="R75" s="81"/>
      <x:c r="S75" s="81"/>
      <x:c r="T75" s="81"/>
      <x:c r="U75" s="81"/>
      <x:c r="V75" s="81"/>
      <x:c r="W75" s="81"/>
      <x:c r="X75" s="81"/>
      <x:c r="Y75" s="81"/>
      <x:c r="Z75" s="81"/>
    </x:row>
    <x:row r="76">
      <x:c r="A76" s="81" t="str">
        <x:v>2026-01-31</x:v>
      </x:c>
      <x:c r="B76" s="81" t="str">
        <x:v>DCDE</x:v>
      </x:c>
      <x:c r="C76" s="81" t="n">
        <x:v>13138.9</x:v>
      </x:c>
      <x:c r="D76" s="81" t="str">
        <x:v>S004</x:v>
      </x:c>
      <x:c r="E76" s="81" t="str">
        <x:v>Assumption</x:v>
      </x:c>
      <x:c r="F76" s="81"/>
      <x:c r="G76" s="81"/>
      <x:c r="H76" s="81"/>
      <x:c r="I76" s="81"/>
      <x:c r="J76" s="81"/>
      <x:c r="K76" s="81"/>
      <x:c r="L76" s="81"/>
      <x:c r="M76" s="81"/>
      <x:c r="N76" s="81"/>
      <x:c r="O76" s="81"/>
      <x:c r="P76" s="81"/>
      <x:c r="Q76" s="81"/>
      <x:c r="R76" s="81"/>
      <x:c r="S76" s="81"/>
      <x:c r="T76" s="81"/>
      <x:c r="U76" s="81"/>
      <x:c r="V76" s="81"/>
      <x:c r="W76" s="81"/>
      <x:c r="X76" s="81"/>
      <x:c r="Y76" s="81"/>
      <x:c r="Z76" s="81"/>
    </x:row>
    <x:row r="77">
      <x:c r="A77" s="81" t="str">
        <x:v>2026-01-31</x:v>
      </x:c>
      <x:c r="B77" s="81" t="str">
        <x:v>E1VFVN30</x:v>
      </x:c>
      <x:c r="C77" s="81" t="n">
        <x:v>23344.5</x:v>
      </x:c>
      <x:c r="D77" s="81" t="str">
        <x:v>S004</x:v>
      </x:c>
      <x:c r="E77" s="81" t="str">
        <x:v>Assumption</x:v>
      </x:c>
      <x:c r="F77" s="81"/>
      <x:c r="G77" s="81"/>
      <x:c r="H77" s="81"/>
      <x:c r="I77" s="81"/>
      <x:c r="J77" s="81"/>
      <x:c r="K77" s="81"/>
      <x:c r="L77" s="81"/>
      <x:c r="M77" s="81"/>
      <x:c r="N77" s="81"/>
      <x:c r="O77" s="81"/>
      <x:c r="P77" s="81"/>
      <x:c r="Q77" s="81"/>
      <x:c r="R77" s="81"/>
      <x:c r="S77" s="81"/>
      <x:c r="T77" s="81"/>
      <x:c r="U77" s="81"/>
      <x:c r="V77" s="81"/>
      <x:c r="W77" s="81"/>
      <x:c r="X77" s="81"/>
      <x:c r="Y77" s="81"/>
      <x:c r="Z77" s="81"/>
    </x:row>
    <x:row r="78">
      <x:c r="A78" s="81" t="str">
        <x:v>2026-01-31</x:v>
      </x:c>
      <x:c r="B78" s="81" t="str">
        <x:v>FUEVFVND</x:v>
      </x:c>
      <x:c r="C78" s="81" t="n">
        <x:v>30199</x:v>
      </x:c>
      <x:c r="D78" s="81" t="str">
        <x:v>S004</x:v>
      </x:c>
      <x:c r="E78" s="81" t="str">
        <x:v>Assumption</x:v>
      </x:c>
      <x:c r="F78" s="81"/>
      <x:c r="G78" s="81"/>
      <x:c r="H78" s="81"/>
      <x:c r="I78" s="81"/>
      <x:c r="J78" s="81"/>
      <x:c r="K78" s="81"/>
      <x:c r="L78" s="81"/>
      <x:c r="M78" s="81"/>
      <x:c r="N78" s="81"/>
      <x:c r="O78" s="81"/>
      <x:c r="P78" s="81"/>
      <x:c r="Q78" s="81"/>
      <x:c r="R78" s="81"/>
      <x:c r="S78" s="81"/>
      <x:c r="T78" s="81"/>
      <x:c r="U78" s="81"/>
      <x:c r="V78" s="81"/>
      <x:c r="W78" s="81"/>
      <x:c r="X78" s="81"/>
      <x:c r="Y78" s="81"/>
      <x:c r="Z78" s="81"/>
    </x:row>
    <x:row r="79">
      <x:c r="A79" s="81" t="str">
        <x:v>2026-01-31</x:v>
      </x:c>
      <x:c r="B79" s="81" t="str">
        <x:v>VEF_LOCAL</x:v>
      </x:c>
      <x:c r="C79" s="81" t="n">
        <x:v>15789</x:v>
      </x:c>
      <x:c r="D79" s="81" t="str">
        <x:v>S004</x:v>
      </x:c>
      <x:c r="E79" s="81" t="str">
        <x:v>Assumption</x:v>
      </x:c>
      <x:c r="F79" s="81"/>
      <x:c r="G79" s="81"/>
      <x:c r="H79" s="81"/>
      <x:c r="I79" s="81"/>
      <x:c r="J79" s="81"/>
      <x:c r="K79" s="81"/>
      <x:c r="L79" s="81"/>
      <x:c r="M79" s="81"/>
      <x:c r="N79" s="81"/>
      <x:c r="O79" s="81"/>
      <x:c r="P79" s="81"/>
      <x:c r="Q79" s="81"/>
      <x:c r="R79" s="81"/>
      <x:c r="S79" s="81"/>
      <x:c r="T79" s="81"/>
      <x:c r="U79" s="81"/>
      <x:c r="V79" s="81"/>
      <x:c r="W79" s="81"/>
      <x:c r="X79" s="81"/>
      <x:c r="Y79" s="81"/>
      <x:c r="Z79" s="81"/>
    </x:row>
    <x:row r="80">
      <x:c r="A80" s="81" t="str">
        <x:v>2026-02-28</x:v>
      </x:c>
      <x:c r="B80" s="81" t="str">
        <x:v>DCDS</x:v>
      </x:c>
      <x:c r="C80" s="81" t="n">
        <x:v>32393.5</x:v>
      </x:c>
      <x:c r="D80" s="81" t="str">
        <x:v>S004</x:v>
      </x:c>
      <x:c r="E80" s="81" t="str">
        <x:v>Assumption</x:v>
      </x:c>
      <x:c r="F80" s="81"/>
      <x:c r="G80" s="81"/>
      <x:c r="H80" s="81"/>
      <x:c r="I80" s="81"/>
      <x:c r="J80" s="81"/>
      <x:c r="K80" s="81"/>
      <x:c r="L80" s="81"/>
      <x:c r="M80" s="81"/>
      <x:c r="N80" s="81"/>
      <x:c r="O80" s="81"/>
      <x:c r="P80" s="81"/>
      <x:c r="Q80" s="81"/>
      <x:c r="R80" s="81"/>
      <x:c r="S80" s="81"/>
      <x:c r="T80" s="81"/>
      <x:c r="U80" s="81"/>
      <x:c r="V80" s="81"/>
      <x:c r="W80" s="81"/>
      <x:c r="X80" s="81"/>
      <x:c r="Y80" s="81"/>
      <x:c r="Z80" s="81"/>
    </x:row>
    <x:row r="81">
      <x:c r="A81" s="81" t="str">
        <x:v>2026-02-28</x:v>
      </x:c>
      <x:c r="B81" s="81" t="str">
        <x:v>DCBF</x:v>
      </x:c>
      <x:c r="C81" s="81" t="n">
        <x:v>15571.4</x:v>
      </x:c>
      <x:c r="D81" s="81" t="str">
        <x:v>S004</x:v>
      </x:c>
      <x:c r="E81" s="81" t="str">
        <x:v>Assumption</x:v>
      </x:c>
      <x:c r="F81" s="81"/>
      <x:c r="G81" s="81"/>
      <x:c r="H81" s="81"/>
      <x:c r="I81" s="81"/>
      <x:c r="J81" s="81"/>
      <x:c r="K81" s="81"/>
      <x:c r="L81" s="81"/>
      <x:c r="M81" s="81"/>
      <x:c r="N81" s="81"/>
      <x:c r="O81" s="81"/>
      <x:c r="P81" s="81"/>
      <x:c r="Q81" s="81"/>
      <x:c r="R81" s="81"/>
      <x:c r="S81" s="81"/>
      <x:c r="T81" s="81"/>
      <x:c r="U81" s="81"/>
      <x:c r="V81" s="81"/>
      <x:c r="W81" s="81"/>
      <x:c r="X81" s="81"/>
      <x:c r="Y81" s="81"/>
      <x:c r="Z81" s="81"/>
    </x:row>
    <x:row r="82">
      <x:c r="A82" s="81" t="str">
        <x:v>2026-02-28</x:v>
      </x:c>
      <x:c r="B82" s="81" t="str">
        <x:v>DCDE</x:v>
      </x:c>
      <x:c r="C82" s="81" t="n">
        <x:v>13008.7</x:v>
      </x:c>
      <x:c r="D82" s="81" t="str">
        <x:v>S004</x:v>
      </x:c>
      <x:c r="E82" s="81" t="str">
        <x:v>Assumption</x:v>
      </x:c>
      <x:c r="F82" s="81"/>
      <x:c r="G82" s="81"/>
      <x:c r="H82" s="81"/>
      <x:c r="I82" s="81"/>
      <x:c r="J82" s="81"/>
      <x:c r="K82" s="81"/>
      <x:c r="L82" s="81"/>
      <x:c r="M82" s="81"/>
      <x:c r="N82" s="81"/>
      <x:c r="O82" s="81"/>
      <x:c r="P82" s="81"/>
      <x:c r="Q82" s="81"/>
      <x:c r="R82" s="81"/>
      <x:c r="S82" s="81"/>
      <x:c r="T82" s="81"/>
      <x:c r="U82" s="81"/>
      <x:c r="V82" s="81"/>
      <x:c r="W82" s="81"/>
      <x:c r="X82" s="81"/>
      <x:c r="Y82" s="81"/>
      <x:c r="Z82" s="81"/>
    </x:row>
    <x:row r="83">
      <x:c r="A83" s="81" t="str">
        <x:v>2026-02-28</x:v>
      </x:c>
      <x:c r="B83" s="81" t="str">
        <x:v>E1VFVN30</x:v>
      </x:c>
      <x:c r="C83" s="81" t="n">
        <x:v>23428.7</x:v>
      </x:c>
      <x:c r="D83" s="81" t="str">
        <x:v>S004</x:v>
      </x:c>
      <x:c r="E83" s="81" t="str">
        <x:v>Assumption</x:v>
      </x:c>
      <x:c r="F83" s="81"/>
      <x:c r="G83" s="81"/>
      <x:c r="H83" s="81"/>
      <x:c r="I83" s="81"/>
      <x:c r="J83" s="81"/>
      <x:c r="K83" s="81"/>
      <x:c r="L83" s="81"/>
      <x:c r="M83" s="81"/>
      <x:c r="N83" s="81"/>
      <x:c r="O83" s="81"/>
      <x:c r="P83" s="81"/>
      <x:c r="Q83" s="81"/>
      <x:c r="R83" s="81"/>
      <x:c r="S83" s="81"/>
      <x:c r="T83" s="81"/>
      <x:c r="U83" s="81"/>
      <x:c r="V83" s="81"/>
      <x:c r="W83" s="81"/>
      <x:c r="X83" s="81"/>
      <x:c r="Y83" s="81"/>
      <x:c r="Z83" s="81"/>
    </x:row>
    <x:row r="84">
      <x:c r="A84" s="81" t="str">
        <x:v>2026-02-28</x:v>
      </x:c>
      <x:c r="B84" s="81" t="str">
        <x:v>FUEVFVND</x:v>
      </x:c>
      <x:c r="C84" s="81" t="n">
        <x:v>30448.3</x:v>
      </x:c>
      <x:c r="D84" s="81" t="str">
        <x:v>S004</x:v>
      </x:c>
      <x:c r="E84" s="81" t="str">
        <x:v>Assumption</x:v>
      </x:c>
      <x:c r="F84" s="81"/>
      <x:c r="G84" s="81"/>
      <x:c r="H84" s="81"/>
      <x:c r="I84" s="81"/>
      <x:c r="J84" s="81"/>
      <x:c r="K84" s="81"/>
      <x:c r="L84" s="81"/>
      <x:c r="M84" s="81"/>
      <x:c r="N84" s="81"/>
      <x:c r="O84" s="81"/>
      <x:c r="P84" s="81"/>
      <x:c r="Q84" s="81"/>
      <x:c r="R84" s="81"/>
      <x:c r="S84" s="81"/>
      <x:c r="T84" s="81"/>
      <x:c r="U84" s="81"/>
      <x:c r="V84" s="81"/>
      <x:c r="W84" s="81"/>
      <x:c r="X84" s="81"/>
      <x:c r="Y84" s="81"/>
      <x:c r="Z84" s="81"/>
    </x:row>
    <x:row r="85">
      <x:c r="A85" s="81" t="str">
        <x:v>2026-02-28</x:v>
      </x:c>
      <x:c r="B85" s="81" t="str">
        <x:v>VEF_LOCAL</x:v>
      </x:c>
      <x:c r="C85" s="81" t="n">
        <x:v>15990.9</x:v>
      </x:c>
      <x:c r="D85" s="81" t="str">
        <x:v>S004</x:v>
      </x:c>
      <x:c r="E85" s="81" t="str">
        <x:v>Assumption</x:v>
      </x:c>
      <x:c r="F85" s="81"/>
      <x:c r="G85" s="81"/>
      <x:c r="H85" s="81"/>
      <x:c r="I85" s="81"/>
      <x:c r="J85" s="81"/>
      <x:c r="K85" s="81"/>
      <x:c r="L85" s="81"/>
      <x:c r="M85" s="81"/>
      <x:c r="N85" s="81"/>
      <x:c r="O85" s="81"/>
      <x:c r="P85" s="81"/>
      <x:c r="Q85" s="81"/>
      <x:c r="R85" s="81"/>
      <x:c r="S85" s="81"/>
      <x:c r="T85" s="81"/>
      <x:c r="U85" s="81"/>
      <x:c r="V85" s="81"/>
      <x:c r="W85" s="81"/>
      <x:c r="X85" s="81"/>
      <x:c r="Y85" s="81"/>
      <x:c r="Z85" s="81"/>
    </x:row>
    <x:row r="86">
      <x:c r="A86" s="81" t="str">
        <x:v>2026-03-31</x:v>
      </x:c>
      <x:c r="B86" s="81" t="str">
        <x:v>DCDS</x:v>
      </x:c>
      <x:c r="C86" s="81" t="n">
        <x:v>33549.6</x:v>
      </x:c>
      <x:c r="D86" s="81" t="str">
        <x:v>S004</x:v>
      </x:c>
      <x:c r="E86" s="81" t="str">
        <x:v>Assumption</x:v>
      </x:c>
      <x:c r="F86" s="81"/>
      <x:c r="G86" s="81"/>
      <x:c r="H86" s="81"/>
      <x:c r="I86" s="81"/>
      <x:c r="J86" s="81"/>
      <x:c r="K86" s="81"/>
      <x:c r="L86" s="81"/>
      <x:c r="M86" s="81"/>
      <x:c r="N86" s="81"/>
      <x:c r="O86" s="81"/>
      <x:c r="P86" s="81"/>
      <x:c r="Q86" s="81"/>
      <x:c r="R86" s="81"/>
      <x:c r="S86" s="81"/>
      <x:c r="T86" s="81"/>
      <x:c r="U86" s="81"/>
      <x:c r="V86" s="81"/>
      <x:c r="W86" s="81"/>
      <x:c r="X86" s="81"/>
      <x:c r="Y86" s="81"/>
      <x:c r="Z86" s="81"/>
    </x:row>
    <x:row r="87">
      <x:c r="A87" s="81" t="str">
        <x:v>2026-03-31</x:v>
      </x:c>
      <x:c r="B87" s="81" t="str">
        <x:v>DCBF</x:v>
      </x:c>
      <x:c r="C87" s="81" t="n">
        <x:v>16167.8</x:v>
      </x:c>
      <x:c r="D87" s="81" t="str">
        <x:v>S004</x:v>
      </x:c>
      <x:c r="E87" s="81" t="str">
        <x:v>Assumption</x:v>
      </x:c>
      <x:c r="F87" s="81"/>
      <x:c r="G87" s="81"/>
      <x:c r="H87" s="81"/>
      <x:c r="I87" s="81"/>
      <x:c r="J87" s="81"/>
      <x:c r="K87" s="81"/>
      <x:c r="L87" s="81"/>
      <x:c r="M87" s="81"/>
      <x:c r="N87" s="81"/>
      <x:c r="O87" s="81"/>
      <x:c r="P87" s="81"/>
      <x:c r="Q87" s="81"/>
      <x:c r="R87" s="81"/>
      <x:c r="S87" s="81"/>
      <x:c r="T87" s="81"/>
      <x:c r="U87" s="81"/>
      <x:c r="V87" s="81"/>
      <x:c r="W87" s="81"/>
      <x:c r="X87" s="81"/>
      <x:c r="Y87" s="81"/>
      <x:c r="Z87" s="81"/>
    </x:row>
    <x:row r="88">
      <x:c r="A88" s="81" t="str">
        <x:v>2026-03-31</x:v>
      </x:c>
      <x:c r="B88" s="81" t="str">
        <x:v>DCDE</x:v>
      </x:c>
      <x:c r="C88" s="81" t="n">
        <x:v>13637.2</x:v>
      </x:c>
      <x:c r="D88" s="81" t="str">
        <x:v>S004</x:v>
      </x:c>
      <x:c r="E88" s="81" t="str">
        <x:v>Assumption</x:v>
      </x:c>
      <x:c r="F88" s="81"/>
      <x:c r="G88" s="81"/>
      <x:c r="H88" s="81"/>
      <x:c r="I88" s="81"/>
      <x:c r="J88" s="81"/>
      <x:c r="K88" s="81"/>
      <x:c r="L88" s="81"/>
      <x:c r="M88" s="81"/>
      <x:c r="N88" s="81"/>
      <x:c r="O88" s="81"/>
      <x:c r="P88" s="81"/>
      <x:c r="Q88" s="81"/>
      <x:c r="R88" s="81"/>
      <x:c r="S88" s="81"/>
      <x:c r="T88" s="81"/>
      <x:c r="U88" s="81"/>
      <x:c r="V88" s="81"/>
      <x:c r="W88" s="81"/>
      <x:c r="X88" s="81"/>
      <x:c r="Y88" s="81"/>
      <x:c r="Z88" s="81"/>
    </x:row>
    <x:row r="89">
      <x:c r="A89" s="81" t="str">
        <x:v>2026-03-31</x:v>
      </x:c>
      <x:c r="B89" s="81" t="str">
        <x:v>E1VFVN30</x:v>
      </x:c>
      <x:c r="C89" s="81" t="n">
        <x:v>23606.6</x:v>
      </x:c>
      <x:c r="D89" s="81" t="str">
        <x:v>S004</x:v>
      </x:c>
      <x:c r="E89" s="81" t="str">
        <x:v>Assumption</x:v>
      </x:c>
      <x:c r="F89" s="81"/>
      <x:c r="G89" s="81"/>
      <x:c r="H89" s="81"/>
      <x:c r="I89" s="81"/>
      <x:c r="J89" s="81"/>
      <x:c r="K89" s="81"/>
      <x:c r="L89" s="81"/>
      <x:c r="M89" s="81"/>
      <x:c r="N89" s="81"/>
      <x:c r="O89" s="81"/>
      <x:c r="P89" s="81"/>
      <x:c r="Q89" s="81"/>
      <x:c r="R89" s="81"/>
      <x:c r="S89" s="81"/>
      <x:c r="T89" s="81"/>
      <x:c r="U89" s="81"/>
      <x:c r="V89" s="81"/>
      <x:c r="W89" s="81"/>
      <x:c r="X89" s="81"/>
      <x:c r="Y89" s="81"/>
      <x:c r="Z89" s="81"/>
    </x:row>
    <x:row r="90">
      <x:c r="A90" s="81" t="str">
        <x:v>2026-03-31</x:v>
      </x:c>
      <x:c r="B90" s="81" t="str">
        <x:v>FUEVFVND</x:v>
      </x:c>
      <x:c r="C90" s="81" t="n">
        <x:v>31183.3</x:v>
      </x:c>
      <x:c r="D90" s="81" t="str">
        <x:v>S004</x:v>
      </x:c>
      <x:c r="E90" s="81" t="str">
        <x:v>Assumption</x:v>
      </x:c>
      <x:c r="F90" s="81"/>
      <x:c r="G90" s="81"/>
      <x:c r="H90" s="81"/>
      <x:c r="I90" s="81"/>
      <x:c r="J90" s="81"/>
      <x:c r="K90" s="81"/>
      <x:c r="L90" s="81"/>
      <x:c r="M90" s="81"/>
      <x:c r="N90" s="81"/>
      <x:c r="O90" s="81"/>
      <x:c r="P90" s="81"/>
      <x:c r="Q90" s="81"/>
      <x:c r="R90" s="81"/>
      <x:c r="S90" s="81"/>
      <x:c r="T90" s="81"/>
      <x:c r="U90" s="81"/>
      <x:c r="V90" s="81"/>
      <x:c r="W90" s="81"/>
      <x:c r="X90" s="81"/>
      <x:c r="Y90" s="81"/>
      <x:c r="Z90" s="81"/>
    </x:row>
    <x:row r="91">
      <x:c r="A91" s="81" t="str">
        <x:v>2026-03-31</x:v>
      </x:c>
      <x:c r="B91" s="81" t="str">
        <x:v>VEF_LOCAL</x:v>
      </x:c>
      <x:c r="C91" s="81" t="n">
        <x:v>16129.2</x:v>
      </x:c>
      <x:c r="D91" s="81" t="str">
        <x:v>S004</x:v>
      </x:c>
      <x:c r="E91" s="81" t="str">
        <x:v>Assumption</x:v>
      </x:c>
      <x:c r="F91" s="81"/>
      <x:c r="G91" s="81"/>
      <x:c r="H91" s="81"/>
      <x:c r="I91" s="81"/>
      <x:c r="J91" s="81"/>
      <x:c r="K91" s="81"/>
      <x:c r="L91" s="81"/>
      <x:c r="M91" s="81"/>
      <x:c r="N91" s="81"/>
      <x:c r="O91" s="81"/>
      <x:c r="P91" s="81"/>
      <x:c r="Q91" s="81"/>
      <x:c r="R91" s="81"/>
      <x:c r="S91" s="81"/>
      <x:c r="T91" s="81"/>
      <x:c r="U91" s="81"/>
      <x:c r="V91" s="81"/>
      <x:c r="W91" s="81"/>
      <x:c r="X91" s="81"/>
      <x:c r="Y91" s="81"/>
      <x:c r="Z91" s="81"/>
    </x:row>
    <x:row r="92">
      <x:c r="A92" s="81" t="str">
        <x:v>2026-04-30</x:v>
      </x:c>
      <x:c r="B92" s="81" t="str">
        <x:v>DCDS</x:v>
      </x:c>
      <x:c r="C92" s="81" t="n">
        <x:v>33941</x:v>
      </x:c>
      <x:c r="D92" s="81" t="str">
        <x:v>S004</x:v>
      </x:c>
      <x:c r="E92" s="81" t="str">
        <x:v>Assumption</x:v>
      </x:c>
      <x:c r="F92" s="81"/>
      <x:c r="G92" s="81"/>
      <x:c r="H92" s="81"/>
      <x:c r="I92" s="81"/>
      <x:c r="J92" s="81"/>
      <x:c r="K92" s="81"/>
      <x:c r="L92" s="81"/>
      <x:c r="M92" s="81"/>
      <x:c r="N92" s="81"/>
      <x:c r="O92" s="81"/>
      <x:c r="P92" s="81"/>
      <x:c r="Q92" s="81"/>
      <x:c r="R92" s="81"/>
      <x:c r="S92" s="81"/>
      <x:c r="T92" s="81"/>
      <x:c r="U92" s="81"/>
      <x:c r="V92" s="81"/>
      <x:c r="W92" s="81"/>
      <x:c r="X92" s="81"/>
      <x:c r="Y92" s="81"/>
      <x:c r="Z92" s="81"/>
    </x:row>
    <x:row r="93">
      <x:c r="A93" s="81" t="str">
        <x:v>2026-04-30</x:v>
      </x:c>
      <x:c r="B93" s="81" t="str">
        <x:v>DCBF</x:v>
      </x:c>
      <x:c r="C93" s="81" t="n">
        <x:v>16005</x:v>
      </x:c>
      <x:c r="D93" s="81" t="str">
        <x:v>S004</x:v>
      </x:c>
      <x:c r="E93" s="81" t="str">
        <x:v>Assumption</x:v>
      </x:c>
      <x:c r="F93" s="81"/>
      <x:c r="G93" s="81"/>
      <x:c r="H93" s="81"/>
      <x:c r="I93" s="81"/>
      <x:c r="J93" s="81"/>
      <x:c r="K93" s="81"/>
      <x:c r="L93" s="81"/>
      <x:c r="M93" s="81"/>
      <x:c r="N93" s="81"/>
      <x:c r="O93" s="81"/>
      <x:c r="P93" s="81"/>
      <x:c r="Q93" s="81"/>
      <x:c r="R93" s="81"/>
      <x:c r="S93" s="81"/>
      <x:c r="T93" s="81"/>
      <x:c r="U93" s="81"/>
      <x:c r="V93" s="81"/>
      <x:c r="W93" s="81"/>
      <x:c r="X93" s="81"/>
      <x:c r="Y93" s="81"/>
      <x:c r="Z93" s="81"/>
    </x:row>
    <x:row r="94">
      <x:c r="A94" s="81" t="str">
        <x:v>2026-04-30</x:v>
      </x:c>
      <x:c r="B94" s="81" t="str">
        <x:v>DCDE</x:v>
      </x:c>
      <x:c r="C94" s="81" t="n">
        <x:v>13226.3</x:v>
      </x:c>
      <x:c r="D94" s="81" t="str">
        <x:v>S004</x:v>
      </x:c>
      <x:c r="E94" s="81" t="str">
        <x:v>Assumption</x:v>
      </x:c>
      <x:c r="F94" s="81"/>
      <x:c r="G94" s="81"/>
      <x:c r="H94" s="81"/>
      <x:c r="I94" s="81"/>
      <x:c r="J94" s="81"/>
      <x:c r="K94" s="81"/>
      <x:c r="L94" s="81"/>
      <x:c r="M94" s="81"/>
      <x:c r="N94" s="81"/>
      <x:c r="O94" s="81"/>
      <x:c r="P94" s="81"/>
      <x:c r="Q94" s="81"/>
      <x:c r="R94" s="81"/>
      <x:c r="S94" s="81"/>
      <x:c r="T94" s="81"/>
      <x:c r="U94" s="81"/>
      <x:c r="V94" s="81"/>
      <x:c r="W94" s="81"/>
      <x:c r="X94" s="81"/>
      <x:c r="Y94" s="81"/>
      <x:c r="Z94" s="81"/>
    </x:row>
    <x:row r="95">
      <x:c r="A95" s="81" t="str">
        <x:v>2026-04-30</x:v>
      </x:c>
      <x:c r="B95" s="81" t="str">
        <x:v>E1VFVN30</x:v>
      </x:c>
      <x:c r="C95" s="81" t="n">
        <x:v>24315.4</x:v>
      </x:c>
      <x:c r="D95" s="81" t="str">
        <x:v>S004</x:v>
      </x:c>
      <x:c r="E95" s="81" t="str">
        <x:v>Assumption</x:v>
      </x:c>
      <x:c r="F95" s="81"/>
      <x:c r="G95" s="81"/>
      <x:c r="H95" s="81"/>
      <x:c r="I95" s="81"/>
      <x:c r="J95" s="81"/>
      <x:c r="K95" s="81"/>
      <x:c r="L95" s="81"/>
      <x:c r="M95" s="81"/>
      <x:c r="N95" s="81"/>
      <x:c r="O95" s="81"/>
      <x:c r="P95" s="81"/>
      <x:c r="Q95" s="81"/>
      <x:c r="R95" s="81"/>
      <x:c r="S95" s="81"/>
      <x:c r="T95" s="81"/>
      <x:c r="U95" s="81"/>
      <x:c r="V95" s="81"/>
      <x:c r="W95" s="81"/>
      <x:c r="X95" s="81"/>
      <x:c r="Y95" s="81"/>
      <x:c r="Z95" s="81"/>
    </x:row>
    <x:row r="96">
      <x:c r="A96" s="81" t="str">
        <x:v>2026-04-30</x:v>
      </x:c>
      <x:c r="B96" s="81" t="str">
        <x:v>FUEVFVND</x:v>
      </x:c>
      <x:c r="C96" s="81" t="n">
        <x:v>30527.9</x:v>
      </x:c>
      <x:c r="D96" s="81" t="str">
        <x:v>S004</x:v>
      </x:c>
      <x:c r="E96" s="81" t="str">
        <x:v>Assumption</x:v>
      </x:c>
      <x:c r="F96" s="81"/>
      <x:c r="G96" s="81"/>
      <x:c r="H96" s="81"/>
      <x:c r="I96" s="81"/>
      <x:c r="J96" s="81"/>
      <x:c r="K96" s="81"/>
      <x:c r="L96" s="81"/>
      <x:c r="M96" s="81"/>
      <x:c r="N96" s="81"/>
      <x:c r="O96" s="81"/>
      <x:c r="P96" s="81"/>
      <x:c r="Q96" s="81"/>
      <x:c r="R96" s="81"/>
      <x:c r="S96" s="81"/>
      <x:c r="T96" s="81"/>
      <x:c r="U96" s="81"/>
      <x:c r="V96" s="81"/>
      <x:c r="W96" s="81"/>
      <x:c r="X96" s="81"/>
      <x:c r="Y96" s="81"/>
      <x:c r="Z96" s="81"/>
    </x:row>
    <x:row r="97">
      <x:c r="A97" s="81" t="str">
        <x:v>2026-04-30</x:v>
      </x:c>
      <x:c r="B97" s="81" t="str">
        <x:v>VEF_LOCAL</x:v>
      </x:c>
      <x:c r="C97" s="81" t="n">
        <x:v>16494.9</x:v>
      </x:c>
      <x:c r="D97" s="81" t="str">
        <x:v>S004</x:v>
      </x:c>
      <x:c r="E97" s="81" t="str">
        <x:v>Assumption</x:v>
      </x:c>
      <x:c r="F97" s="81"/>
      <x:c r="G97" s="81"/>
      <x:c r="H97" s="81"/>
      <x:c r="I97" s="81"/>
      <x:c r="J97" s="81"/>
      <x:c r="K97" s="81"/>
      <x:c r="L97" s="81"/>
      <x:c r="M97" s="81"/>
      <x:c r="N97" s="81"/>
      <x:c r="O97" s="81"/>
      <x:c r="P97" s="81"/>
      <x:c r="Q97" s="81"/>
      <x:c r="R97" s="81"/>
      <x:c r="S97" s="81"/>
      <x:c r="T97" s="81"/>
      <x:c r="U97" s="81"/>
      <x:c r="V97" s="81"/>
      <x:c r="W97" s="81"/>
      <x:c r="X97" s="81"/>
      <x:c r="Y97" s="81"/>
      <x:c r="Z97" s="81"/>
    </x:row>
    <x:row r="98">
      <x:c r="A98" s="81" t="str">
        <x:v>2026-05-31</x:v>
      </x:c>
      <x:c r="B98" s="81" t="str">
        <x:v>DCDS</x:v>
      </x:c>
      <x:c r="C98" s="81" t="n">
        <x:v>34075.8</x:v>
      </x:c>
      <x:c r="D98" s="81" t="str">
        <x:v>S004</x:v>
      </x:c>
      <x:c r="E98" s="81" t="str">
        <x:v>Assumption</x:v>
      </x:c>
      <x:c r="F98" s="81"/>
      <x:c r="G98" s="81"/>
      <x:c r="H98" s="81"/>
      <x:c r="I98" s="81"/>
      <x:c r="J98" s="81"/>
      <x:c r="K98" s="81"/>
      <x:c r="L98" s="81"/>
      <x:c r="M98" s="81"/>
      <x:c r="N98" s="81"/>
      <x:c r="O98" s="81"/>
      <x:c r="P98" s="81"/>
      <x:c r="Q98" s="81"/>
      <x:c r="R98" s="81"/>
      <x:c r="S98" s="81"/>
      <x:c r="T98" s="81"/>
      <x:c r="U98" s="81"/>
      <x:c r="V98" s="81"/>
      <x:c r="W98" s="81"/>
      <x:c r="X98" s="81"/>
      <x:c r="Y98" s="81"/>
      <x:c r="Z98" s="81"/>
    </x:row>
    <x:row r="99">
      <x:c r="A99" s="81" t="str">
        <x:v>2026-05-31</x:v>
      </x:c>
      <x:c r="B99" s="81" t="str">
        <x:v>DCBF</x:v>
      </x:c>
      <x:c r="C99" s="81" t="n">
        <x:v>16641.7</x:v>
      </x:c>
      <x:c r="D99" s="81" t="str">
        <x:v>S004</x:v>
      </x:c>
      <x:c r="E99" s="81" t="str">
        <x:v>Assumption</x:v>
      </x:c>
      <x:c r="F99" s="81"/>
      <x:c r="G99" s="81"/>
      <x:c r="H99" s="81"/>
      <x:c r="I99" s="81"/>
      <x:c r="J99" s="81"/>
      <x:c r="K99" s="81"/>
      <x:c r="L99" s="81"/>
      <x:c r="M99" s="81"/>
      <x:c r="N99" s="81"/>
      <x:c r="O99" s="81"/>
      <x:c r="P99" s="81"/>
      <x:c r="Q99" s="81"/>
      <x:c r="R99" s="81"/>
      <x:c r="S99" s="81"/>
      <x:c r="T99" s="81"/>
      <x:c r="U99" s="81"/>
      <x:c r="V99" s="81"/>
      <x:c r="W99" s="81"/>
      <x:c r="X99" s="81"/>
      <x:c r="Y99" s="81"/>
      <x:c r="Z99" s="81"/>
    </x:row>
    <x:row r="100">
      <x:c r="A100" s="81" t="str">
        <x:v>2026-05-31</x:v>
      </x:c>
      <x:c r="B100" s="81" t="str">
        <x:v>DCDE</x:v>
      </x:c>
      <x:c r="C100" s="81" t="n">
        <x:v>13847.6</x:v>
      </x:c>
      <x:c r="D100" s="81" t="str">
        <x:v>S004</x:v>
      </x:c>
      <x:c r="E100" s="81" t="str">
        <x:v>Assumption</x:v>
      </x:c>
      <x:c r="F100" s="81"/>
      <x:c r="G100" s="81"/>
      <x:c r="H100" s="81"/>
      <x:c r="I100" s="81"/>
      <x:c r="J100" s="81"/>
      <x:c r="K100" s="81"/>
      <x:c r="L100" s="81"/>
      <x:c r="M100" s="81"/>
      <x:c r="N100" s="81"/>
      <x:c r="O100" s="81"/>
      <x:c r="P100" s="81"/>
      <x:c r="Q100" s="81"/>
      <x:c r="R100" s="81"/>
      <x:c r="S100" s="81"/>
      <x:c r="T100" s="81"/>
      <x:c r="U100" s="81"/>
      <x:c r="V100" s="81"/>
      <x:c r="W100" s="81"/>
      <x:c r="X100" s="81"/>
      <x:c r="Y100" s="81"/>
      <x:c r="Z100" s="81"/>
    </x:row>
    <x:row r="101">
      <x:c r="A101" s="81" t="str">
        <x:v>2026-05-31</x:v>
      </x:c>
      <x:c r="B101" s="81" t="str">
        <x:v>E1VFVN30</x:v>
      </x:c>
      <x:c r="C101" s="81" t="n">
        <x:v>24024.8</x:v>
      </x:c>
      <x:c r="D101" s="81" t="str">
        <x:v>S004</x:v>
      </x:c>
      <x:c r="E101" s="81" t="str">
        <x:v>Assumption</x:v>
      </x:c>
      <x:c r="F101" s="81"/>
      <x:c r="G101" s="81"/>
      <x:c r="H101" s="81"/>
      <x:c r="I101" s="81"/>
      <x:c r="J101" s="81"/>
      <x:c r="K101" s="81"/>
      <x:c r="L101" s="81"/>
      <x:c r="M101" s="81"/>
      <x:c r="N101" s="81"/>
      <x:c r="O101" s="81"/>
      <x:c r="P101" s="81"/>
      <x:c r="Q101" s="81"/>
      <x:c r="R101" s="81"/>
      <x:c r="S101" s="81"/>
      <x:c r="T101" s="81"/>
      <x:c r="U101" s="81"/>
      <x:c r="V101" s="81"/>
      <x:c r="W101" s="81"/>
      <x:c r="X101" s="81"/>
      <x:c r="Y101" s="81"/>
      <x:c r="Z101" s="81"/>
    </x:row>
    <x:row r="102">
      <x:c r="A102" s="81" t="str">
        <x:v>2026-05-31</x:v>
      </x:c>
      <x:c r="B102" s="81" t="str">
        <x:v>FUEVFVND</x:v>
      </x:c>
      <x:c r="C102" s="81" t="n">
        <x:v>31541.7</x:v>
      </x:c>
      <x:c r="D102" s="81" t="str">
        <x:v>S004</x:v>
      </x:c>
      <x:c r="E102" s="81" t="str">
        <x:v>Assumption</x:v>
      </x:c>
      <x:c r="F102" s="81"/>
      <x:c r="G102" s="81"/>
      <x:c r="H102" s="81"/>
      <x:c r="I102" s="81"/>
      <x:c r="J102" s="81"/>
      <x:c r="K102" s="81"/>
      <x:c r="L102" s="81"/>
      <x:c r="M102" s="81"/>
      <x:c r="N102" s="81"/>
      <x:c r="O102" s="81"/>
      <x:c r="P102" s="81"/>
      <x:c r="Q102" s="81"/>
      <x:c r="R102" s="81"/>
      <x:c r="S102" s="81"/>
      <x:c r="T102" s="81"/>
      <x:c r="U102" s="81"/>
      <x:c r="V102" s="81"/>
      <x:c r="W102" s="81"/>
      <x:c r="X102" s="81"/>
      <x:c r="Y102" s="81"/>
      <x:c r="Z102" s="81"/>
    </x:row>
    <x:row r="103">
      <x:c r="A103" s="81" t="str">
        <x:v>2026-05-31</x:v>
      </x:c>
      <x:c r="B103" s="81" t="str">
        <x:v>VEF_LOCAL</x:v>
      </x:c>
      <x:c r="C103" s="81" t="n">
        <x:v>16113.3</x:v>
      </x:c>
      <x:c r="D103" s="81" t="str">
        <x:v>S004</x:v>
      </x:c>
      <x:c r="E103" s="81" t="str">
        <x:v>Assumption</x:v>
      </x:c>
      <x:c r="F103" s="81"/>
      <x:c r="G103" s="81"/>
      <x:c r="H103" s="81"/>
      <x:c r="I103" s="81"/>
      <x:c r="J103" s="81"/>
      <x:c r="K103" s="81"/>
      <x:c r="L103" s="81"/>
      <x:c r="M103" s="81"/>
      <x:c r="N103" s="81"/>
      <x:c r="O103" s="81"/>
      <x:c r="P103" s="81"/>
      <x:c r="Q103" s="81"/>
      <x:c r="R103" s="81"/>
      <x:c r="S103" s="81"/>
      <x:c r="T103" s="81"/>
      <x:c r="U103" s="81"/>
      <x:c r="V103" s="81"/>
      <x:c r="W103" s="81"/>
      <x:c r="X103" s="81"/>
      <x:c r="Y103" s="81"/>
      <x:c r="Z103" s="81"/>
    </x:row>
    <x:row r="104">
      <x:c r="A104" s="81" t="str">
        <x:v>2026-06-30</x:v>
      </x:c>
      <x:c r="B104" s="81" t="str">
        <x:v>DCDS</x:v>
      </x:c>
      <x:c r="C104" s="81" t="n">
        <x:v>35337.7</x:v>
      </x:c>
      <x:c r="D104" s="81" t="str">
        <x:v>S004</x:v>
      </x:c>
      <x:c r="E104" s="81" t="str">
        <x:v>Assumption</x:v>
      </x:c>
      <x:c r="F104" s="81"/>
      <x:c r="G104" s="81"/>
      <x:c r="H104" s="81"/>
      <x:c r="I104" s="81"/>
      <x:c r="J104" s="81"/>
      <x:c r="K104" s="81"/>
      <x:c r="L104" s="81"/>
      <x:c r="M104" s="81"/>
      <x:c r="N104" s="81"/>
      <x:c r="O104" s="81"/>
      <x:c r="P104" s="81"/>
      <x:c r="Q104" s="81"/>
      <x:c r="R104" s="81"/>
      <x:c r="S104" s="81"/>
      <x:c r="T104" s="81"/>
      <x:c r="U104" s="81"/>
      <x:c r="V104" s="81"/>
      <x:c r="W104" s="81"/>
      <x:c r="X104" s="81"/>
      <x:c r="Y104" s="81"/>
      <x:c r="Z104" s="81"/>
    </x:row>
    <x:row r="105">
      <x:c r="A105" s="81" t="str">
        <x:v>2026-06-30</x:v>
      </x:c>
      <x:c r="B105" s="81" t="str">
        <x:v>DCBF</x:v>
      </x:c>
      <x:c r="C105" s="81" t="n">
        <x:v>16472.3</x:v>
      </x:c>
      <x:c r="D105" s="81" t="str">
        <x:v>S004</x:v>
      </x:c>
      <x:c r="E105" s="81" t="str">
        <x:v>Assumption</x:v>
      </x:c>
      <x:c r="F105" s="81"/>
      <x:c r="G105" s="81"/>
      <x:c r="H105" s="81"/>
      <x:c r="I105" s="81"/>
      <x:c r="J105" s="81"/>
      <x:c r="K105" s="81"/>
      <x:c r="L105" s="81"/>
      <x:c r="M105" s="81"/>
      <x:c r="N105" s="81"/>
      <x:c r="O105" s="81"/>
      <x:c r="P105" s="81"/>
      <x:c r="Q105" s="81"/>
      <x:c r="R105" s="81"/>
      <x:c r="S105" s="81"/>
      <x:c r="T105" s="81"/>
      <x:c r="U105" s="81"/>
      <x:c r="V105" s="81"/>
      <x:c r="W105" s="81"/>
      <x:c r="X105" s="81"/>
      <x:c r="Y105" s="81"/>
      <x:c r="Z105" s="81"/>
    </x:row>
    <x:row r="106">
      <x:c r="A106" s="81" t="str">
        <x:v>2026-06-30</x:v>
      </x:c>
      <x:c r="B106" s="81" t="str">
        <x:v>DCDE</x:v>
      </x:c>
      <x:c r="C106" s="81" t="n">
        <x:v>14123.9</x:v>
      </x:c>
      <x:c r="D106" s="81" t="str">
        <x:v>S004</x:v>
      </x:c>
      <x:c r="E106" s="81" t="str">
        <x:v>Assumption</x:v>
      </x:c>
      <x:c r="F106" s="81"/>
      <x:c r="G106" s="81"/>
      <x:c r="H106" s="81"/>
      <x:c r="I106" s="81"/>
      <x:c r="J106" s="81"/>
      <x:c r="K106" s="81"/>
      <x:c r="L106" s="81"/>
      <x:c r="M106" s="81"/>
      <x:c r="N106" s="81"/>
      <x:c r="O106" s="81"/>
      <x:c r="P106" s="81"/>
      <x:c r="Q106" s="81"/>
      <x:c r="R106" s="81"/>
      <x:c r="S106" s="81"/>
      <x:c r="T106" s="81"/>
      <x:c r="U106" s="81"/>
      <x:c r="V106" s="81"/>
      <x:c r="W106" s="81"/>
      <x:c r="X106" s="81"/>
      <x:c r="Y106" s="81"/>
      <x:c r="Z106" s="81"/>
    </x:row>
    <x:row r="107">
      <x:c r="A107" s="81" t="str">
        <x:v>2026-06-30</x:v>
      </x:c>
      <x:c r="B107" s="81" t="str">
        <x:v>E1VFVN30</x:v>
      </x:c>
      <x:c r="C107" s="81" t="n">
        <x:v>25223.2</x:v>
      </x:c>
      <x:c r="D107" s="81" t="str">
        <x:v>S004</x:v>
      </x:c>
      <x:c r="E107" s="81" t="str">
        <x:v>Assumption</x:v>
      </x:c>
      <x:c r="F107" s="81"/>
      <x:c r="G107" s="81"/>
      <x:c r="H107" s="81"/>
      <x:c r="I107" s="81"/>
      <x:c r="J107" s="81"/>
      <x:c r="K107" s="81"/>
      <x:c r="L107" s="81"/>
      <x:c r="M107" s="81"/>
      <x:c r="N107" s="81"/>
      <x:c r="O107" s="81"/>
      <x:c r="P107" s="81"/>
      <x:c r="Q107" s="81"/>
      <x:c r="R107" s="81"/>
      <x:c r="S107" s="81"/>
      <x:c r="T107" s="81"/>
      <x:c r="U107" s="81"/>
      <x:c r="V107" s="81"/>
      <x:c r="W107" s="81"/>
      <x:c r="X107" s="81"/>
      <x:c r="Y107" s="81"/>
      <x:c r="Z107" s="81"/>
    </x:row>
    <x:row r="108">
      <x:c r="A108" s="81" t="str">
        <x:v>2026-06-30</x:v>
      </x:c>
      <x:c r="B108" s="81" t="str">
        <x:v>FUEVFVND</x:v>
      </x:c>
      <x:c r="C108" s="81" t="n">
        <x:v>32799.2</x:v>
      </x:c>
      <x:c r="D108" s="81" t="str">
        <x:v>S004</x:v>
      </x:c>
      <x:c r="E108" s="81" t="str">
        <x:v>Assumption</x:v>
      </x:c>
      <x:c r="F108" s="81"/>
      <x:c r="G108" s="81"/>
      <x:c r="H108" s="81"/>
      <x:c r="I108" s="81"/>
      <x:c r="J108" s="81"/>
      <x:c r="K108" s="81"/>
      <x:c r="L108" s="81"/>
      <x:c r="M108" s="81"/>
      <x:c r="N108" s="81"/>
      <x:c r="O108" s="81"/>
      <x:c r="P108" s="81"/>
      <x:c r="Q108" s="81"/>
      <x:c r="R108" s="81"/>
      <x:c r="S108" s="81"/>
      <x:c r="T108" s="81"/>
      <x:c r="U108" s="81"/>
      <x:c r="V108" s="81"/>
      <x:c r="W108" s="81"/>
      <x:c r="X108" s="81"/>
      <x:c r="Y108" s="81"/>
      <x:c r="Z108" s="81"/>
    </x:row>
    <x:row r="109">
      <x:c r="A109" s="81" t="str">
        <x:v>2026-06-30</x:v>
      </x:c>
      <x:c r="B109" s="81" t="str">
        <x:v>VEF_LOCAL</x:v>
      </x:c>
      <x:c r="C109" s="81" t="n">
        <x:v>16912.3</x:v>
      </x:c>
      <x:c r="D109" s="81" t="str">
        <x:v>S004</x:v>
      </x:c>
      <x:c r="E109" s="81" t="str">
        <x:v>Assumption</x:v>
      </x:c>
      <x:c r="F109" s="81"/>
      <x:c r="G109" s="81"/>
      <x:c r="H109" s="81"/>
      <x:c r="I109" s="81"/>
      <x:c r="J109" s="81"/>
      <x:c r="K109" s="81"/>
      <x:c r="L109" s="81"/>
      <x:c r="M109" s="81"/>
      <x:c r="N109" s="81"/>
      <x:c r="O109" s="81"/>
      <x:c r="P109" s="81"/>
      <x:c r="Q109" s="81"/>
      <x:c r="R109" s="81"/>
      <x:c r="S109" s="81"/>
      <x:c r="T109" s="81"/>
      <x:c r="U109" s="81"/>
      <x:c r="V109" s="81"/>
      <x:c r="W109" s="81"/>
      <x:c r="X109" s="81"/>
      <x:c r="Y109" s="81"/>
      <x:c r="Z109" s="81"/>
    </x:row>
    <x:row r="110">
      <x:c r="A110" s="81" t="str">
        <x:v>2026-07-31</x:v>
      </x:c>
      <x:c r="B110" s="81" t="str">
        <x:v>DCDS</x:v>
      </x:c>
      <x:c r="C110" s="81" t="n">
        <x:v>36038.9</x:v>
      </x:c>
      <x:c r="D110" s="81" t="str">
        <x:v>S004</x:v>
      </x:c>
      <x:c r="E110" s="81" t="str">
        <x:v>Assumption</x:v>
      </x:c>
      <x:c r="F110" s="81"/>
      <x:c r="G110" s="81"/>
      <x:c r="H110" s="81"/>
      <x:c r="I110" s="81"/>
      <x:c r="J110" s="81"/>
      <x:c r="K110" s="81"/>
      <x:c r="L110" s="81"/>
      <x:c r="M110" s="81"/>
      <x:c r="N110" s="81"/>
      <x:c r="O110" s="81"/>
      <x:c r="P110" s="81"/>
      <x:c r="Q110" s="81"/>
      <x:c r="R110" s="81"/>
      <x:c r="S110" s="81"/>
      <x:c r="T110" s="81"/>
      <x:c r="U110" s="81"/>
      <x:c r="V110" s="81"/>
      <x:c r="W110" s="81"/>
      <x:c r="X110" s="81"/>
      <x:c r="Y110" s="81"/>
      <x:c r="Z110" s="81"/>
    </x:row>
    <x:row r="111">
      <x:c r="A111" s="81" t="str">
        <x:v>2026-07-31</x:v>
      </x:c>
      <x:c r="B111" s="81" t="str">
        <x:v>DCBF</x:v>
      </x:c>
      <x:c r="C111" s="81" t="n">
        <x:v>16842.5</x:v>
      </x:c>
      <x:c r="D111" s="81" t="str">
        <x:v>S004</x:v>
      </x:c>
      <x:c r="E111" s="81" t="str">
        <x:v>Assumption</x:v>
      </x:c>
      <x:c r="F111" s="81"/>
      <x:c r="G111" s="81"/>
      <x:c r="H111" s="81"/>
      <x:c r="I111" s="81"/>
      <x:c r="J111" s="81"/>
      <x:c r="K111" s="81"/>
      <x:c r="L111" s="81"/>
      <x:c r="M111" s="81"/>
      <x:c r="N111" s="81"/>
      <x:c r="O111" s="81"/>
      <x:c r="P111" s="81"/>
      <x:c r="Q111" s="81"/>
      <x:c r="R111" s="81"/>
      <x:c r="S111" s="81"/>
      <x:c r="T111" s="81"/>
      <x:c r="U111" s="81"/>
      <x:c r="V111" s="81"/>
      <x:c r="W111" s="81"/>
      <x:c r="X111" s="81"/>
      <x:c r="Y111" s="81"/>
      <x:c r="Z111" s="81"/>
    </x:row>
    <x:row r="112">
      <x:c r="A112" s="81" t="str">
        <x:v>2026-07-31</x:v>
      </x:c>
      <x:c r="B112" s="81" t="str">
        <x:v>DCDE</x:v>
      </x:c>
      <x:c r="C112" s="81" t="n">
        <x:v>14465.2</x:v>
      </x:c>
      <x:c r="D112" s="81" t="str">
        <x:v>S004</x:v>
      </x:c>
      <x:c r="E112" s="81" t="str">
        <x:v>Assumption</x:v>
      </x:c>
      <x:c r="F112" s="81"/>
      <x:c r="G112" s="81"/>
      <x:c r="H112" s="81"/>
      <x:c r="I112" s="81"/>
      <x:c r="J112" s="81"/>
      <x:c r="K112" s="81"/>
      <x:c r="L112" s="81"/>
      <x:c r="M112" s="81"/>
      <x:c r="N112" s="81"/>
      <x:c r="O112" s="81"/>
      <x:c r="P112" s="81"/>
      <x:c r="Q112" s="81"/>
      <x:c r="R112" s="81"/>
      <x:c r="S112" s="81"/>
      <x:c r="T112" s="81"/>
      <x:c r="U112" s="81"/>
      <x:c r="V112" s="81"/>
      <x:c r="W112" s="81"/>
      <x:c r="X112" s="81"/>
      <x:c r="Y112" s="81"/>
      <x:c r="Z112" s="81"/>
    </x:row>
    <x:row r="113">
      <x:c r="A113" s="81" t="str">
        <x:v>2026-07-31</x:v>
      </x:c>
      <x:c r="B113" s="81" t="str">
        <x:v>E1VFVN30</x:v>
      </x:c>
      <x:c r="C113" s="81" t="n">
        <x:v>25966.3</x:v>
      </x:c>
      <x:c r="D113" s="81" t="str">
        <x:v>S004</x:v>
      </x:c>
      <x:c r="E113" s="81" t="str">
        <x:v>Assumption</x:v>
      </x:c>
      <x:c r="F113" s="81"/>
      <x:c r="G113" s="81"/>
      <x:c r="H113" s="81"/>
      <x:c r="I113" s="81"/>
      <x:c r="J113" s="81"/>
      <x:c r="K113" s="81"/>
      <x:c r="L113" s="81"/>
      <x:c r="M113" s="81"/>
      <x:c r="N113" s="81"/>
      <x:c r="O113" s="81"/>
      <x:c r="P113" s="81"/>
      <x:c r="Q113" s="81"/>
      <x:c r="R113" s="81"/>
      <x:c r="S113" s="81"/>
      <x:c r="T113" s="81"/>
      <x:c r="U113" s="81"/>
      <x:c r="V113" s="81"/>
      <x:c r="W113" s="81"/>
      <x:c r="X113" s="81"/>
      <x:c r="Y113" s="81"/>
      <x:c r="Z113" s="81"/>
    </x:row>
    <x:row r="114">
      <x:c r="A114" s="81" t="str">
        <x:v>2026-07-31</x:v>
      </x:c>
      <x:c r="B114" s="81" t="str">
        <x:v>FUEVFVND</x:v>
      </x:c>
      <x:c r="C114" s="81" t="n">
        <x:v>32217.3</x:v>
      </x:c>
      <x:c r="D114" s="81" t="str">
        <x:v>S004</x:v>
      </x:c>
      <x:c r="E114" s="81" t="str">
        <x:v>Assumption</x:v>
      </x:c>
      <x:c r="F114" s="81"/>
      <x:c r="G114" s="81"/>
      <x:c r="H114" s="81"/>
      <x:c r="I114" s="81"/>
      <x:c r="J114" s="81"/>
      <x:c r="K114" s="81"/>
      <x:c r="L114" s="81"/>
      <x:c r="M114" s="81"/>
      <x:c r="N114" s="81"/>
      <x:c r="O114" s="81"/>
      <x:c r="P114" s="81"/>
      <x:c r="Q114" s="81"/>
      <x:c r="R114" s="81"/>
      <x:c r="S114" s="81"/>
      <x:c r="T114" s="81"/>
      <x:c r="U114" s="81"/>
      <x:c r="V114" s="81"/>
      <x:c r="W114" s="81"/>
      <x:c r="X114" s="81"/>
      <x:c r="Y114" s="81"/>
      <x:c r="Z114" s="81"/>
    </x:row>
    <x:row r="115">
      <x:c r="A115" s="81" t="str">
        <x:v>2026-07-31</x:v>
      </x:c>
      <x:c r="B115" s="81" t="str">
        <x:v>VEF_LOCAL</x:v>
      </x:c>
      <x:c r="C115" s="81" t="n">
        <x:v>17351.6</x:v>
      </x:c>
      <x:c r="D115" s="81" t="str">
        <x:v>S004</x:v>
      </x:c>
      <x:c r="E115" s="81" t="str">
        <x:v>Assumption</x:v>
      </x:c>
      <x:c r="F115" s="81"/>
      <x:c r="G115" s="81"/>
      <x:c r="H115" s="81"/>
      <x:c r="I115" s="81"/>
      <x:c r="J115" s="81"/>
      <x:c r="K115" s="81"/>
      <x:c r="L115" s="81"/>
      <x:c r="M115" s="81"/>
      <x:c r="N115" s="81"/>
      <x:c r="O115" s="81"/>
      <x:c r="P115" s="81"/>
      <x:c r="Q115" s="81"/>
      <x:c r="R115" s="81"/>
      <x:c r="S115" s="81"/>
      <x:c r="T115" s="81"/>
      <x:c r="U115" s="81"/>
      <x:c r="V115" s="81"/>
      <x:c r="W115" s="81"/>
      <x:c r="X115" s="81"/>
      <x:c r="Y115" s="81"/>
      <x:c r="Z115" s="81"/>
    </x:row>
    <x:row r="116">
      <x:c r="A116" s="81"/>
      <x:c r="B116" s="81"/>
      <x:c r="C116" s="81"/>
      <x:c r="D116" s="81"/>
      <x:c r="E116" s="81"/>
      <x:c r="F116" s="81"/>
      <x:c r="G116" s="81"/>
      <x:c r="H116" s="81"/>
      <x:c r="I116" s="81"/>
      <x:c r="J116" s="81"/>
      <x:c r="K116" s="81"/>
      <x:c r="L116" s="81"/>
      <x:c r="M116" s="81"/>
      <x:c r="N116" s="81"/>
      <x:c r="O116" s="81"/>
      <x:c r="P116" s="81"/>
      <x:c r="Q116" s="81"/>
      <x:c r="R116" s="81"/>
      <x:c r="S116" s="81"/>
      <x:c r="T116" s="81"/>
      <x:c r="U116" s="81"/>
      <x:c r="V116" s="81"/>
      <x:c r="W116" s="81"/>
      <x:c r="X116" s="81"/>
      <x:c r="Y116" s="81"/>
      <x:c r="Z116" s="81"/>
    </x:row>
    <x:row r="117">
      <x:c r="A117" s="81"/>
      <x:c r="B117" s="81"/>
      <x:c r="C117" s="81"/>
      <x:c r="D117" s="81"/>
      <x:c r="E117" s="81"/>
      <x:c r="F117" s="81"/>
      <x:c r="G117" s="81"/>
      <x:c r="H117" s="81"/>
      <x:c r="I117" s="81"/>
      <x:c r="J117" s="81"/>
      <x:c r="K117" s="81"/>
      <x:c r="L117" s="81"/>
      <x:c r="M117" s="81"/>
      <x:c r="N117" s="81"/>
      <x:c r="O117" s="81"/>
      <x:c r="P117" s="81"/>
      <x:c r="Q117" s="81"/>
      <x:c r="R117" s="81"/>
      <x:c r="S117" s="81"/>
      <x:c r="T117" s="81"/>
      <x:c r="U117" s="81"/>
      <x:c r="V117" s="81"/>
      <x:c r="W117" s="81"/>
      <x:c r="X117" s="81"/>
      <x:c r="Y117" s="81"/>
      <x:c r="Z117" s="81"/>
    </x:row>
    <x:row r="118">
      <x:c r="A118" s="81"/>
      <x:c r="B118" s="81"/>
      <x:c r="C118" s="81"/>
      <x:c r="D118" s="81"/>
      <x:c r="E118" s="81"/>
      <x:c r="F118" s="81"/>
      <x:c r="G118" s="81"/>
      <x:c r="H118" s="81"/>
      <x:c r="I118" s="81"/>
      <x:c r="J118" s="81"/>
      <x:c r="K118" s="81"/>
      <x:c r="L118" s="81"/>
      <x:c r="M118" s="81"/>
      <x:c r="N118" s="81"/>
      <x:c r="O118" s="81"/>
      <x:c r="P118" s="81"/>
      <x:c r="Q118" s="81"/>
      <x:c r="R118" s="81"/>
      <x:c r="S118" s="81"/>
      <x:c r="T118" s="81"/>
      <x:c r="U118" s="81"/>
      <x:c r="V118" s="81"/>
      <x:c r="W118" s="81"/>
      <x:c r="X118" s="81"/>
      <x:c r="Y118" s="81"/>
      <x:c r="Z118" s="81"/>
    </x:row>
    <x:row r="119">
      <x:c r="A119" s="81"/>
      <x:c r="B119" s="81"/>
      <x:c r="C119" s="81"/>
      <x:c r="D119" s="81"/>
      <x:c r="E119" s="81"/>
      <x:c r="F119" s="81"/>
      <x:c r="G119" s="81"/>
      <x:c r="H119" s="81"/>
      <x:c r="I119" s="81"/>
      <x:c r="J119" s="81"/>
      <x:c r="K119" s="81"/>
      <x:c r="L119" s="81"/>
      <x:c r="M119" s="81"/>
      <x:c r="N119" s="81"/>
      <x:c r="O119" s="81"/>
      <x:c r="P119" s="81"/>
      <x:c r="Q119" s="81"/>
      <x:c r="R119" s="81"/>
      <x:c r="S119" s="81"/>
      <x:c r="T119" s="81"/>
      <x:c r="U119" s="81"/>
      <x:c r="V119" s="81"/>
      <x:c r="W119" s="81"/>
      <x:c r="X119" s="81"/>
      <x:c r="Y119" s="81"/>
      <x:c r="Z119" s="81"/>
    </x:row>
    <x:row r="120">
      <x:c r="A120" s="81"/>
      <x:c r="B120" s="81"/>
      <x:c r="C120" s="81"/>
      <x:c r="D120" s="81"/>
      <x:c r="E120" s="81"/>
      <x:c r="F120" s="81"/>
      <x:c r="G120" s="81"/>
      <x:c r="H120" s="81"/>
      <x:c r="I120" s="81"/>
      <x:c r="J120" s="81"/>
      <x:c r="K120" s="81"/>
      <x:c r="L120" s="81"/>
      <x:c r="M120" s="81"/>
      <x:c r="N120" s="81"/>
      <x:c r="O120" s="81"/>
      <x:c r="P120" s="81"/>
      <x:c r="Q120" s="81"/>
      <x:c r="R120" s="81"/>
      <x:c r="S120" s="81"/>
      <x:c r="T120" s="81"/>
      <x:c r="U120" s="81"/>
      <x:c r="V120" s="81"/>
      <x:c r="W120" s="81"/>
      <x:c r="X120" s="81"/>
      <x:c r="Y120" s="81"/>
      <x:c r="Z120" s="81"/>
    </x:row>
    <x:row r="121">
      <x:c r="A121" s="81"/>
      <x:c r="B121" s="81"/>
      <x:c r="C121" s="81"/>
      <x:c r="D121" s="81"/>
      <x:c r="E121" s="81"/>
      <x:c r="F121" s="81"/>
      <x:c r="G121" s="81"/>
      <x:c r="H121" s="81"/>
      <x:c r="I121" s="81"/>
      <x:c r="J121" s="81"/>
      <x:c r="K121" s="81"/>
      <x:c r="L121" s="81"/>
      <x:c r="M121" s="81"/>
      <x:c r="N121" s="81"/>
      <x:c r="O121" s="81"/>
      <x:c r="P121" s="81"/>
      <x:c r="Q121" s="81"/>
      <x:c r="R121" s="81"/>
      <x:c r="S121" s="81"/>
      <x:c r="T121" s="81"/>
      <x:c r="U121" s="81"/>
      <x:c r="V121" s="81"/>
      <x:c r="W121" s="81"/>
      <x:c r="X121" s="81"/>
      <x:c r="Y121" s="81"/>
      <x:c r="Z121" s="81"/>
    </x:row>
    <x:row r="122">
      <x:c r="A122" s="81"/>
      <x:c r="B122" s="81"/>
      <x:c r="C122" s="81"/>
      <x:c r="D122" s="81"/>
      <x:c r="E122" s="81"/>
      <x:c r="F122" s="81"/>
      <x:c r="G122" s="81"/>
      <x:c r="H122" s="81"/>
      <x:c r="I122" s="81"/>
      <x:c r="J122" s="81"/>
      <x:c r="K122" s="81"/>
      <x:c r="L122" s="81"/>
      <x:c r="M122" s="81"/>
      <x:c r="N122" s="81"/>
      <x:c r="O122" s="81"/>
      <x:c r="P122" s="81"/>
      <x:c r="Q122" s="81"/>
      <x:c r="R122" s="81"/>
      <x:c r="S122" s="81"/>
      <x:c r="T122" s="81"/>
      <x:c r="U122" s="81"/>
      <x:c r="V122" s="81"/>
      <x:c r="W122" s="81"/>
      <x:c r="X122" s="81"/>
      <x:c r="Y122" s="81"/>
      <x:c r="Z122" s="81"/>
    </x:row>
    <x:row r="123">
      <x:c r="A123" s="81"/>
      <x:c r="B123" s="81"/>
      <x:c r="C123" s="81"/>
      <x:c r="D123" s="81"/>
      <x:c r="E123" s="81"/>
      <x:c r="F123" s="81"/>
      <x:c r="G123" s="81"/>
      <x:c r="H123" s="81"/>
      <x:c r="I123" s="81"/>
      <x:c r="J123" s="81"/>
      <x:c r="K123" s="81"/>
      <x:c r="L123" s="81"/>
      <x:c r="M123" s="81"/>
      <x:c r="N123" s="81"/>
      <x:c r="O123" s="81"/>
      <x:c r="P123" s="81"/>
      <x:c r="Q123" s="81"/>
      <x:c r="R123" s="81"/>
      <x:c r="S123" s="81"/>
      <x:c r="T123" s="81"/>
      <x:c r="U123" s="81"/>
      <x:c r="V123" s="81"/>
      <x:c r="W123" s="81"/>
      <x:c r="X123" s="81"/>
      <x:c r="Y123" s="81"/>
      <x:c r="Z123" s="81"/>
    </x:row>
    <x:row r="124">
      <x:c r="A124" s="81"/>
      <x:c r="B124" s="81"/>
      <x:c r="C124" s="81"/>
      <x:c r="D124" s="81"/>
      <x:c r="E124" s="81"/>
      <x:c r="F124" s="81"/>
      <x:c r="G124" s="81"/>
      <x:c r="H124" s="81"/>
      <x:c r="I124" s="81"/>
      <x:c r="J124" s="81"/>
      <x:c r="K124" s="81"/>
      <x:c r="L124" s="81"/>
      <x:c r="M124" s="81"/>
      <x:c r="N124" s="81"/>
      <x:c r="O124" s="81"/>
      <x:c r="P124" s="81"/>
      <x:c r="Q124" s="81"/>
      <x:c r="R124" s="81"/>
      <x:c r="S124" s="81"/>
      <x:c r="T124" s="81"/>
      <x:c r="U124" s="81"/>
      <x:c r="V124" s="81"/>
      <x:c r="W124" s="81"/>
      <x:c r="X124" s="81"/>
      <x:c r="Y124" s="81"/>
      <x:c r="Z124" s="81"/>
    </x:row>
    <x:row r="125">
      <x:c r="A125" s="81"/>
      <x:c r="B125" s="81"/>
      <x:c r="C125" s="81"/>
      <x:c r="D125" s="81"/>
      <x:c r="E125" s="81"/>
      <x:c r="F125" s="81"/>
      <x:c r="G125" s="81"/>
      <x:c r="H125" s="81"/>
      <x:c r="I125" s="81"/>
      <x:c r="J125" s="81"/>
      <x:c r="K125" s="81"/>
      <x:c r="L125" s="81"/>
      <x:c r="M125" s="81"/>
      <x:c r="N125" s="81"/>
      <x:c r="O125" s="81"/>
      <x:c r="P125" s="81"/>
      <x:c r="Q125" s="81"/>
      <x:c r="R125" s="81"/>
      <x:c r="S125" s="81"/>
      <x:c r="T125" s="81"/>
      <x:c r="U125" s="81"/>
      <x:c r="V125" s="81"/>
      <x:c r="W125" s="81"/>
      <x:c r="X125" s="81"/>
      <x:c r="Y125" s="81"/>
      <x:c r="Z125" s="81"/>
    </x:row>
    <x:row r="126">
      <x:c r="A126" s="81"/>
      <x:c r="B126" s="81"/>
      <x:c r="C126" s="81"/>
      <x:c r="D126" s="81"/>
      <x:c r="E126" s="81"/>
      <x:c r="F126" s="81"/>
      <x:c r="G126" s="81"/>
      <x:c r="H126" s="81"/>
      <x:c r="I126" s="81"/>
      <x:c r="J126" s="81"/>
      <x:c r="K126" s="81"/>
      <x:c r="L126" s="81"/>
      <x:c r="M126" s="81"/>
      <x:c r="N126" s="81"/>
      <x:c r="O126" s="81"/>
      <x:c r="P126" s="81"/>
      <x:c r="Q126" s="81"/>
      <x:c r="R126" s="81"/>
      <x:c r="S126" s="81"/>
      <x:c r="T126" s="81"/>
      <x:c r="U126" s="81"/>
      <x:c r="V126" s="81"/>
      <x:c r="W126" s="81"/>
      <x:c r="X126" s="81"/>
      <x:c r="Y126" s="81"/>
      <x:c r="Z126" s="81"/>
    </x:row>
    <x:row r="127">
      <x:c r="A127" s="81"/>
      <x:c r="B127" s="81"/>
      <x:c r="C127" s="81"/>
      <x:c r="D127" s="81"/>
      <x:c r="E127" s="81"/>
      <x:c r="F127" s="81"/>
      <x:c r="G127" s="81"/>
      <x:c r="H127" s="81"/>
      <x:c r="I127" s="81"/>
      <x:c r="J127" s="81"/>
      <x:c r="K127" s="81"/>
      <x:c r="L127" s="81"/>
      <x:c r="M127" s="81"/>
      <x:c r="N127" s="81"/>
      <x:c r="O127" s="81"/>
      <x:c r="P127" s="81"/>
      <x:c r="Q127" s="81"/>
      <x:c r="R127" s="81"/>
      <x:c r="S127" s="81"/>
      <x:c r="T127" s="81"/>
      <x:c r="U127" s="81"/>
      <x:c r="V127" s="81"/>
      <x:c r="W127" s="81"/>
      <x:c r="X127" s="81"/>
      <x:c r="Y127" s="81"/>
      <x:c r="Z127" s="81"/>
    </x:row>
    <x:row r="128">
      <x:c r="A128" s="81"/>
      <x:c r="B128" s="81"/>
      <x:c r="C128" s="81"/>
      <x:c r="D128" s="81"/>
      <x:c r="E128" s="81"/>
      <x:c r="F128" s="81"/>
      <x:c r="G128" s="81"/>
      <x:c r="H128" s="81"/>
      <x:c r="I128" s="81"/>
      <x:c r="J128" s="81"/>
      <x:c r="K128" s="81"/>
      <x:c r="L128" s="81"/>
      <x:c r="M128" s="81"/>
      <x:c r="N128" s="81"/>
      <x:c r="O128" s="81"/>
      <x:c r="P128" s="81"/>
      <x:c r="Q128" s="81"/>
      <x:c r="R128" s="81"/>
      <x:c r="S128" s="81"/>
      <x:c r="T128" s="81"/>
      <x:c r="U128" s="81"/>
      <x:c r="V128" s="81"/>
      <x:c r="W128" s="81"/>
      <x:c r="X128" s="81"/>
      <x:c r="Y128" s="81"/>
      <x:c r="Z128" s="81"/>
    </x:row>
    <x:row r="129">
      <x:c r="A129" s="81"/>
      <x:c r="B129" s="81"/>
      <x:c r="C129" s="81"/>
      <x:c r="D129" s="81"/>
      <x:c r="E129" s="81"/>
      <x:c r="F129" s="81"/>
      <x:c r="G129" s="81"/>
      <x:c r="H129" s="81"/>
      <x:c r="I129" s="81"/>
      <x:c r="J129" s="81"/>
      <x:c r="K129" s="81"/>
      <x:c r="L129" s="81"/>
      <x:c r="M129" s="81"/>
      <x:c r="N129" s="81"/>
      <x:c r="O129" s="81"/>
      <x:c r="P129" s="81"/>
      <x:c r="Q129" s="81"/>
      <x:c r="R129" s="81"/>
      <x:c r="S129" s="81"/>
      <x:c r="T129" s="81"/>
      <x:c r="U129" s="81"/>
      <x:c r="V129" s="81"/>
      <x:c r="W129" s="81"/>
      <x:c r="X129" s="81"/>
      <x:c r="Y129" s="81"/>
      <x:c r="Z129" s="81"/>
    </x:row>
    <x:row r="130">
      <x:c r="A130" s="81"/>
      <x:c r="B130" s="81"/>
      <x:c r="C130" s="81"/>
      <x:c r="D130" s="81"/>
      <x:c r="E130" s="81"/>
      <x:c r="F130" s="81"/>
      <x:c r="G130" s="81"/>
      <x:c r="H130" s="81"/>
      <x:c r="I130" s="81"/>
      <x:c r="J130" s="81"/>
      <x:c r="K130" s="81"/>
      <x:c r="L130" s="81"/>
      <x:c r="M130" s="81"/>
      <x:c r="N130" s="81"/>
      <x:c r="O130" s="81"/>
      <x:c r="P130" s="81"/>
      <x:c r="Q130" s="81"/>
      <x:c r="R130" s="81"/>
      <x:c r="S130" s="81"/>
      <x:c r="T130" s="81"/>
      <x:c r="U130" s="81"/>
      <x:c r="V130" s="81"/>
      <x:c r="W130" s="81"/>
      <x:c r="X130" s="81"/>
      <x:c r="Y130" s="81"/>
      <x:c r="Z130" s="81"/>
    </x:row>
    <x:row r="131">
      <x:c r="A131" s="81"/>
      <x:c r="B131" s="81"/>
      <x:c r="C131" s="81"/>
      <x:c r="D131" s="81"/>
      <x:c r="E131" s="81"/>
      <x:c r="F131" s="81"/>
      <x:c r="G131" s="81"/>
      <x:c r="H131" s="81"/>
      <x:c r="I131" s="81"/>
      <x:c r="J131" s="81"/>
      <x:c r="K131" s="81"/>
      <x:c r="L131" s="81"/>
      <x:c r="M131" s="81"/>
      <x:c r="N131" s="81"/>
      <x:c r="O131" s="81"/>
      <x:c r="P131" s="81"/>
      <x:c r="Q131" s="81"/>
      <x:c r="R131" s="81"/>
      <x:c r="S131" s="81"/>
      <x:c r="T131" s="81"/>
      <x:c r="U131" s="81"/>
      <x:c r="V131" s="81"/>
      <x:c r="W131" s="81"/>
      <x:c r="X131" s="81"/>
      <x:c r="Y131" s="81"/>
      <x:c r="Z131" s="81"/>
    </x:row>
    <x:row r="132">
      <x:c r="A132" s="81"/>
      <x:c r="B132" s="81"/>
      <x:c r="C132" s="81"/>
      <x:c r="D132" s="81"/>
      <x:c r="E132" s="81"/>
      <x:c r="F132" s="81"/>
      <x:c r="G132" s="81"/>
      <x:c r="H132" s="81"/>
      <x:c r="I132" s="81"/>
      <x:c r="J132" s="81"/>
      <x:c r="K132" s="81"/>
      <x:c r="L132" s="81"/>
      <x:c r="M132" s="81"/>
      <x:c r="N132" s="81"/>
      <x:c r="O132" s="81"/>
      <x:c r="P132" s="81"/>
      <x:c r="Q132" s="81"/>
      <x:c r="R132" s="81"/>
      <x:c r="S132" s="81"/>
      <x:c r="T132" s="81"/>
      <x:c r="U132" s="81"/>
      <x:c r="V132" s="81"/>
      <x:c r="W132" s="81"/>
      <x:c r="X132" s="81"/>
      <x:c r="Y132" s="81"/>
      <x:c r="Z132" s="81"/>
    </x:row>
    <x:row r="133">
      <x:c r="A133" s="81"/>
      <x:c r="B133" s="81"/>
      <x:c r="C133" s="81"/>
      <x:c r="D133" s="81"/>
      <x:c r="E133" s="81"/>
      <x:c r="F133" s="81"/>
      <x:c r="G133" s="81"/>
      <x:c r="H133" s="81"/>
      <x:c r="I133" s="81"/>
      <x:c r="J133" s="81"/>
      <x:c r="K133" s="81"/>
      <x:c r="L133" s="81"/>
      <x:c r="M133" s="81"/>
      <x:c r="N133" s="81"/>
      <x:c r="O133" s="81"/>
      <x:c r="P133" s="81"/>
      <x:c r="Q133" s="81"/>
      <x:c r="R133" s="81"/>
      <x:c r="S133" s="81"/>
      <x:c r="T133" s="81"/>
      <x:c r="U133" s="81"/>
      <x:c r="V133" s="81"/>
      <x:c r="W133" s="81"/>
      <x:c r="X133" s="81"/>
      <x:c r="Y133" s="81"/>
      <x:c r="Z133" s="81"/>
    </x:row>
    <x:row r="134">
      <x:c r="A134" s="81"/>
      <x:c r="B134" s="81"/>
      <x:c r="C134" s="81"/>
      <x:c r="D134" s="81"/>
      <x:c r="E134" s="81"/>
      <x:c r="F134" s="81"/>
      <x:c r="G134" s="81"/>
      <x:c r="H134" s="81"/>
      <x:c r="I134" s="81"/>
      <x:c r="J134" s="81"/>
      <x:c r="K134" s="81"/>
      <x:c r="L134" s="81"/>
      <x:c r="M134" s="81"/>
      <x:c r="N134" s="81"/>
      <x:c r="O134" s="81"/>
      <x:c r="P134" s="81"/>
      <x:c r="Q134" s="81"/>
      <x:c r="R134" s="81"/>
      <x:c r="S134" s="81"/>
      <x:c r="T134" s="81"/>
      <x:c r="U134" s="81"/>
      <x:c r="V134" s="81"/>
      <x:c r="W134" s="81"/>
      <x:c r="X134" s="81"/>
      <x:c r="Y134" s="81"/>
      <x:c r="Z134" s="81"/>
    </x:row>
    <x:row r="135">
      <x:c r="A135" s="81"/>
      <x:c r="B135" s="81"/>
      <x:c r="C135" s="81"/>
      <x:c r="D135" s="81"/>
      <x:c r="E135" s="81"/>
      <x:c r="F135" s="81"/>
      <x:c r="G135" s="81"/>
      <x:c r="H135" s="81"/>
      <x:c r="I135" s="81"/>
      <x:c r="J135" s="81"/>
      <x:c r="K135" s="81"/>
      <x:c r="L135" s="81"/>
      <x:c r="M135" s="81"/>
      <x:c r="N135" s="81"/>
      <x:c r="O135" s="81"/>
      <x:c r="P135" s="81"/>
      <x:c r="Q135" s="81"/>
      <x:c r="R135" s="81"/>
      <x:c r="S135" s="81"/>
      <x:c r="T135" s="81"/>
      <x:c r="U135" s="81"/>
      <x:c r="V135" s="81"/>
      <x:c r="W135" s="81"/>
      <x:c r="X135" s="81"/>
      <x:c r="Y135" s="81"/>
      <x:c r="Z135" s="81"/>
    </x:row>
    <x:row r="136">
      <x:c r="A136" s="81"/>
      <x:c r="B136" s="81"/>
      <x:c r="C136" s="81"/>
      <x:c r="D136" s="81"/>
      <x:c r="E136" s="81"/>
      <x:c r="F136" s="81"/>
      <x:c r="G136" s="81"/>
      <x:c r="H136" s="81"/>
      <x:c r="I136" s="81"/>
      <x:c r="J136" s="81"/>
      <x:c r="K136" s="81"/>
      <x:c r="L136" s="81"/>
      <x:c r="M136" s="81"/>
      <x:c r="N136" s="81"/>
      <x:c r="O136" s="81"/>
      <x:c r="P136" s="81"/>
      <x:c r="Q136" s="81"/>
      <x:c r="R136" s="81"/>
      <x:c r="S136" s="81"/>
      <x:c r="T136" s="81"/>
      <x:c r="U136" s="81"/>
      <x:c r="V136" s="81"/>
      <x:c r="W136" s="81"/>
      <x:c r="X136" s="81"/>
      <x:c r="Y136" s="81"/>
      <x:c r="Z136" s="81"/>
    </x:row>
    <x:row r="137">
      <x:c r="A137" s="81"/>
      <x:c r="B137" s="81"/>
      <x:c r="C137" s="81"/>
      <x:c r="D137" s="81"/>
      <x:c r="E137" s="81"/>
      <x:c r="F137" s="81"/>
      <x:c r="G137" s="81"/>
      <x:c r="H137" s="81"/>
      <x:c r="I137" s="81"/>
      <x:c r="J137" s="81"/>
      <x:c r="K137" s="81"/>
      <x:c r="L137" s="81"/>
      <x:c r="M137" s="81"/>
      <x:c r="N137" s="81"/>
      <x:c r="O137" s="81"/>
      <x:c r="P137" s="81"/>
      <x:c r="Q137" s="81"/>
      <x:c r="R137" s="81"/>
      <x:c r="S137" s="81"/>
      <x:c r="T137" s="81"/>
      <x:c r="U137" s="81"/>
      <x:c r="V137" s="81"/>
      <x:c r="W137" s="81"/>
      <x:c r="X137" s="81"/>
      <x:c r="Y137" s="81"/>
      <x:c r="Z137" s="81"/>
    </x:row>
    <x:row r="138">
      <x:c r="A138" s="81"/>
      <x:c r="B138" s="81"/>
      <x:c r="C138" s="81"/>
      <x:c r="D138" s="81"/>
      <x:c r="E138" s="81"/>
      <x:c r="F138" s="81"/>
      <x:c r="G138" s="81"/>
      <x:c r="H138" s="81"/>
      <x:c r="I138" s="81"/>
      <x:c r="J138" s="81"/>
      <x:c r="K138" s="81"/>
      <x:c r="L138" s="81"/>
      <x:c r="M138" s="81"/>
      <x:c r="N138" s="81"/>
      <x:c r="O138" s="81"/>
      <x:c r="P138" s="81"/>
      <x:c r="Q138" s="81"/>
      <x:c r="R138" s="81"/>
      <x:c r="S138" s="81"/>
      <x:c r="T138" s="81"/>
      <x:c r="U138" s="81"/>
      <x:c r="V138" s="81"/>
      <x:c r="W138" s="81"/>
      <x:c r="X138" s="81"/>
      <x:c r="Y138" s="81"/>
      <x:c r="Z138" s="81"/>
    </x:row>
    <x:row r="139">
      <x:c r="A139" s="81"/>
      <x:c r="B139" s="81"/>
      <x:c r="C139" s="81"/>
      <x:c r="D139" s="81"/>
      <x:c r="E139" s="81"/>
      <x:c r="F139" s="81"/>
      <x:c r="G139" s="81"/>
      <x:c r="H139" s="81"/>
      <x:c r="I139" s="81"/>
      <x:c r="J139" s="81"/>
      <x:c r="K139" s="81"/>
      <x:c r="L139" s="81"/>
      <x:c r="M139" s="81"/>
      <x:c r="N139" s="81"/>
      <x:c r="O139" s="81"/>
      <x:c r="P139" s="81"/>
      <x:c r="Q139" s="81"/>
      <x:c r="R139" s="81"/>
      <x:c r="S139" s="81"/>
      <x:c r="T139" s="81"/>
      <x:c r="U139" s="81"/>
      <x:c r="V139" s="81"/>
      <x:c r="W139" s="81"/>
      <x:c r="X139" s="81"/>
      <x:c r="Y139" s="81"/>
      <x:c r="Z139" s="81"/>
    </x:row>
    <x:row r="140">
      <x:c r="A140" s="81"/>
      <x:c r="B140" s="81"/>
      <x:c r="C140" s="81"/>
      <x:c r="D140" s="81"/>
      <x:c r="E140" s="81"/>
      <x:c r="F140" s="81"/>
      <x:c r="G140" s="81"/>
      <x:c r="H140" s="81"/>
      <x:c r="I140" s="81"/>
      <x:c r="J140" s="81"/>
      <x:c r="K140" s="81"/>
      <x:c r="L140" s="81"/>
      <x:c r="M140" s="81"/>
      <x:c r="N140" s="81"/>
      <x:c r="O140" s="81"/>
      <x:c r="P140" s="81"/>
      <x:c r="Q140" s="81"/>
      <x:c r="R140" s="81"/>
      <x:c r="S140" s="81"/>
      <x:c r="T140" s="81"/>
      <x:c r="U140" s="81"/>
      <x:c r="V140" s="81"/>
      <x:c r="W140" s="81"/>
      <x:c r="X140" s="81"/>
      <x:c r="Y140" s="81"/>
      <x:c r="Z140" s="81"/>
    </x:row>
    <x:row r="141">
      <x:c r="A141" s="81"/>
      <x:c r="B141" s="81"/>
      <x:c r="C141" s="81"/>
      <x:c r="D141" s="81"/>
      <x:c r="E141" s="81"/>
      <x:c r="F141" s="81"/>
      <x:c r="G141" s="81"/>
      <x:c r="H141" s="81"/>
      <x:c r="I141" s="81"/>
      <x:c r="J141" s="81"/>
      <x:c r="K141" s="81"/>
      <x:c r="L141" s="81"/>
      <x:c r="M141" s="81"/>
      <x:c r="N141" s="81"/>
      <x:c r="O141" s="81"/>
      <x:c r="P141" s="81"/>
      <x:c r="Q141" s="81"/>
      <x:c r="R141" s="81"/>
      <x:c r="S141" s="81"/>
      <x:c r="T141" s="81"/>
      <x:c r="U141" s="81"/>
      <x:c r="V141" s="81"/>
      <x:c r="W141" s="81"/>
      <x:c r="X141" s="81"/>
      <x:c r="Y141" s="81"/>
      <x:c r="Z141" s="81"/>
    </x:row>
    <x:row r="142">
      <x:c r="A142" s="81"/>
      <x:c r="B142" s="81"/>
      <x:c r="C142" s="81"/>
      <x:c r="D142" s="81"/>
      <x:c r="E142" s="81"/>
      <x:c r="F142" s="81"/>
      <x:c r="G142" s="81"/>
      <x:c r="H142" s="81"/>
      <x:c r="I142" s="81"/>
      <x:c r="J142" s="81"/>
      <x:c r="K142" s="81"/>
      <x:c r="L142" s="81"/>
      <x:c r="M142" s="81"/>
      <x:c r="N142" s="81"/>
      <x:c r="O142" s="81"/>
      <x:c r="P142" s="81"/>
      <x:c r="Q142" s="81"/>
      <x:c r="R142" s="81"/>
      <x:c r="S142" s="81"/>
      <x:c r="T142" s="81"/>
      <x:c r="U142" s="81"/>
      <x:c r="V142" s="81"/>
      <x:c r="W142" s="81"/>
      <x:c r="X142" s="81"/>
      <x:c r="Y142" s="81"/>
      <x:c r="Z142" s="81"/>
    </x:row>
    <x:row r="143">
      <x:c r="A143" s="81"/>
      <x:c r="B143" s="81"/>
      <x:c r="C143" s="81"/>
      <x:c r="D143" s="81"/>
      <x:c r="E143" s="81"/>
      <x:c r="F143" s="81"/>
      <x:c r="G143" s="81"/>
      <x:c r="H143" s="81"/>
      <x:c r="I143" s="81"/>
      <x:c r="J143" s="81"/>
      <x:c r="K143" s="81"/>
      <x:c r="L143" s="81"/>
      <x:c r="M143" s="81"/>
      <x:c r="N143" s="81"/>
      <x:c r="O143" s="81"/>
      <x:c r="P143" s="81"/>
      <x:c r="Q143" s="81"/>
      <x:c r="R143" s="81"/>
      <x:c r="S143" s="81"/>
      <x:c r="T143" s="81"/>
      <x:c r="U143" s="81"/>
      <x:c r="V143" s="81"/>
      <x:c r="W143" s="81"/>
      <x:c r="X143" s="81"/>
      <x:c r="Y143" s="81"/>
      <x:c r="Z143" s="81"/>
    </x:row>
    <x:row r="144">
      <x:c r="A144" s="81"/>
      <x:c r="B144" s="81"/>
      <x:c r="C144" s="81"/>
      <x:c r="D144" s="81"/>
      <x:c r="E144" s="81"/>
      <x:c r="F144" s="81"/>
      <x:c r="G144" s="81"/>
      <x:c r="H144" s="81"/>
      <x:c r="I144" s="81"/>
      <x:c r="J144" s="81"/>
      <x:c r="K144" s="81"/>
      <x:c r="L144" s="81"/>
      <x:c r="M144" s="81"/>
      <x:c r="N144" s="81"/>
      <x:c r="O144" s="81"/>
      <x:c r="P144" s="81"/>
      <x:c r="Q144" s="81"/>
      <x:c r="R144" s="81"/>
      <x:c r="S144" s="81"/>
      <x:c r="T144" s="81"/>
      <x:c r="U144" s="81"/>
      <x:c r="V144" s="81"/>
      <x:c r="W144" s="81"/>
      <x:c r="X144" s="81"/>
      <x:c r="Y144" s="81"/>
      <x:c r="Z144" s="81"/>
    </x:row>
    <x:row r="145">
      <x:c r="A145" s="81"/>
      <x:c r="B145" s="81"/>
      <x:c r="C145" s="81"/>
      <x:c r="D145" s="81"/>
      <x:c r="E145" s="81"/>
      <x:c r="F145" s="81"/>
      <x:c r="G145" s="81"/>
      <x:c r="H145" s="81"/>
      <x:c r="I145" s="81"/>
      <x:c r="J145" s="81"/>
      <x:c r="K145" s="81"/>
      <x:c r="L145" s="81"/>
      <x:c r="M145" s="81"/>
      <x:c r="N145" s="81"/>
      <x:c r="O145" s="81"/>
      <x:c r="P145" s="81"/>
      <x:c r="Q145" s="81"/>
      <x:c r="R145" s="81"/>
      <x:c r="S145" s="81"/>
      <x:c r="T145" s="81"/>
      <x:c r="U145" s="81"/>
      <x:c r="V145" s="81"/>
      <x:c r="W145" s="81"/>
      <x:c r="X145" s="81"/>
      <x:c r="Y145" s="81"/>
      <x:c r="Z145" s="81"/>
    </x:row>
    <x:row r="146">
      <x:c r="A146" s="81"/>
      <x:c r="B146" s="81"/>
      <x:c r="C146" s="81"/>
      <x:c r="D146" s="81"/>
      <x:c r="E146" s="81"/>
      <x:c r="F146" s="81"/>
      <x:c r="G146" s="81"/>
      <x:c r="H146" s="81"/>
      <x:c r="I146" s="81"/>
      <x:c r="J146" s="81"/>
      <x:c r="K146" s="81"/>
      <x:c r="L146" s="81"/>
      <x:c r="M146" s="81"/>
      <x:c r="N146" s="81"/>
      <x:c r="O146" s="81"/>
      <x:c r="P146" s="81"/>
      <x:c r="Q146" s="81"/>
      <x:c r="R146" s="81"/>
      <x:c r="S146" s="81"/>
      <x:c r="T146" s="81"/>
      <x:c r="U146" s="81"/>
      <x:c r="V146" s="81"/>
      <x:c r="W146" s="81"/>
      <x:c r="X146" s="81"/>
      <x:c r="Y146" s="81"/>
      <x:c r="Z146" s="81"/>
    </x:row>
    <x:row r="147">
      <x:c r="A147" s="81"/>
      <x:c r="B147" s="81"/>
      <x:c r="C147" s="81"/>
      <x:c r="D147" s="81"/>
      <x:c r="E147" s="81"/>
      <x:c r="F147" s="81"/>
      <x:c r="G147" s="81"/>
      <x:c r="H147" s="81"/>
      <x:c r="I147" s="81"/>
      <x:c r="J147" s="81"/>
      <x:c r="K147" s="81"/>
      <x:c r="L147" s="81"/>
      <x:c r="M147" s="81"/>
      <x:c r="N147" s="81"/>
      <x:c r="O147" s="81"/>
      <x:c r="P147" s="81"/>
      <x:c r="Q147" s="81"/>
      <x:c r="R147" s="81"/>
      <x:c r="S147" s="81"/>
      <x:c r="T147" s="81"/>
      <x:c r="U147" s="81"/>
      <x:c r="V147" s="81"/>
      <x:c r="W147" s="81"/>
      <x:c r="X147" s="81"/>
      <x:c r="Y147" s="81"/>
      <x:c r="Z147" s="81"/>
    </x:row>
    <x:row r="148">
      <x:c r="A148" s="81"/>
      <x:c r="B148" s="81"/>
      <x:c r="C148" s="81"/>
      <x:c r="D148" s="81"/>
      <x:c r="E148" s="81"/>
      <x:c r="F148" s="81"/>
      <x:c r="G148" s="81"/>
      <x:c r="H148" s="81"/>
      <x:c r="I148" s="81"/>
      <x:c r="J148" s="81"/>
      <x:c r="K148" s="81"/>
      <x:c r="L148" s="81"/>
      <x:c r="M148" s="81"/>
      <x:c r="N148" s="81"/>
      <x:c r="O148" s="81"/>
      <x:c r="P148" s="81"/>
      <x:c r="Q148" s="81"/>
      <x:c r="R148" s="81"/>
      <x:c r="S148" s="81"/>
      <x:c r="T148" s="81"/>
      <x:c r="U148" s="81"/>
      <x:c r="V148" s="81"/>
      <x:c r="W148" s="81"/>
      <x:c r="X148" s="81"/>
      <x:c r="Y148" s="81"/>
      <x:c r="Z148" s="81"/>
    </x:row>
    <x:row r="149">
      <x:c r="A149" s="81"/>
      <x:c r="B149" s="81"/>
      <x:c r="C149" s="81"/>
      <x:c r="D149" s="81"/>
      <x:c r="E149" s="81"/>
      <x:c r="F149" s="81"/>
      <x:c r="G149" s="81"/>
      <x:c r="H149" s="81"/>
      <x:c r="I149" s="81"/>
      <x:c r="J149" s="81"/>
      <x:c r="K149" s="81"/>
      <x:c r="L149" s="81"/>
      <x:c r="M149" s="81"/>
      <x:c r="N149" s="81"/>
      <x:c r="O149" s="81"/>
      <x:c r="P149" s="81"/>
      <x:c r="Q149" s="81"/>
      <x:c r="R149" s="81"/>
      <x:c r="S149" s="81"/>
      <x:c r="T149" s="81"/>
      <x:c r="U149" s="81"/>
      <x:c r="V149" s="81"/>
      <x:c r="W149" s="81"/>
      <x:c r="X149" s="81"/>
      <x:c r="Y149" s="81"/>
      <x:c r="Z149" s="81"/>
    </x:row>
    <x:row r="150">
      <x:c r="A150" s="81"/>
      <x:c r="B150" s="81"/>
      <x:c r="C150" s="81"/>
      <x:c r="D150" s="81"/>
      <x:c r="E150" s="81"/>
      <x:c r="F150" s="81"/>
      <x:c r="G150" s="81"/>
      <x:c r="H150" s="81"/>
      <x:c r="I150" s="81"/>
      <x:c r="J150" s="81"/>
      <x:c r="K150" s="81"/>
      <x:c r="L150" s="81"/>
      <x:c r="M150" s="81"/>
      <x:c r="N150" s="81"/>
      <x:c r="O150" s="81"/>
      <x:c r="P150" s="81"/>
      <x:c r="Q150" s="81"/>
      <x:c r="R150" s="81"/>
      <x:c r="S150" s="81"/>
      <x:c r="T150" s="81"/>
      <x:c r="U150" s="81"/>
      <x:c r="V150" s="81"/>
      <x:c r="W150" s="81"/>
      <x:c r="X150" s="81"/>
      <x:c r="Y150" s="81"/>
      <x:c r="Z150" s="81"/>
    </x:row>
    <x:row r="151">
      <x:c r="A151" s="81"/>
      <x:c r="B151" s="81"/>
      <x:c r="C151" s="81"/>
      <x:c r="D151" s="81"/>
      <x:c r="E151" s="81"/>
      <x:c r="F151" s="81"/>
      <x:c r="G151" s="81"/>
      <x:c r="H151" s="81"/>
      <x:c r="I151" s="81"/>
      <x:c r="J151" s="81"/>
      <x:c r="K151" s="81"/>
      <x:c r="L151" s="81"/>
      <x:c r="M151" s="81"/>
      <x:c r="N151" s="81"/>
      <x:c r="O151" s="81"/>
      <x:c r="P151" s="81"/>
      <x:c r="Q151" s="81"/>
      <x:c r="R151" s="81"/>
      <x:c r="S151" s="81"/>
      <x:c r="T151" s="81"/>
      <x:c r="U151" s="81"/>
      <x:c r="V151" s="81"/>
      <x:c r="W151" s="81"/>
      <x:c r="X151" s="81"/>
      <x:c r="Y151" s="81"/>
      <x:c r="Z151" s="81"/>
    </x:row>
    <x:row r="152">
      <x:c r="A152" s="81"/>
      <x:c r="B152" s="81"/>
      <x:c r="C152" s="81"/>
      <x:c r="D152" s="81"/>
      <x:c r="E152" s="81"/>
      <x:c r="F152" s="81"/>
      <x:c r="G152" s="81"/>
      <x:c r="H152" s="81"/>
      <x:c r="I152" s="81"/>
      <x:c r="J152" s="81"/>
      <x:c r="K152" s="81"/>
      <x:c r="L152" s="81"/>
      <x:c r="M152" s="81"/>
      <x:c r="N152" s="81"/>
      <x:c r="O152" s="81"/>
      <x:c r="P152" s="81"/>
      <x:c r="Q152" s="81"/>
      <x:c r="R152" s="81"/>
      <x:c r="S152" s="81"/>
      <x:c r="T152" s="81"/>
      <x:c r="U152" s="81"/>
      <x:c r="V152" s="81"/>
      <x:c r="W152" s="81"/>
      <x:c r="X152" s="81"/>
      <x:c r="Y152" s="81"/>
      <x:c r="Z152" s="81"/>
    </x:row>
    <x:row r="153">
      <x:c r="A153" s="81"/>
      <x:c r="B153" s="81"/>
      <x:c r="C153" s="81"/>
      <x:c r="D153" s="81"/>
      <x:c r="E153" s="81"/>
      <x:c r="F153" s="81"/>
      <x:c r="G153" s="81"/>
      <x:c r="H153" s="81"/>
      <x:c r="I153" s="81"/>
      <x:c r="J153" s="81"/>
      <x:c r="K153" s="81"/>
      <x:c r="L153" s="81"/>
      <x:c r="M153" s="81"/>
      <x:c r="N153" s="81"/>
      <x:c r="O153" s="81"/>
      <x:c r="P153" s="81"/>
      <x:c r="Q153" s="81"/>
      <x:c r="R153" s="81"/>
      <x:c r="S153" s="81"/>
      <x:c r="T153" s="81"/>
      <x:c r="U153" s="81"/>
      <x:c r="V153" s="81"/>
      <x:c r="W153" s="81"/>
      <x:c r="X153" s="81"/>
      <x:c r="Y153" s="81"/>
      <x:c r="Z153" s="81"/>
    </x:row>
    <x:row r="154">
      <x:c r="A154" s="81"/>
      <x:c r="B154" s="81"/>
      <x:c r="C154" s="81"/>
      <x:c r="D154" s="81"/>
      <x:c r="E154" s="81"/>
      <x:c r="F154" s="81"/>
      <x:c r="G154" s="81"/>
      <x:c r="H154" s="81"/>
      <x:c r="I154" s="81"/>
      <x:c r="J154" s="81"/>
      <x:c r="K154" s="81"/>
      <x:c r="L154" s="81"/>
      <x:c r="M154" s="81"/>
      <x:c r="N154" s="81"/>
      <x:c r="O154" s="81"/>
      <x:c r="P154" s="81"/>
      <x:c r="Q154" s="81"/>
      <x:c r="R154" s="81"/>
      <x:c r="S154" s="81"/>
      <x:c r="T154" s="81"/>
      <x:c r="U154" s="81"/>
      <x:c r="V154" s="81"/>
      <x:c r="W154" s="81"/>
      <x:c r="X154" s="81"/>
      <x:c r="Y154" s="81"/>
      <x:c r="Z154" s="81"/>
    </x:row>
    <x:row r="155">
      <x:c r="A155" s="81"/>
      <x:c r="B155" s="81"/>
      <x:c r="C155" s="81"/>
      <x:c r="D155" s="81"/>
      <x:c r="E155" s="81"/>
      <x:c r="F155" s="81"/>
      <x:c r="G155" s="81"/>
      <x:c r="H155" s="81"/>
      <x:c r="I155" s="81"/>
      <x:c r="J155" s="81"/>
      <x:c r="K155" s="81"/>
      <x:c r="L155" s="81"/>
      <x:c r="M155" s="81"/>
      <x:c r="N155" s="81"/>
      <x:c r="O155" s="81"/>
      <x:c r="P155" s="81"/>
      <x:c r="Q155" s="81"/>
      <x:c r="R155" s="81"/>
      <x:c r="S155" s="81"/>
      <x:c r="T155" s="81"/>
      <x:c r="U155" s="81"/>
      <x:c r="V155" s="81"/>
      <x:c r="W155" s="81"/>
      <x:c r="X155" s="81"/>
      <x:c r="Y155" s="81"/>
      <x:c r="Z155" s="81"/>
    </x:row>
    <x:row r="156">
      <x:c r="A156" s="81"/>
      <x:c r="B156" s="81"/>
      <x:c r="C156" s="81"/>
      <x:c r="D156" s="81"/>
      <x:c r="E156" s="81"/>
      <x:c r="F156" s="81"/>
      <x:c r="G156" s="81"/>
      <x:c r="H156" s="81"/>
      <x:c r="I156" s="81"/>
      <x:c r="J156" s="81"/>
      <x:c r="K156" s="81"/>
      <x:c r="L156" s="81"/>
      <x:c r="M156" s="81"/>
      <x:c r="N156" s="81"/>
      <x:c r="O156" s="81"/>
      <x:c r="P156" s="81"/>
      <x:c r="Q156" s="81"/>
      <x:c r="R156" s="81"/>
      <x:c r="S156" s="81"/>
      <x:c r="T156" s="81"/>
      <x:c r="U156" s="81"/>
      <x:c r="V156" s="81"/>
      <x:c r="W156" s="81"/>
      <x:c r="X156" s="81"/>
      <x:c r="Y156" s="81"/>
      <x:c r="Z156" s="81"/>
    </x:row>
    <x:row r="157">
      <x:c r="A157" s="81"/>
      <x:c r="B157" s="81"/>
      <x:c r="C157" s="81"/>
      <x:c r="D157" s="81"/>
      <x:c r="E157" s="81"/>
      <x:c r="F157" s="81"/>
      <x:c r="G157" s="81"/>
      <x:c r="H157" s="81"/>
      <x:c r="I157" s="81"/>
      <x:c r="J157" s="81"/>
      <x:c r="K157" s="81"/>
      <x:c r="L157" s="81"/>
      <x:c r="M157" s="81"/>
      <x:c r="N157" s="81"/>
      <x:c r="O157" s="81"/>
      <x:c r="P157" s="81"/>
      <x:c r="Q157" s="81"/>
      <x:c r="R157" s="81"/>
      <x:c r="S157" s="81"/>
      <x:c r="T157" s="81"/>
      <x:c r="U157" s="81"/>
      <x:c r="V157" s="81"/>
      <x:c r="W157" s="81"/>
      <x:c r="X157" s="81"/>
      <x:c r="Y157" s="81"/>
      <x:c r="Z157" s="81"/>
    </x:row>
    <x:row r="158">
      <x:c r="A158" s="81"/>
      <x:c r="B158" s="81"/>
      <x:c r="C158" s="81"/>
      <x:c r="D158" s="81"/>
      <x:c r="E158" s="81"/>
      <x:c r="F158" s="81"/>
      <x:c r="G158" s="81"/>
      <x:c r="H158" s="81"/>
      <x:c r="I158" s="81"/>
      <x:c r="J158" s="81"/>
      <x:c r="K158" s="81"/>
      <x:c r="L158" s="81"/>
      <x:c r="M158" s="81"/>
      <x:c r="N158" s="81"/>
      <x:c r="O158" s="81"/>
      <x:c r="P158" s="81"/>
      <x:c r="Q158" s="81"/>
      <x:c r="R158" s="81"/>
      <x:c r="S158" s="81"/>
      <x:c r="T158" s="81"/>
      <x:c r="U158" s="81"/>
      <x:c r="V158" s="81"/>
      <x:c r="W158" s="81"/>
      <x:c r="X158" s="81"/>
      <x:c r="Y158" s="81"/>
      <x:c r="Z158" s="81"/>
    </x:row>
    <x:row r="159">
      <x:c r="A159" s="81"/>
      <x:c r="B159" s="81"/>
      <x:c r="C159" s="81"/>
      <x:c r="D159" s="81"/>
      <x:c r="E159" s="81"/>
      <x:c r="F159" s="81"/>
      <x:c r="G159" s="81"/>
      <x:c r="H159" s="81"/>
      <x:c r="I159" s="81"/>
      <x:c r="J159" s="81"/>
      <x:c r="K159" s="81"/>
      <x:c r="L159" s="81"/>
      <x:c r="M159" s="81"/>
      <x:c r="N159" s="81"/>
      <x:c r="O159" s="81"/>
      <x:c r="P159" s="81"/>
      <x:c r="Q159" s="81"/>
      <x:c r="R159" s="81"/>
      <x:c r="S159" s="81"/>
      <x:c r="T159" s="81"/>
      <x:c r="U159" s="81"/>
      <x:c r="V159" s="81"/>
      <x:c r="W159" s="81"/>
      <x:c r="X159" s="81"/>
      <x:c r="Y159" s="81"/>
      <x:c r="Z159" s="81"/>
    </x:row>
    <x:row r="160">
      <x:c r="A160" s="81"/>
      <x:c r="B160" s="81"/>
      <x:c r="C160" s="81"/>
      <x:c r="D160" s="81"/>
      <x:c r="E160" s="81"/>
      <x:c r="F160" s="81"/>
      <x:c r="G160" s="81"/>
      <x:c r="H160" s="81"/>
      <x:c r="I160" s="81"/>
      <x:c r="J160" s="81"/>
      <x:c r="K160" s="81"/>
      <x:c r="L160" s="81"/>
      <x:c r="M160" s="81"/>
      <x:c r="N160" s="81"/>
      <x:c r="O160" s="81"/>
      <x:c r="P160" s="81"/>
      <x:c r="Q160" s="81"/>
      <x:c r="R160" s="81"/>
      <x:c r="S160" s="81"/>
      <x:c r="T160" s="81"/>
      <x:c r="U160" s="81"/>
      <x:c r="V160" s="81"/>
      <x:c r="W160" s="81"/>
      <x:c r="X160" s="81"/>
      <x:c r="Y160" s="81"/>
      <x:c r="Z160" s="81"/>
    </x:row>
    <x:row r="161">
      <x:c r="A161" s="81"/>
      <x:c r="B161" s="81"/>
      <x:c r="C161" s="81"/>
      <x:c r="D161" s="81"/>
      <x:c r="E161" s="81"/>
      <x:c r="F161" s="81"/>
      <x:c r="G161" s="81"/>
      <x:c r="H161" s="81"/>
      <x:c r="I161" s="81"/>
      <x:c r="J161" s="81"/>
      <x:c r="K161" s="81"/>
      <x:c r="L161" s="81"/>
      <x:c r="M161" s="81"/>
      <x:c r="N161" s="81"/>
      <x:c r="O161" s="81"/>
      <x:c r="P161" s="81"/>
      <x:c r="Q161" s="81"/>
      <x:c r="R161" s="81"/>
      <x:c r="S161" s="81"/>
      <x:c r="T161" s="81"/>
      <x:c r="U161" s="81"/>
      <x:c r="V161" s="81"/>
      <x:c r="W161" s="81"/>
      <x:c r="X161" s="81"/>
      <x:c r="Y161" s="81"/>
      <x:c r="Z161" s="81"/>
    </x:row>
    <x:row r="162">
      <x:c r="A162" s="81"/>
      <x:c r="B162" s="81"/>
      <x:c r="C162" s="81"/>
      <x:c r="D162" s="81"/>
      <x:c r="E162" s="81"/>
      <x:c r="F162" s="81"/>
      <x:c r="G162" s="81"/>
      <x:c r="H162" s="81"/>
      <x:c r="I162" s="81"/>
      <x:c r="J162" s="81"/>
      <x:c r="K162" s="81"/>
      <x:c r="L162" s="81"/>
      <x:c r="M162" s="81"/>
      <x:c r="N162" s="81"/>
      <x:c r="O162" s="81"/>
      <x:c r="P162" s="81"/>
      <x:c r="Q162" s="81"/>
      <x:c r="R162" s="81"/>
      <x:c r="S162" s="81"/>
      <x:c r="T162" s="81"/>
      <x:c r="U162" s="81"/>
      <x:c r="V162" s="81"/>
      <x:c r="W162" s="81"/>
      <x:c r="X162" s="81"/>
      <x:c r="Y162" s="81"/>
      <x:c r="Z162" s="81"/>
    </x:row>
    <x:row r="163">
      <x:c r="A163" s="81"/>
      <x:c r="B163" s="81"/>
      <x:c r="C163" s="81"/>
      <x:c r="D163" s="81"/>
      <x:c r="E163" s="81"/>
      <x:c r="F163" s="81"/>
      <x:c r="G163" s="81"/>
      <x:c r="H163" s="81"/>
      <x:c r="I163" s="81"/>
      <x:c r="J163" s="81"/>
      <x:c r="K163" s="81"/>
      <x:c r="L163" s="81"/>
      <x:c r="M163" s="81"/>
      <x:c r="N163" s="81"/>
      <x:c r="O163" s="81"/>
      <x:c r="P163" s="81"/>
      <x:c r="Q163" s="81"/>
      <x:c r="R163" s="81"/>
      <x:c r="S163" s="81"/>
      <x:c r="T163" s="81"/>
      <x:c r="U163" s="81"/>
      <x:c r="V163" s="81"/>
      <x:c r="W163" s="81"/>
      <x:c r="X163" s="81"/>
      <x:c r="Y163" s="81"/>
      <x:c r="Z163" s="81"/>
    </x:row>
    <x:row r="164">
      <x:c r="A164" s="81"/>
      <x:c r="B164" s="81"/>
      <x:c r="C164" s="81"/>
      <x:c r="D164" s="81"/>
      <x:c r="E164" s="81"/>
      <x:c r="F164" s="81"/>
      <x:c r="G164" s="81"/>
      <x:c r="H164" s="81"/>
      <x:c r="I164" s="81"/>
      <x:c r="J164" s="81"/>
      <x:c r="K164" s="81"/>
      <x:c r="L164" s="81"/>
      <x:c r="M164" s="81"/>
      <x:c r="N164" s="81"/>
      <x:c r="O164" s="81"/>
      <x:c r="P164" s="81"/>
      <x:c r="Q164" s="81"/>
      <x:c r="R164" s="81"/>
      <x:c r="S164" s="81"/>
      <x:c r="T164" s="81"/>
      <x:c r="U164" s="81"/>
      <x:c r="V164" s="81"/>
      <x:c r="W164" s="81"/>
      <x:c r="X164" s="81"/>
      <x:c r="Y164" s="81"/>
      <x:c r="Z164" s="81"/>
    </x:row>
    <x:row r="165">
      <x:c r="A165" s="81"/>
      <x:c r="B165" s="81"/>
      <x:c r="C165" s="81"/>
      <x:c r="D165" s="81"/>
      <x:c r="E165" s="81"/>
      <x:c r="F165" s="81"/>
      <x:c r="G165" s="81"/>
      <x:c r="H165" s="81"/>
      <x:c r="I165" s="81"/>
      <x:c r="J165" s="81"/>
      <x:c r="K165" s="81"/>
      <x:c r="L165" s="81"/>
      <x:c r="M165" s="81"/>
      <x:c r="N165" s="81"/>
      <x:c r="O165" s="81"/>
      <x:c r="P165" s="81"/>
      <x:c r="Q165" s="81"/>
      <x:c r="R165" s="81"/>
      <x:c r="S165" s="81"/>
      <x:c r="T165" s="81"/>
      <x:c r="U165" s="81"/>
      <x:c r="V165" s="81"/>
      <x:c r="W165" s="81"/>
      <x:c r="X165" s="81"/>
      <x:c r="Y165" s="81"/>
      <x:c r="Z165" s="81"/>
    </x:row>
    <x:row r="166">
      <x:c r="A166" s="81"/>
      <x:c r="B166" s="81"/>
      <x:c r="C166" s="81"/>
      <x:c r="D166" s="81"/>
      <x:c r="E166" s="81"/>
      <x:c r="F166" s="81"/>
      <x:c r="G166" s="81"/>
      <x:c r="H166" s="81"/>
      <x:c r="I166" s="81"/>
      <x:c r="J166" s="81"/>
      <x:c r="K166" s="81"/>
      <x:c r="L166" s="81"/>
      <x:c r="M166" s="81"/>
      <x:c r="N166" s="81"/>
      <x:c r="O166" s="81"/>
      <x:c r="P166" s="81"/>
      <x:c r="Q166" s="81"/>
      <x:c r="R166" s="81"/>
      <x:c r="S166" s="81"/>
      <x:c r="T166" s="81"/>
      <x:c r="U166" s="81"/>
      <x:c r="V166" s="81"/>
      <x:c r="W166" s="81"/>
      <x:c r="X166" s="81"/>
      <x:c r="Y166" s="81"/>
      <x:c r="Z166" s="81"/>
    </x:row>
    <x:row r="167">
      <x:c r="A167" s="81"/>
      <x:c r="B167" s="81"/>
      <x:c r="C167" s="81"/>
      <x:c r="D167" s="81"/>
      <x:c r="E167" s="81"/>
      <x:c r="F167" s="81"/>
      <x:c r="G167" s="81"/>
      <x:c r="H167" s="81"/>
      <x:c r="I167" s="81"/>
      <x:c r="J167" s="81"/>
      <x:c r="K167" s="81"/>
      <x:c r="L167" s="81"/>
      <x:c r="M167" s="81"/>
      <x:c r="N167" s="81"/>
      <x:c r="O167" s="81"/>
      <x:c r="P167" s="81"/>
      <x:c r="Q167" s="81"/>
      <x:c r="R167" s="81"/>
      <x:c r="S167" s="81"/>
      <x:c r="T167" s="81"/>
      <x:c r="U167" s="81"/>
      <x:c r="V167" s="81"/>
      <x:c r="W167" s="81"/>
      <x:c r="X167" s="81"/>
      <x:c r="Y167" s="81"/>
      <x:c r="Z167" s="81"/>
    </x:row>
    <x:row r="168">
      <x:c r="A168" s="81"/>
      <x:c r="B168" s="81"/>
      <x:c r="C168" s="81"/>
      <x:c r="D168" s="81"/>
      <x:c r="E168" s="81"/>
      <x:c r="F168" s="81"/>
      <x:c r="G168" s="81"/>
      <x:c r="H168" s="81"/>
      <x:c r="I168" s="81"/>
      <x:c r="J168" s="81"/>
      <x:c r="K168" s="81"/>
      <x:c r="L168" s="81"/>
      <x:c r="M168" s="81"/>
      <x:c r="N168" s="81"/>
      <x:c r="O168" s="81"/>
      <x:c r="P168" s="81"/>
      <x:c r="Q168" s="81"/>
      <x:c r="R168" s="81"/>
      <x:c r="S168" s="81"/>
      <x:c r="T168" s="81"/>
      <x:c r="U168" s="81"/>
      <x:c r="V168" s="81"/>
      <x:c r="W168" s="81"/>
      <x:c r="X168" s="81"/>
      <x:c r="Y168" s="81"/>
      <x:c r="Z168" s="81"/>
    </x:row>
    <x:row r="169">
      <x:c r="A169" s="81"/>
      <x:c r="B169" s="81"/>
      <x:c r="C169" s="81"/>
      <x:c r="D169" s="81"/>
      <x:c r="E169" s="81"/>
      <x:c r="F169" s="81"/>
      <x:c r="G169" s="81"/>
      <x:c r="H169" s="81"/>
      <x:c r="I169" s="81"/>
      <x:c r="J169" s="81"/>
      <x:c r="K169" s="81"/>
      <x:c r="L169" s="81"/>
      <x:c r="M169" s="81"/>
      <x:c r="N169" s="81"/>
      <x:c r="O169" s="81"/>
      <x:c r="P169" s="81"/>
      <x:c r="Q169" s="81"/>
      <x:c r="R169" s="81"/>
      <x:c r="S169" s="81"/>
      <x:c r="T169" s="81"/>
      <x:c r="U169" s="81"/>
      <x:c r="V169" s="81"/>
      <x:c r="W169" s="81"/>
      <x:c r="X169" s="81"/>
      <x:c r="Y169" s="81"/>
      <x:c r="Z169" s="81"/>
    </x:row>
    <x:row r="170">
      <x:c r="A170" s="81"/>
      <x:c r="B170" s="81"/>
      <x:c r="C170" s="81"/>
      <x:c r="D170" s="81"/>
      <x:c r="E170" s="81"/>
      <x:c r="F170" s="81"/>
      <x:c r="G170" s="81"/>
      <x:c r="H170" s="81"/>
      <x:c r="I170" s="81"/>
      <x:c r="J170" s="81"/>
      <x:c r="K170" s="81"/>
      <x:c r="L170" s="81"/>
      <x:c r="M170" s="81"/>
      <x:c r="N170" s="81"/>
      <x:c r="O170" s="81"/>
      <x:c r="P170" s="81"/>
      <x:c r="Q170" s="81"/>
      <x:c r="R170" s="81"/>
      <x:c r="S170" s="81"/>
      <x:c r="T170" s="81"/>
      <x:c r="U170" s="81"/>
      <x:c r="V170" s="81"/>
      <x:c r="W170" s="81"/>
      <x:c r="X170" s="81"/>
      <x:c r="Y170" s="81"/>
      <x:c r="Z170" s="81"/>
    </x:row>
    <x:row r="171">
      <x:c r="A171" s="81"/>
      <x:c r="B171" s="81"/>
      <x:c r="C171" s="81"/>
      <x:c r="D171" s="81"/>
      <x:c r="E171" s="81"/>
      <x:c r="F171" s="81"/>
      <x:c r="G171" s="81"/>
      <x:c r="H171" s="81"/>
      <x:c r="I171" s="81"/>
      <x:c r="J171" s="81"/>
      <x:c r="K171" s="81"/>
      <x:c r="L171" s="81"/>
      <x:c r="M171" s="81"/>
      <x:c r="N171" s="81"/>
      <x:c r="O171" s="81"/>
      <x:c r="P171" s="81"/>
      <x:c r="Q171" s="81"/>
      <x:c r="R171" s="81"/>
      <x:c r="S171" s="81"/>
      <x:c r="T171" s="81"/>
      <x:c r="U171" s="81"/>
      <x:c r="V171" s="81"/>
      <x:c r="W171" s="81"/>
      <x:c r="X171" s="81"/>
      <x:c r="Y171" s="81"/>
      <x:c r="Z171" s="81"/>
    </x:row>
    <x:row r="172">
      <x:c r="A172" s="81"/>
      <x:c r="B172" s="81"/>
      <x:c r="C172" s="81"/>
      <x:c r="D172" s="81"/>
      <x:c r="E172" s="81"/>
      <x:c r="F172" s="81"/>
      <x:c r="G172" s="81"/>
      <x:c r="H172" s="81"/>
      <x:c r="I172" s="81"/>
      <x:c r="J172" s="81"/>
      <x:c r="K172" s="81"/>
      <x:c r="L172" s="81"/>
      <x:c r="M172" s="81"/>
      <x:c r="N172" s="81"/>
      <x:c r="O172" s="81"/>
      <x:c r="P172" s="81"/>
      <x:c r="Q172" s="81"/>
      <x:c r="R172" s="81"/>
      <x:c r="S172" s="81"/>
      <x:c r="T172" s="81"/>
      <x:c r="U172" s="81"/>
      <x:c r="V172" s="81"/>
      <x:c r="W172" s="81"/>
      <x:c r="X172" s="81"/>
      <x:c r="Y172" s="81"/>
      <x:c r="Z172" s="81"/>
    </x:row>
    <x:row r="173">
      <x:c r="A173" s="81"/>
      <x:c r="B173" s="81"/>
      <x:c r="C173" s="81"/>
      <x:c r="D173" s="81"/>
      <x:c r="E173" s="81"/>
      <x:c r="F173" s="81"/>
      <x:c r="G173" s="81"/>
      <x:c r="H173" s="81"/>
      <x:c r="I173" s="81"/>
      <x:c r="J173" s="81"/>
      <x:c r="K173" s="81"/>
      <x:c r="L173" s="81"/>
      <x:c r="M173" s="81"/>
      <x:c r="N173" s="81"/>
      <x:c r="O173" s="81"/>
      <x:c r="P173" s="81"/>
      <x:c r="Q173" s="81"/>
      <x:c r="R173" s="81"/>
      <x:c r="S173" s="81"/>
      <x:c r="T173" s="81"/>
      <x:c r="U173" s="81"/>
      <x:c r="V173" s="81"/>
      <x:c r="W173" s="81"/>
      <x:c r="X173" s="81"/>
      <x:c r="Y173" s="81"/>
      <x:c r="Z173" s="81"/>
    </x:row>
    <x:row r="174">
      <x:c r="A174" s="81"/>
      <x:c r="B174" s="81"/>
      <x:c r="C174" s="81"/>
      <x:c r="D174" s="81"/>
      <x:c r="E174" s="81"/>
      <x:c r="F174" s="81"/>
      <x:c r="G174" s="81"/>
      <x:c r="H174" s="81"/>
      <x:c r="I174" s="81"/>
      <x:c r="J174" s="81"/>
      <x:c r="K174" s="81"/>
      <x:c r="L174" s="81"/>
      <x:c r="M174" s="81"/>
      <x:c r="N174" s="81"/>
      <x:c r="O174" s="81"/>
      <x:c r="P174" s="81"/>
      <x:c r="Q174" s="81"/>
      <x:c r="R174" s="81"/>
      <x:c r="S174" s="81"/>
      <x:c r="T174" s="81"/>
      <x:c r="U174" s="81"/>
      <x:c r="V174" s="81"/>
      <x:c r="W174" s="81"/>
      <x:c r="X174" s="81"/>
      <x:c r="Y174" s="81"/>
      <x:c r="Z174" s="81"/>
    </x:row>
    <x:row r="175">
      <x:c r="A175" s="81"/>
      <x:c r="B175" s="81"/>
      <x:c r="C175" s="81"/>
      <x:c r="D175" s="81"/>
      <x:c r="E175" s="81"/>
      <x:c r="F175" s="81"/>
      <x:c r="G175" s="81"/>
      <x:c r="H175" s="81"/>
      <x:c r="I175" s="81"/>
      <x:c r="J175" s="81"/>
      <x:c r="K175" s="81"/>
      <x:c r="L175" s="81"/>
      <x:c r="M175" s="81"/>
      <x:c r="N175" s="81"/>
      <x:c r="O175" s="81"/>
      <x:c r="P175" s="81"/>
      <x:c r="Q175" s="81"/>
      <x:c r="R175" s="81"/>
      <x:c r="S175" s="81"/>
      <x:c r="T175" s="81"/>
      <x:c r="U175" s="81"/>
      <x:c r="V175" s="81"/>
      <x:c r="W175" s="81"/>
      <x:c r="X175" s="81"/>
      <x:c r="Y175" s="81"/>
      <x:c r="Z175" s="81"/>
    </x:row>
    <x:row r="176">
      <x:c r="A176" s="81"/>
      <x:c r="B176" s="81"/>
      <x:c r="C176" s="81"/>
      <x:c r="D176" s="81"/>
      <x:c r="E176" s="81"/>
      <x:c r="F176" s="81"/>
      <x:c r="G176" s="81"/>
      <x:c r="H176" s="81"/>
      <x:c r="I176" s="81"/>
      <x:c r="J176" s="81"/>
      <x:c r="K176" s="81"/>
      <x:c r="L176" s="81"/>
      <x:c r="M176" s="81"/>
      <x:c r="N176" s="81"/>
      <x:c r="O176" s="81"/>
      <x:c r="P176" s="81"/>
      <x:c r="Q176" s="81"/>
      <x:c r="R176" s="81"/>
      <x:c r="S176" s="81"/>
      <x:c r="T176" s="81"/>
      <x:c r="U176" s="81"/>
      <x:c r="V176" s="81"/>
      <x:c r="W176" s="81"/>
      <x:c r="X176" s="81"/>
      <x:c r="Y176" s="81"/>
      <x:c r="Z176" s="81"/>
    </x:row>
    <x:row r="177">
      <x:c r="A177" s="81"/>
      <x:c r="B177" s="81"/>
      <x:c r="C177" s="81"/>
      <x:c r="D177" s="81"/>
      <x:c r="E177" s="81"/>
      <x:c r="F177" s="81"/>
      <x:c r="G177" s="81"/>
      <x:c r="H177" s="81"/>
      <x:c r="I177" s="81"/>
      <x:c r="J177" s="81"/>
      <x:c r="K177" s="81"/>
      <x:c r="L177" s="81"/>
      <x:c r="M177" s="81"/>
      <x:c r="N177" s="81"/>
      <x:c r="O177" s="81"/>
      <x:c r="P177" s="81"/>
      <x:c r="Q177" s="81"/>
      <x:c r="R177" s="81"/>
      <x:c r="S177" s="81"/>
      <x:c r="T177" s="81"/>
      <x:c r="U177" s="81"/>
      <x:c r="V177" s="81"/>
      <x:c r="W177" s="81"/>
      <x:c r="X177" s="81"/>
      <x:c r="Y177" s="81"/>
      <x:c r="Z177" s="81"/>
    </x:row>
    <x:row r="178">
      <x:c r="A178" s="81"/>
      <x:c r="B178" s="81"/>
      <x:c r="C178" s="81"/>
      <x:c r="D178" s="81"/>
      <x:c r="E178" s="81"/>
      <x:c r="F178" s="81"/>
      <x:c r="G178" s="81"/>
      <x:c r="H178" s="81"/>
      <x:c r="I178" s="81"/>
      <x:c r="J178" s="81"/>
      <x:c r="K178" s="81"/>
      <x:c r="L178" s="81"/>
      <x:c r="M178" s="81"/>
      <x:c r="N178" s="81"/>
      <x:c r="O178" s="81"/>
      <x:c r="P178" s="81"/>
      <x:c r="Q178" s="81"/>
      <x:c r="R178" s="81"/>
      <x:c r="S178" s="81"/>
      <x:c r="T178" s="81"/>
      <x:c r="U178" s="81"/>
      <x:c r="V178" s="81"/>
      <x:c r="W178" s="81"/>
      <x:c r="X178" s="81"/>
      <x:c r="Y178" s="81"/>
      <x:c r="Z178" s="81"/>
    </x:row>
    <x:row r="179">
      <x:c r="A179" s="81"/>
      <x:c r="B179" s="81"/>
      <x:c r="C179" s="81"/>
      <x:c r="D179" s="81"/>
      <x:c r="E179" s="81"/>
      <x:c r="F179" s="81"/>
      <x:c r="G179" s="81"/>
      <x:c r="H179" s="81"/>
      <x:c r="I179" s="81"/>
      <x:c r="J179" s="81"/>
      <x:c r="K179" s="81"/>
      <x:c r="L179" s="81"/>
      <x:c r="M179" s="81"/>
      <x:c r="N179" s="81"/>
      <x:c r="O179" s="81"/>
      <x:c r="P179" s="81"/>
      <x:c r="Q179" s="81"/>
      <x:c r="R179" s="81"/>
      <x:c r="S179" s="81"/>
      <x:c r="T179" s="81"/>
      <x:c r="U179" s="81"/>
      <x:c r="V179" s="81"/>
      <x:c r="W179" s="81"/>
      <x:c r="X179" s="81"/>
      <x:c r="Y179" s="81"/>
      <x:c r="Z179" s="81"/>
    </x:row>
    <x:row r="180">
      <x:c r="A180" s="81"/>
      <x:c r="B180" s="81"/>
      <x:c r="C180" s="81"/>
      <x:c r="D180" s="81"/>
      <x:c r="E180" s="81"/>
      <x:c r="F180" s="81"/>
      <x:c r="G180" s="81"/>
      <x:c r="H180" s="81"/>
      <x:c r="I180" s="81"/>
      <x:c r="J180" s="81"/>
      <x:c r="K180" s="81"/>
      <x:c r="L180" s="81"/>
      <x:c r="M180" s="81"/>
      <x:c r="N180" s="81"/>
      <x:c r="O180" s="81"/>
      <x:c r="P180" s="81"/>
      <x:c r="Q180" s="81"/>
      <x:c r="R180" s="81"/>
      <x:c r="S180" s="81"/>
      <x:c r="T180" s="81"/>
      <x:c r="U180" s="81"/>
      <x:c r="V180" s="81"/>
      <x:c r="W180" s="81"/>
      <x:c r="X180" s="81"/>
      <x:c r="Y180" s="81"/>
      <x:c r="Z180" s="81"/>
    </x:row>
    <x:row r="181">
      <x:c r="A181" s="81"/>
      <x:c r="B181" s="81"/>
      <x:c r="C181" s="81"/>
      <x:c r="D181" s="81"/>
      <x:c r="E181" s="81"/>
      <x:c r="F181" s="81"/>
      <x:c r="G181" s="81"/>
      <x:c r="H181" s="81"/>
      <x:c r="I181" s="81"/>
      <x:c r="J181" s="81"/>
      <x:c r="K181" s="81"/>
      <x:c r="L181" s="81"/>
      <x:c r="M181" s="81"/>
      <x:c r="N181" s="81"/>
      <x:c r="O181" s="81"/>
      <x:c r="P181" s="81"/>
      <x:c r="Q181" s="81"/>
      <x:c r="R181" s="81"/>
      <x:c r="S181" s="81"/>
      <x:c r="T181" s="81"/>
      <x:c r="U181" s="81"/>
      <x:c r="V181" s="81"/>
      <x:c r="W181" s="81"/>
      <x:c r="X181" s="81"/>
      <x:c r="Y181" s="81"/>
      <x:c r="Z181" s="81"/>
    </x:row>
    <x:row r="182">
      <x:c r="A182" s="81"/>
      <x:c r="B182" s="81"/>
      <x:c r="C182" s="81"/>
      <x:c r="D182" s="81"/>
      <x:c r="E182" s="81"/>
      <x:c r="F182" s="81"/>
      <x:c r="G182" s="81"/>
      <x:c r="H182" s="81"/>
      <x:c r="I182" s="81"/>
      <x:c r="J182" s="81"/>
      <x:c r="K182" s="81"/>
      <x:c r="L182" s="81"/>
      <x:c r="M182" s="81"/>
      <x:c r="N182" s="81"/>
      <x:c r="O182" s="81"/>
      <x:c r="P182" s="81"/>
      <x:c r="Q182" s="81"/>
      <x:c r="R182" s="81"/>
      <x:c r="S182" s="81"/>
      <x:c r="T182" s="81"/>
      <x:c r="U182" s="81"/>
      <x:c r="V182" s="81"/>
      <x:c r="W182" s="81"/>
      <x:c r="X182" s="81"/>
      <x:c r="Y182" s="81"/>
      <x:c r="Z182" s="81"/>
    </x:row>
    <x:row r="183">
      <x:c r="A183" s="81"/>
      <x:c r="B183" s="81"/>
      <x:c r="C183" s="81"/>
      <x:c r="D183" s="81"/>
      <x:c r="E183" s="81"/>
      <x:c r="F183" s="81"/>
      <x:c r="G183" s="81"/>
      <x:c r="H183" s="81"/>
      <x:c r="I183" s="81"/>
      <x:c r="J183" s="81"/>
      <x:c r="K183" s="81"/>
      <x:c r="L183" s="81"/>
      <x:c r="M183" s="81"/>
      <x:c r="N183" s="81"/>
      <x:c r="O183" s="81"/>
      <x:c r="P183" s="81"/>
      <x:c r="Q183" s="81"/>
      <x:c r="R183" s="81"/>
      <x:c r="S183" s="81"/>
      <x:c r="T183" s="81"/>
      <x:c r="U183" s="81"/>
      <x:c r="V183" s="81"/>
      <x:c r="W183" s="81"/>
      <x:c r="X183" s="81"/>
      <x:c r="Y183" s="81"/>
      <x:c r="Z183" s="81"/>
    </x:row>
    <x:row r="184">
      <x:c r="A184" s="81"/>
      <x:c r="B184" s="81"/>
      <x:c r="C184" s="81"/>
      <x:c r="D184" s="81"/>
      <x:c r="E184" s="81"/>
      <x:c r="F184" s="81"/>
      <x:c r="G184" s="81"/>
      <x:c r="H184" s="81"/>
      <x:c r="I184" s="81"/>
      <x:c r="J184" s="81"/>
      <x:c r="K184" s="81"/>
      <x:c r="L184" s="81"/>
      <x:c r="M184" s="81"/>
      <x:c r="N184" s="81"/>
      <x:c r="O184" s="81"/>
      <x:c r="P184" s="81"/>
      <x:c r="Q184" s="81"/>
      <x:c r="R184" s="81"/>
      <x:c r="S184" s="81"/>
      <x:c r="T184" s="81"/>
      <x:c r="U184" s="81"/>
      <x:c r="V184" s="81"/>
      <x:c r="W184" s="81"/>
      <x:c r="X184" s="81"/>
      <x:c r="Y184" s="81"/>
      <x:c r="Z184" s="81"/>
    </x:row>
    <x:row r="185">
      <x:c r="A185" s="81"/>
      <x:c r="B185" s="81"/>
      <x:c r="C185" s="81"/>
      <x:c r="D185" s="81"/>
      <x:c r="E185" s="81"/>
      <x:c r="F185" s="81"/>
      <x:c r="G185" s="81"/>
      <x:c r="H185" s="81"/>
      <x:c r="I185" s="81"/>
      <x:c r="J185" s="81"/>
      <x:c r="K185" s="81"/>
      <x:c r="L185" s="81"/>
      <x:c r="M185" s="81"/>
      <x:c r="N185" s="81"/>
      <x:c r="O185" s="81"/>
      <x:c r="P185" s="81"/>
      <x:c r="Q185" s="81"/>
      <x:c r="R185" s="81"/>
      <x:c r="S185" s="81"/>
      <x:c r="T185" s="81"/>
      <x:c r="U185" s="81"/>
      <x:c r="V185" s="81"/>
      <x:c r="W185" s="81"/>
      <x:c r="X185" s="81"/>
      <x:c r="Y185" s="81"/>
      <x:c r="Z185" s="81"/>
    </x:row>
    <x:row r="186">
      <x:c r="A186" s="81"/>
      <x:c r="B186" s="81"/>
      <x:c r="C186" s="81"/>
      <x:c r="D186" s="81"/>
      <x:c r="E186" s="81"/>
      <x:c r="F186" s="81"/>
      <x:c r="G186" s="81"/>
      <x:c r="H186" s="81"/>
      <x:c r="I186" s="81"/>
      <x:c r="J186" s="81"/>
      <x:c r="K186" s="81"/>
      <x:c r="L186" s="81"/>
      <x:c r="M186" s="81"/>
      <x:c r="N186" s="81"/>
      <x:c r="O186" s="81"/>
      <x:c r="P186" s="81"/>
      <x:c r="Q186" s="81"/>
      <x:c r="R186" s="81"/>
      <x:c r="S186" s="81"/>
      <x:c r="T186" s="81"/>
      <x:c r="U186" s="81"/>
      <x:c r="V186" s="81"/>
      <x:c r="W186" s="81"/>
      <x:c r="X186" s="81"/>
      <x:c r="Y186" s="81"/>
      <x:c r="Z186" s="81"/>
    </x:row>
    <x:row r="187">
      <x:c r="A187" s="81"/>
      <x:c r="B187" s="81"/>
      <x:c r="C187" s="81"/>
      <x:c r="D187" s="81"/>
      <x:c r="E187" s="81"/>
      <x:c r="F187" s="81"/>
      <x:c r="G187" s="81"/>
      <x:c r="H187" s="81"/>
      <x:c r="I187" s="81"/>
      <x:c r="J187" s="81"/>
      <x:c r="K187" s="81"/>
      <x:c r="L187" s="81"/>
      <x:c r="M187" s="81"/>
      <x:c r="N187" s="81"/>
      <x:c r="O187" s="81"/>
      <x:c r="P187" s="81"/>
      <x:c r="Q187" s="81"/>
      <x:c r="R187" s="81"/>
      <x:c r="S187" s="81"/>
      <x:c r="T187" s="81"/>
      <x:c r="U187" s="81"/>
      <x:c r="V187" s="81"/>
      <x:c r="W187" s="81"/>
      <x:c r="X187" s="81"/>
      <x:c r="Y187" s="81"/>
      <x:c r="Z187" s="81"/>
    </x:row>
    <x:row r="188">
      <x:c r="A188" s="81"/>
      <x:c r="B188" s="81"/>
      <x:c r="C188" s="81"/>
      <x:c r="D188" s="81"/>
      <x:c r="E188" s="81"/>
      <x:c r="F188" s="81"/>
      <x:c r="G188" s="81"/>
      <x:c r="H188" s="81"/>
      <x:c r="I188" s="81"/>
      <x:c r="J188" s="81"/>
      <x:c r="K188" s="81"/>
      <x:c r="L188" s="81"/>
      <x:c r="M188" s="81"/>
      <x:c r="N188" s="81"/>
      <x:c r="O188" s="81"/>
      <x:c r="P188" s="81"/>
      <x:c r="Q188" s="81"/>
      <x:c r="R188" s="81"/>
      <x:c r="S188" s="81"/>
      <x:c r="T188" s="81"/>
      <x:c r="U188" s="81"/>
      <x:c r="V188" s="81"/>
      <x:c r="W188" s="81"/>
      <x:c r="X188" s="81"/>
      <x:c r="Y188" s="81"/>
      <x:c r="Z188" s="81"/>
    </x:row>
    <x:row r="189">
      <x:c r="A189" s="81"/>
      <x:c r="B189" s="81"/>
      <x:c r="C189" s="81"/>
      <x:c r="D189" s="81"/>
      <x:c r="E189" s="81"/>
      <x:c r="F189" s="81"/>
      <x:c r="G189" s="81"/>
      <x:c r="H189" s="81"/>
      <x:c r="I189" s="81"/>
      <x:c r="J189" s="81"/>
      <x:c r="K189" s="81"/>
      <x:c r="L189" s="81"/>
      <x:c r="M189" s="81"/>
      <x:c r="N189" s="81"/>
      <x:c r="O189" s="81"/>
      <x:c r="P189" s="81"/>
      <x:c r="Q189" s="81"/>
      <x:c r="R189" s="81"/>
      <x:c r="S189" s="81"/>
      <x:c r="T189" s="81"/>
      <x:c r="U189" s="81"/>
      <x:c r="V189" s="81"/>
      <x:c r="W189" s="81"/>
      <x:c r="X189" s="81"/>
      <x:c r="Y189" s="81"/>
      <x:c r="Z189" s="81"/>
    </x:row>
    <x:row r="190">
      <x:c r="A190" s="81"/>
      <x:c r="B190" s="81"/>
      <x:c r="C190" s="81"/>
      <x:c r="D190" s="81"/>
      <x:c r="E190" s="81"/>
      <x:c r="F190" s="81"/>
      <x:c r="G190" s="81"/>
      <x:c r="H190" s="81"/>
      <x:c r="I190" s="81"/>
      <x:c r="J190" s="81"/>
      <x:c r="K190" s="81"/>
      <x:c r="L190" s="81"/>
      <x:c r="M190" s="81"/>
      <x:c r="N190" s="81"/>
      <x:c r="O190" s="81"/>
      <x:c r="P190" s="81"/>
      <x:c r="Q190" s="81"/>
      <x:c r="R190" s="81"/>
      <x:c r="S190" s="81"/>
      <x:c r="T190" s="81"/>
      <x:c r="U190" s="81"/>
      <x:c r="V190" s="81"/>
      <x:c r="W190" s="81"/>
      <x:c r="X190" s="81"/>
      <x:c r="Y190" s="81"/>
      <x:c r="Z190" s="81"/>
    </x:row>
    <x:row r="191">
      <x:c r="A191" s="81"/>
      <x:c r="B191" s="81"/>
      <x:c r="C191" s="81"/>
      <x:c r="D191" s="81"/>
      <x:c r="E191" s="81"/>
      <x:c r="F191" s="81"/>
      <x:c r="G191" s="81"/>
      <x:c r="H191" s="81"/>
      <x:c r="I191" s="81"/>
      <x:c r="J191" s="81"/>
      <x:c r="K191" s="81"/>
      <x:c r="L191" s="81"/>
      <x:c r="M191" s="81"/>
      <x:c r="N191" s="81"/>
      <x:c r="O191" s="81"/>
      <x:c r="P191" s="81"/>
      <x:c r="Q191" s="81"/>
      <x:c r="R191" s="81"/>
      <x:c r="S191" s="81"/>
      <x:c r="T191" s="81"/>
      <x:c r="U191" s="81"/>
      <x:c r="V191" s="81"/>
      <x:c r="W191" s="81"/>
      <x:c r="X191" s="81"/>
      <x:c r="Y191" s="81"/>
      <x:c r="Z191" s="81"/>
    </x:row>
    <x:row r="192">
      <x:c r="A192" s="81"/>
      <x:c r="B192" s="81"/>
      <x:c r="C192" s="81"/>
      <x:c r="D192" s="81"/>
      <x:c r="E192" s="81"/>
      <x:c r="F192" s="81"/>
      <x:c r="G192" s="81"/>
      <x:c r="H192" s="81"/>
      <x:c r="I192" s="81"/>
      <x:c r="J192" s="81"/>
      <x:c r="K192" s="81"/>
      <x:c r="L192" s="81"/>
      <x:c r="M192" s="81"/>
      <x:c r="N192" s="81"/>
      <x:c r="O192" s="81"/>
      <x:c r="P192" s="81"/>
      <x:c r="Q192" s="81"/>
      <x:c r="R192" s="81"/>
      <x:c r="S192" s="81"/>
      <x:c r="T192" s="81"/>
      <x:c r="U192" s="81"/>
      <x:c r="V192" s="81"/>
      <x:c r="W192" s="81"/>
      <x:c r="X192" s="81"/>
      <x:c r="Y192" s="81"/>
      <x:c r="Z192" s="81"/>
    </x:row>
    <x:row r="193">
      <x:c r="A193" s="81"/>
      <x:c r="B193" s="81"/>
      <x:c r="C193" s="81"/>
      <x:c r="D193" s="81"/>
      <x:c r="E193" s="81"/>
      <x:c r="F193" s="81"/>
      <x:c r="G193" s="81"/>
      <x:c r="H193" s="81"/>
      <x:c r="I193" s="81"/>
      <x:c r="J193" s="81"/>
      <x:c r="K193" s="81"/>
      <x:c r="L193" s="81"/>
      <x:c r="M193" s="81"/>
      <x:c r="N193" s="81"/>
      <x:c r="O193" s="81"/>
      <x:c r="P193" s="81"/>
      <x:c r="Q193" s="81"/>
      <x:c r="R193" s="81"/>
      <x:c r="S193" s="81"/>
      <x:c r="T193" s="81"/>
      <x:c r="U193" s="81"/>
      <x:c r="V193" s="81"/>
      <x:c r="W193" s="81"/>
      <x:c r="X193" s="81"/>
      <x:c r="Y193" s="81"/>
      <x:c r="Z193" s="81"/>
    </x:row>
    <x:row r="194">
      <x:c r="A194" s="81"/>
      <x:c r="B194" s="81"/>
      <x:c r="C194" s="81"/>
      <x:c r="D194" s="81"/>
      <x:c r="E194" s="81"/>
      <x:c r="F194" s="81"/>
      <x:c r="G194" s="81"/>
      <x:c r="H194" s="81"/>
      <x:c r="I194" s="81"/>
      <x:c r="J194" s="81"/>
      <x:c r="K194" s="81"/>
      <x:c r="L194" s="81"/>
      <x:c r="M194" s="81"/>
      <x:c r="N194" s="81"/>
      <x:c r="O194" s="81"/>
      <x:c r="P194" s="81"/>
      <x:c r="Q194" s="81"/>
      <x:c r="R194" s="81"/>
      <x:c r="S194" s="81"/>
      <x:c r="T194" s="81"/>
      <x:c r="U194" s="81"/>
      <x:c r="V194" s="81"/>
      <x:c r="W194" s="81"/>
      <x:c r="X194" s="81"/>
      <x:c r="Y194" s="81"/>
      <x:c r="Z194" s="81"/>
    </x:row>
    <x:row r="195">
      <x:c r="A195" s="81"/>
      <x:c r="B195" s="81"/>
      <x:c r="C195" s="81"/>
      <x:c r="D195" s="81"/>
      <x:c r="E195" s="81"/>
      <x:c r="F195" s="81"/>
      <x:c r="G195" s="81"/>
      <x:c r="H195" s="81"/>
      <x:c r="I195" s="81"/>
      <x:c r="J195" s="81"/>
      <x:c r="K195" s="81"/>
      <x:c r="L195" s="81"/>
      <x:c r="M195" s="81"/>
      <x:c r="N195" s="81"/>
      <x:c r="O195" s="81"/>
      <x:c r="P195" s="81"/>
      <x:c r="Q195" s="81"/>
      <x:c r="R195" s="81"/>
      <x:c r="S195" s="81"/>
      <x:c r="T195" s="81"/>
      <x:c r="U195" s="81"/>
      <x:c r="V195" s="81"/>
      <x:c r="W195" s="81"/>
      <x:c r="X195" s="81"/>
      <x:c r="Y195" s="81"/>
      <x:c r="Z195" s="81"/>
    </x:row>
    <x:row r="196">
      <x:c r="A196" s="81"/>
      <x:c r="B196" s="81"/>
      <x:c r="C196" s="81"/>
      <x:c r="D196" s="81"/>
      <x:c r="E196" s="81"/>
      <x:c r="F196" s="81"/>
      <x:c r="G196" s="81"/>
      <x:c r="H196" s="81"/>
      <x:c r="I196" s="81"/>
      <x:c r="J196" s="81"/>
      <x:c r="K196" s="81"/>
      <x:c r="L196" s="81"/>
      <x:c r="M196" s="81"/>
      <x:c r="N196" s="81"/>
      <x:c r="O196" s="81"/>
      <x:c r="P196" s="81"/>
      <x:c r="Q196" s="81"/>
      <x:c r="R196" s="81"/>
      <x:c r="S196" s="81"/>
      <x:c r="T196" s="81"/>
      <x:c r="U196" s="81"/>
      <x:c r="V196" s="81"/>
      <x:c r="W196" s="81"/>
      <x:c r="X196" s="81"/>
      <x:c r="Y196" s="81"/>
      <x:c r="Z196" s="81"/>
    </x:row>
    <x:row r="197">
      <x:c r="A197" s="81"/>
      <x:c r="B197" s="81"/>
      <x:c r="C197" s="81"/>
      <x:c r="D197" s="81"/>
      <x:c r="E197" s="81"/>
      <x:c r="F197" s="81"/>
      <x:c r="G197" s="81"/>
      <x:c r="H197" s="81"/>
      <x:c r="I197" s="81"/>
      <x:c r="J197" s="81"/>
      <x:c r="K197" s="81"/>
      <x:c r="L197" s="81"/>
      <x:c r="M197" s="81"/>
      <x:c r="N197" s="81"/>
      <x:c r="O197" s="81"/>
      <x:c r="P197" s="81"/>
      <x:c r="Q197" s="81"/>
      <x:c r="R197" s="81"/>
      <x:c r="S197" s="81"/>
      <x:c r="T197" s="81"/>
      <x:c r="U197" s="81"/>
      <x:c r="V197" s="81"/>
      <x:c r="W197" s="81"/>
      <x:c r="X197" s="81"/>
      <x:c r="Y197" s="81"/>
      <x:c r="Z197" s="81"/>
    </x:row>
    <x:row r="198">
      <x:c r="A198" s="81"/>
      <x:c r="B198" s="81"/>
      <x:c r="C198" s="81"/>
      <x:c r="D198" s="81"/>
      <x:c r="E198" s="81"/>
      <x:c r="F198" s="81"/>
      <x:c r="G198" s="81"/>
      <x:c r="H198" s="81"/>
      <x:c r="I198" s="81"/>
      <x:c r="J198" s="81"/>
      <x:c r="K198" s="81"/>
      <x:c r="L198" s="81"/>
      <x:c r="M198" s="81"/>
      <x:c r="N198" s="81"/>
      <x:c r="O198" s="81"/>
      <x:c r="P198" s="81"/>
      <x:c r="Q198" s="81"/>
      <x:c r="R198" s="81"/>
      <x:c r="S198" s="81"/>
      <x:c r="T198" s="81"/>
      <x:c r="U198" s="81"/>
      <x:c r="V198" s="81"/>
      <x:c r="W198" s="81"/>
      <x:c r="X198" s="81"/>
      <x:c r="Y198" s="81"/>
      <x:c r="Z198" s="81"/>
    </x:row>
    <x:row r="199">
      <x:c r="A199" s="81"/>
      <x:c r="B199" s="81"/>
      <x:c r="C199" s="81"/>
      <x:c r="D199" s="81"/>
      <x:c r="E199" s="81"/>
      <x:c r="F199" s="81"/>
      <x:c r="G199" s="81"/>
      <x:c r="H199" s="81"/>
      <x:c r="I199" s="81"/>
      <x:c r="J199" s="81"/>
      <x:c r="K199" s="81"/>
      <x:c r="L199" s="81"/>
      <x:c r="M199" s="81"/>
      <x:c r="N199" s="81"/>
      <x:c r="O199" s="81"/>
      <x:c r="P199" s="81"/>
      <x:c r="Q199" s="81"/>
      <x:c r="R199" s="81"/>
      <x:c r="S199" s="81"/>
      <x:c r="T199" s="81"/>
      <x:c r="U199" s="81"/>
      <x:c r="V199" s="81"/>
      <x:c r="W199" s="81"/>
      <x:c r="X199" s="81"/>
      <x:c r="Y199" s="81"/>
      <x:c r="Z199" s="81"/>
    </x:row>
    <x:row r="200">
      <x:c r="A200" s="81"/>
      <x:c r="B200" s="81"/>
      <x:c r="C200" s="81"/>
      <x:c r="D200" s="81"/>
      <x:c r="E200" s="81"/>
      <x:c r="F200" s="81"/>
      <x:c r="G200" s="81"/>
      <x:c r="H200" s="81"/>
      <x:c r="I200" s="81"/>
      <x:c r="J200" s="81"/>
      <x:c r="K200" s="81"/>
      <x:c r="L200" s="81"/>
      <x:c r="M200" s="81"/>
      <x:c r="N200" s="81"/>
      <x:c r="O200" s="81"/>
      <x:c r="P200" s="81"/>
      <x:c r="Q200" s="81"/>
      <x:c r="R200" s="81"/>
      <x:c r="S200" s="81"/>
      <x:c r="T200" s="81"/>
      <x:c r="U200" s="81"/>
      <x:c r="V200" s="81"/>
      <x:c r="W200" s="81"/>
      <x:c r="X200" s="81"/>
      <x:c r="Y200" s="81"/>
      <x:c r="Z200" s="81"/>
    </x:row>
    <x:row r="201">
      <x:c r="A201" s="81"/>
      <x:c r="B201" s="81"/>
      <x:c r="C201" s="81"/>
      <x:c r="D201" s="81"/>
      <x:c r="E201" s="81"/>
      <x:c r="F201" s="81"/>
      <x:c r="G201" s="81"/>
      <x:c r="H201" s="81"/>
      <x:c r="I201" s="81"/>
      <x:c r="J201" s="81"/>
      <x:c r="K201" s="81"/>
      <x:c r="L201" s="81"/>
      <x:c r="M201" s="81"/>
      <x:c r="N201" s="81"/>
      <x:c r="O201" s="81"/>
      <x:c r="P201" s="81"/>
      <x:c r="Q201" s="81"/>
      <x:c r="R201" s="81"/>
      <x:c r="S201" s="81"/>
      <x:c r="T201" s="81"/>
      <x:c r="U201" s="81"/>
      <x:c r="V201" s="81"/>
      <x:c r="W201" s="81"/>
      <x:c r="X201" s="81"/>
      <x:c r="Y201" s="81"/>
      <x:c r="Z201" s="81"/>
    </x:row>
    <x:row r="202">
      <x:c r="A202" s="81"/>
      <x:c r="B202" s="81"/>
      <x:c r="C202" s="81"/>
      <x:c r="D202" s="81"/>
      <x:c r="E202" s="81"/>
      <x:c r="F202" s="81"/>
      <x:c r="G202" s="81"/>
      <x:c r="H202" s="81"/>
      <x:c r="I202" s="81"/>
      <x:c r="J202" s="81"/>
      <x:c r="K202" s="81"/>
      <x:c r="L202" s="81"/>
      <x:c r="M202" s="81"/>
      <x:c r="N202" s="81"/>
      <x:c r="O202" s="81"/>
      <x:c r="P202" s="81"/>
      <x:c r="Q202" s="81"/>
      <x:c r="R202" s="81"/>
      <x:c r="S202" s="81"/>
      <x:c r="T202" s="81"/>
      <x:c r="U202" s="81"/>
      <x:c r="V202" s="81"/>
      <x:c r="W202" s="81"/>
      <x:c r="X202" s="81"/>
      <x:c r="Y202" s="81"/>
      <x:c r="Z202" s="81"/>
    </x:row>
    <x:row r="203">
      <x:c r="A203" s="81"/>
      <x:c r="B203" s="81"/>
      <x:c r="C203" s="81"/>
      <x:c r="D203" s="81"/>
      <x:c r="E203" s="81"/>
      <x:c r="F203" s="81"/>
      <x:c r="G203" s="81"/>
      <x:c r="H203" s="81"/>
      <x:c r="I203" s="81"/>
      <x:c r="J203" s="81"/>
      <x:c r="K203" s="81"/>
      <x:c r="L203" s="81"/>
      <x:c r="M203" s="81"/>
      <x:c r="N203" s="81"/>
      <x:c r="O203" s="81"/>
      <x:c r="P203" s="81"/>
      <x:c r="Q203" s="81"/>
      <x:c r="R203" s="81"/>
      <x:c r="S203" s="81"/>
      <x:c r="T203" s="81"/>
      <x:c r="U203" s="81"/>
      <x:c r="V203" s="81"/>
      <x:c r="W203" s="81"/>
      <x:c r="X203" s="81"/>
      <x:c r="Y203" s="81"/>
      <x:c r="Z203" s="81"/>
    </x:row>
    <x:row r="204">
      <x:c r="A204" s="81"/>
      <x:c r="B204" s="81"/>
      <x:c r="C204" s="81"/>
      <x:c r="D204" s="81"/>
      <x:c r="E204" s="81"/>
      <x:c r="F204" s="81"/>
      <x:c r="G204" s="81"/>
      <x:c r="H204" s="81"/>
      <x:c r="I204" s="81"/>
      <x:c r="J204" s="81"/>
      <x:c r="K204" s="81"/>
      <x:c r="L204" s="81"/>
      <x:c r="M204" s="81"/>
      <x:c r="N204" s="81"/>
      <x:c r="O204" s="81"/>
      <x:c r="P204" s="81"/>
      <x:c r="Q204" s="81"/>
      <x:c r="R204" s="81"/>
      <x:c r="S204" s="81"/>
      <x:c r="T204" s="81"/>
      <x:c r="U204" s="81"/>
      <x:c r="V204" s="81"/>
      <x:c r="W204" s="81"/>
      <x:c r="X204" s="81"/>
      <x:c r="Y204" s="81"/>
      <x:c r="Z204" s="81"/>
    </x:row>
    <x:row r="205">
      <x:c r="A205" s="81"/>
      <x:c r="B205" s="81"/>
      <x:c r="C205" s="81"/>
      <x:c r="D205" s="81"/>
      <x:c r="E205" s="81"/>
      <x:c r="F205" s="81"/>
      <x:c r="G205" s="81"/>
      <x:c r="H205" s="81"/>
      <x:c r="I205" s="81"/>
      <x:c r="J205" s="81"/>
      <x:c r="K205" s="81"/>
      <x:c r="L205" s="81"/>
      <x:c r="M205" s="81"/>
      <x:c r="N205" s="81"/>
      <x:c r="O205" s="81"/>
      <x:c r="P205" s="81"/>
      <x:c r="Q205" s="81"/>
      <x:c r="R205" s="81"/>
      <x:c r="S205" s="81"/>
      <x:c r="T205" s="81"/>
      <x:c r="U205" s="81"/>
      <x:c r="V205" s="81"/>
      <x:c r="W205" s="81"/>
      <x:c r="X205" s="81"/>
      <x:c r="Y205" s="81"/>
      <x:c r="Z205" s="81"/>
    </x:row>
    <x:row r="206">
      <x:c r="A206" s="81"/>
      <x:c r="B206" s="81"/>
      <x:c r="C206" s="81"/>
      <x:c r="D206" s="81"/>
      <x:c r="E206" s="81"/>
      <x:c r="F206" s="81"/>
      <x:c r="G206" s="81"/>
      <x:c r="H206" s="81"/>
      <x:c r="I206" s="81"/>
      <x:c r="J206" s="81"/>
      <x:c r="K206" s="81"/>
      <x:c r="L206" s="81"/>
      <x:c r="M206" s="81"/>
      <x:c r="N206" s="81"/>
      <x:c r="O206" s="81"/>
      <x:c r="P206" s="81"/>
      <x:c r="Q206" s="81"/>
      <x:c r="R206" s="81"/>
      <x:c r="S206" s="81"/>
      <x:c r="T206" s="81"/>
      <x:c r="U206" s="81"/>
      <x:c r="V206" s="81"/>
      <x:c r="W206" s="81"/>
      <x:c r="X206" s="81"/>
      <x:c r="Y206" s="81"/>
      <x:c r="Z206" s="81"/>
    </x:row>
    <x:row r="207">
      <x:c r="A207" s="81"/>
      <x:c r="B207" s="81"/>
      <x:c r="C207" s="81"/>
      <x:c r="D207" s="81"/>
      <x:c r="E207" s="81"/>
      <x:c r="F207" s="81"/>
      <x:c r="G207" s="81"/>
      <x:c r="H207" s="81"/>
      <x:c r="I207" s="81"/>
      <x:c r="J207" s="81"/>
      <x:c r="K207" s="81"/>
      <x:c r="L207" s="81"/>
      <x:c r="M207" s="81"/>
      <x:c r="N207" s="81"/>
      <x:c r="O207" s="81"/>
      <x:c r="P207" s="81"/>
      <x:c r="Q207" s="81"/>
      <x:c r="R207" s="81"/>
      <x:c r="S207" s="81"/>
      <x:c r="T207" s="81"/>
      <x:c r="U207" s="81"/>
      <x:c r="V207" s="81"/>
      <x:c r="W207" s="81"/>
      <x:c r="X207" s="81"/>
      <x:c r="Y207" s="81"/>
      <x:c r="Z207" s="81"/>
    </x:row>
    <x:row r="208">
      <x:c r="A208" s="81"/>
      <x:c r="B208" s="81"/>
      <x:c r="C208" s="81"/>
      <x:c r="D208" s="81"/>
      <x:c r="E208" s="81"/>
      <x:c r="F208" s="81"/>
      <x:c r="G208" s="81"/>
      <x:c r="H208" s="81"/>
      <x:c r="I208" s="81"/>
      <x:c r="J208" s="81"/>
      <x:c r="K208" s="81"/>
      <x:c r="L208" s="81"/>
      <x:c r="M208" s="81"/>
      <x:c r="N208" s="81"/>
      <x:c r="O208" s="81"/>
      <x:c r="P208" s="81"/>
      <x:c r="Q208" s="81"/>
      <x:c r="R208" s="81"/>
      <x:c r="S208" s="81"/>
      <x:c r="T208" s="81"/>
      <x:c r="U208" s="81"/>
      <x:c r="V208" s="81"/>
      <x:c r="W208" s="81"/>
      <x:c r="X208" s="81"/>
      <x:c r="Y208" s="81"/>
      <x:c r="Z208" s="81"/>
    </x:row>
    <x:row r="209">
      <x:c r="A209" s="81"/>
      <x:c r="B209" s="81"/>
      <x:c r="C209" s="81"/>
      <x:c r="D209" s="81"/>
      <x:c r="E209" s="81"/>
      <x:c r="F209" s="81"/>
      <x:c r="G209" s="81"/>
      <x:c r="H209" s="81"/>
      <x:c r="I209" s="81"/>
      <x:c r="J209" s="81"/>
      <x:c r="K209" s="81"/>
      <x:c r="L209" s="81"/>
      <x:c r="M209" s="81"/>
      <x:c r="N209" s="81"/>
      <x:c r="O209" s="81"/>
      <x:c r="P209" s="81"/>
      <x:c r="Q209" s="81"/>
      <x:c r="R209" s="81"/>
      <x:c r="S209" s="81"/>
      <x:c r="T209" s="81"/>
      <x:c r="U209" s="81"/>
      <x:c r="V209" s="81"/>
      <x:c r="W209" s="81"/>
      <x:c r="X209" s="81"/>
      <x:c r="Y209" s="81"/>
      <x:c r="Z209" s="81"/>
    </x:row>
    <x:row r="210">
      <x:c r="A210" s="81"/>
      <x:c r="B210" s="81"/>
      <x:c r="C210" s="81"/>
      <x:c r="D210" s="81"/>
      <x:c r="E210" s="81"/>
      <x:c r="F210" s="81"/>
      <x:c r="G210" s="81"/>
      <x:c r="H210" s="81"/>
      <x:c r="I210" s="81"/>
      <x:c r="J210" s="81"/>
      <x:c r="K210" s="81"/>
      <x:c r="L210" s="81"/>
      <x:c r="M210" s="81"/>
      <x:c r="N210" s="81"/>
      <x:c r="O210" s="81"/>
      <x:c r="P210" s="81"/>
      <x:c r="Q210" s="81"/>
      <x:c r="R210" s="81"/>
      <x:c r="S210" s="81"/>
      <x:c r="T210" s="81"/>
      <x:c r="U210" s="81"/>
      <x:c r="V210" s="81"/>
      <x:c r="W210" s="81"/>
      <x:c r="X210" s="81"/>
      <x:c r="Y210" s="81"/>
      <x:c r="Z210" s="81"/>
    </x:row>
    <x:row r="211">
      <x:c r="A211" s="81"/>
      <x:c r="B211" s="81"/>
      <x:c r="C211" s="81"/>
      <x:c r="D211" s="81"/>
      <x:c r="E211" s="81"/>
      <x:c r="F211" s="81"/>
      <x:c r="G211" s="81"/>
      <x:c r="H211" s="81"/>
      <x:c r="I211" s="81"/>
      <x:c r="J211" s="81"/>
      <x:c r="K211" s="81"/>
      <x:c r="L211" s="81"/>
      <x:c r="M211" s="81"/>
      <x:c r="N211" s="81"/>
      <x:c r="O211" s="81"/>
      <x:c r="P211" s="81"/>
      <x:c r="Q211" s="81"/>
      <x:c r="R211" s="81"/>
      <x:c r="S211" s="81"/>
      <x:c r="T211" s="81"/>
      <x:c r="U211" s="81"/>
      <x:c r="V211" s="81"/>
      <x:c r="W211" s="81"/>
      <x:c r="X211" s="81"/>
      <x:c r="Y211" s="81"/>
      <x:c r="Z211" s="81"/>
    </x:row>
    <x:row r="212">
      <x:c r="A212" s="81"/>
      <x:c r="B212" s="81"/>
      <x:c r="C212" s="81"/>
      <x:c r="D212" s="81"/>
      <x:c r="E212" s="81"/>
      <x:c r="F212" s="81"/>
      <x:c r="G212" s="81"/>
      <x:c r="H212" s="81"/>
      <x:c r="I212" s="81"/>
      <x:c r="J212" s="81"/>
      <x:c r="K212" s="81"/>
      <x:c r="L212" s="81"/>
      <x:c r="M212" s="81"/>
      <x:c r="N212" s="81"/>
      <x:c r="O212" s="81"/>
      <x:c r="P212" s="81"/>
      <x:c r="Q212" s="81"/>
      <x:c r="R212" s="81"/>
      <x:c r="S212" s="81"/>
      <x:c r="T212" s="81"/>
      <x:c r="U212" s="81"/>
      <x:c r="V212" s="81"/>
      <x:c r="W212" s="81"/>
      <x:c r="X212" s="81"/>
      <x:c r="Y212" s="81"/>
      <x:c r="Z212" s="81"/>
    </x:row>
    <x:row r="213">
      <x:c r="A213" s="81"/>
      <x:c r="B213" s="81"/>
      <x:c r="C213" s="81"/>
      <x:c r="D213" s="81"/>
      <x:c r="E213" s="81"/>
      <x:c r="F213" s="81"/>
      <x:c r="G213" s="81"/>
      <x:c r="H213" s="81"/>
      <x:c r="I213" s="81"/>
      <x:c r="J213" s="81"/>
      <x:c r="K213" s="81"/>
      <x:c r="L213" s="81"/>
      <x:c r="M213" s="81"/>
      <x:c r="N213" s="81"/>
      <x:c r="O213" s="81"/>
      <x:c r="P213" s="81"/>
      <x:c r="Q213" s="81"/>
      <x:c r="R213" s="81"/>
      <x:c r="S213" s="81"/>
      <x:c r="T213" s="81"/>
      <x:c r="U213" s="81"/>
      <x:c r="V213" s="81"/>
      <x:c r="W213" s="81"/>
      <x:c r="X213" s="81"/>
      <x:c r="Y213" s="81"/>
      <x:c r="Z213" s="81"/>
    </x:row>
    <x:row r="214">
      <x:c r="A214" s="81"/>
      <x:c r="B214" s="81"/>
      <x:c r="C214" s="81"/>
      <x:c r="D214" s="81"/>
      <x:c r="E214" s="81"/>
      <x:c r="F214" s="81"/>
      <x:c r="G214" s="81"/>
      <x:c r="H214" s="81"/>
      <x:c r="I214" s="81"/>
      <x:c r="J214" s="81"/>
      <x:c r="K214" s="81"/>
      <x:c r="L214" s="81"/>
      <x:c r="M214" s="81"/>
      <x:c r="N214" s="81"/>
      <x:c r="O214" s="81"/>
      <x:c r="P214" s="81"/>
      <x:c r="Q214" s="81"/>
      <x:c r="R214" s="81"/>
      <x:c r="S214" s="81"/>
      <x:c r="T214" s="81"/>
      <x:c r="U214" s="81"/>
      <x:c r="V214" s="81"/>
      <x:c r="W214" s="81"/>
      <x:c r="X214" s="81"/>
      <x:c r="Y214" s="81"/>
      <x:c r="Z214" s="81"/>
    </x:row>
    <x:row r="215">
      <x:c r="A215" s="81"/>
      <x:c r="B215" s="81"/>
      <x:c r="C215" s="81"/>
      <x:c r="D215" s="81"/>
      <x:c r="E215" s="81"/>
      <x:c r="F215" s="81"/>
      <x:c r="G215" s="81"/>
      <x:c r="H215" s="81"/>
      <x:c r="I215" s="81"/>
      <x:c r="J215" s="81"/>
      <x:c r="K215" s="81"/>
      <x:c r="L215" s="81"/>
      <x:c r="M215" s="81"/>
      <x:c r="N215" s="81"/>
      <x:c r="O215" s="81"/>
      <x:c r="P215" s="81"/>
      <x:c r="Q215" s="81"/>
      <x:c r="R215" s="81"/>
      <x:c r="S215" s="81"/>
      <x:c r="T215" s="81"/>
      <x:c r="U215" s="81"/>
      <x:c r="V215" s="81"/>
      <x:c r="W215" s="81"/>
      <x:c r="X215" s="81"/>
      <x:c r="Y215" s="81"/>
      <x:c r="Z215" s="81"/>
    </x:row>
    <x:row r="216">
      <x:c r="A216" s="81"/>
      <x:c r="B216" s="81"/>
      <x:c r="C216" s="81"/>
      <x:c r="D216" s="81"/>
      <x:c r="E216" s="81"/>
      <x:c r="F216" s="81"/>
      <x:c r="G216" s="81"/>
      <x:c r="H216" s="81"/>
      <x:c r="I216" s="81"/>
      <x:c r="J216" s="81"/>
      <x:c r="K216" s="81"/>
      <x:c r="L216" s="81"/>
      <x:c r="M216" s="81"/>
      <x:c r="N216" s="81"/>
      <x:c r="O216" s="81"/>
      <x:c r="P216" s="81"/>
      <x:c r="Q216" s="81"/>
      <x:c r="R216" s="81"/>
      <x:c r="S216" s="81"/>
      <x:c r="T216" s="81"/>
      <x:c r="U216" s="81"/>
      <x:c r="V216" s="81"/>
      <x:c r="W216" s="81"/>
      <x:c r="X216" s="81"/>
      <x:c r="Y216" s="81"/>
      <x:c r="Z216" s="81"/>
    </x:row>
    <x:row r="217">
      <x:c r="A217" s="81"/>
      <x:c r="B217" s="81"/>
      <x:c r="C217" s="81"/>
      <x:c r="D217" s="81"/>
      <x:c r="E217" s="81"/>
      <x:c r="F217" s="81"/>
      <x:c r="G217" s="81"/>
      <x:c r="H217" s="81"/>
      <x:c r="I217" s="81"/>
      <x:c r="J217" s="81"/>
      <x:c r="K217" s="81"/>
      <x:c r="L217" s="81"/>
      <x:c r="M217" s="81"/>
      <x:c r="N217" s="81"/>
      <x:c r="O217" s="81"/>
      <x:c r="P217" s="81"/>
      <x:c r="Q217" s="81"/>
      <x:c r="R217" s="81"/>
      <x:c r="S217" s="81"/>
      <x:c r="T217" s="81"/>
      <x:c r="U217" s="81"/>
      <x:c r="V217" s="81"/>
      <x:c r="W217" s="81"/>
      <x:c r="X217" s="81"/>
      <x:c r="Y217" s="81"/>
      <x:c r="Z217" s="81"/>
    </x:row>
    <x:row r="218">
      <x:c r="A218" s="81"/>
      <x:c r="B218" s="81"/>
      <x:c r="C218" s="81"/>
      <x:c r="D218" s="81"/>
      <x:c r="E218" s="81"/>
      <x:c r="F218" s="81"/>
      <x:c r="G218" s="81"/>
      <x:c r="H218" s="81"/>
      <x:c r="I218" s="81"/>
      <x:c r="J218" s="81"/>
      <x:c r="K218" s="81"/>
      <x:c r="L218" s="81"/>
      <x:c r="M218" s="81"/>
      <x:c r="N218" s="81"/>
      <x:c r="O218" s="81"/>
      <x:c r="P218" s="81"/>
      <x:c r="Q218" s="81"/>
      <x:c r="R218" s="81"/>
      <x:c r="S218" s="81"/>
      <x:c r="T218" s="81"/>
      <x:c r="U218" s="81"/>
      <x:c r="V218" s="81"/>
      <x:c r="W218" s="81"/>
      <x:c r="X218" s="81"/>
      <x:c r="Y218" s="81"/>
      <x:c r="Z218" s="81"/>
    </x:row>
    <x:row r="219">
      <x:c r="A219" s="81"/>
      <x:c r="B219" s="81"/>
      <x:c r="C219" s="81"/>
      <x:c r="D219" s="81"/>
      <x:c r="E219" s="81"/>
      <x:c r="F219" s="81"/>
      <x:c r="G219" s="81"/>
      <x:c r="H219" s="81"/>
      <x:c r="I219" s="81"/>
      <x:c r="J219" s="81"/>
      <x:c r="K219" s="81"/>
      <x:c r="L219" s="81"/>
      <x:c r="M219" s="81"/>
      <x:c r="N219" s="81"/>
      <x:c r="O219" s="81"/>
      <x:c r="P219" s="81"/>
      <x:c r="Q219" s="81"/>
      <x:c r="R219" s="81"/>
      <x:c r="S219" s="81"/>
      <x:c r="T219" s="81"/>
      <x:c r="U219" s="81"/>
      <x:c r="V219" s="81"/>
      <x:c r="W219" s="81"/>
      <x:c r="X219" s="81"/>
      <x:c r="Y219" s="81"/>
      <x:c r="Z219" s="81"/>
    </x:row>
    <x:row r="220">
      <x:c r="A220" s="81"/>
      <x:c r="B220" s="81"/>
      <x:c r="C220" s="81"/>
      <x:c r="D220" s="81"/>
      <x:c r="E220" s="81"/>
      <x:c r="F220" s="81"/>
      <x:c r="G220" s="81"/>
      <x:c r="H220" s="81"/>
      <x:c r="I220" s="81"/>
      <x:c r="J220" s="81"/>
      <x:c r="K220" s="81"/>
      <x:c r="L220" s="81"/>
      <x:c r="M220" s="81"/>
      <x:c r="N220" s="81"/>
      <x:c r="O220" s="81"/>
      <x:c r="P220" s="81"/>
      <x:c r="Q220" s="81"/>
      <x:c r="R220" s="81"/>
      <x:c r="S220" s="81"/>
      <x:c r="T220" s="81"/>
      <x:c r="U220" s="81"/>
      <x:c r="V220" s="81"/>
      <x:c r="W220" s="81"/>
      <x:c r="X220" s="81"/>
      <x:c r="Y220" s="81"/>
      <x:c r="Z220" s="81"/>
    </x:row>
    <x:row r="221">
      <x:c r="A221" s="81"/>
      <x:c r="B221" s="81"/>
      <x:c r="C221" s="81"/>
      <x:c r="D221" s="81"/>
      <x:c r="E221" s="81"/>
      <x:c r="F221" s="81"/>
      <x:c r="G221" s="81"/>
      <x:c r="H221" s="81"/>
      <x:c r="I221" s="81"/>
      <x:c r="J221" s="81"/>
      <x:c r="K221" s="81"/>
      <x:c r="L221" s="81"/>
      <x:c r="M221" s="81"/>
      <x:c r="N221" s="81"/>
      <x:c r="O221" s="81"/>
      <x:c r="P221" s="81"/>
      <x:c r="Q221" s="81"/>
      <x:c r="R221" s="81"/>
      <x:c r="S221" s="81"/>
      <x:c r="T221" s="81"/>
      <x:c r="U221" s="81"/>
      <x:c r="V221" s="81"/>
      <x:c r="W221" s="81"/>
      <x:c r="X221" s="81"/>
      <x:c r="Y221" s="81"/>
      <x:c r="Z221" s="81"/>
    </x:row>
    <x:row r="222">
      <x:c r="A222" s="81"/>
      <x:c r="B222" s="81"/>
      <x:c r="C222" s="81"/>
      <x:c r="D222" s="81"/>
      <x:c r="E222" s="81"/>
      <x:c r="F222" s="81"/>
      <x:c r="G222" s="81"/>
      <x:c r="H222" s="81"/>
      <x:c r="I222" s="81"/>
      <x:c r="J222" s="81"/>
      <x:c r="K222" s="81"/>
      <x:c r="L222" s="81"/>
      <x:c r="M222" s="81"/>
      <x:c r="N222" s="81"/>
      <x:c r="O222" s="81"/>
      <x:c r="P222" s="81"/>
      <x:c r="Q222" s="81"/>
      <x:c r="R222" s="81"/>
      <x:c r="S222" s="81"/>
      <x:c r="T222" s="81"/>
      <x:c r="U222" s="81"/>
      <x:c r="V222" s="81"/>
      <x:c r="W222" s="81"/>
      <x:c r="X222" s="81"/>
      <x:c r="Y222" s="81"/>
      <x:c r="Z222" s="81"/>
    </x:row>
    <x:row r="223">
      <x:c r="A223" s="81"/>
      <x:c r="B223" s="81"/>
      <x:c r="C223" s="81"/>
      <x:c r="D223" s="81"/>
      <x:c r="E223" s="81"/>
      <x:c r="F223" s="81"/>
      <x:c r="G223" s="81"/>
      <x:c r="H223" s="81"/>
      <x:c r="I223" s="81"/>
      <x:c r="J223" s="81"/>
      <x:c r="K223" s="81"/>
      <x:c r="L223" s="81"/>
      <x:c r="M223" s="81"/>
      <x:c r="N223" s="81"/>
      <x:c r="O223" s="81"/>
      <x:c r="P223" s="81"/>
      <x:c r="Q223" s="81"/>
      <x:c r="R223" s="81"/>
      <x:c r="S223" s="81"/>
      <x:c r="T223" s="81"/>
      <x:c r="U223" s="81"/>
      <x:c r="V223" s="81"/>
      <x:c r="W223" s="81"/>
      <x:c r="X223" s="81"/>
      <x:c r="Y223" s="81"/>
      <x:c r="Z223" s="81"/>
    </x:row>
    <x:row r="224">
      <x:c r="A224" s="81"/>
      <x:c r="B224" s="81"/>
      <x:c r="C224" s="81"/>
      <x:c r="D224" s="81"/>
      <x:c r="E224" s="81"/>
      <x:c r="F224" s="81"/>
      <x:c r="G224" s="81"/>
      <x:c r="H224" s="81"/>
      <x:c r="I224" s="81"/>
      <x:c r="J224" s="81"/>
      <x:c r="K224" s="81"/>
      <x:c r="L224" s="81"/>
      <x:c r="M224" s="81"/>
      <x:c r="N224" s="81"/>
      <x:c r="O224" s="81"/>
      <x:c r="P224" s="81"/>
      <x:c r="Q224" s="81"/>
      <x:c r="R224" s="81"/>
      <x:c r="S224" s="81"/>
      <x:c r="T224" s="81"/>
      <x:c r="U224" s="81"/>
      <x:c r="V224" s="81"/>
      <x:c r="W224" s="81"/>
      <x:c r="X224" s="81"/>
      <x:c r="Y224" s="81"/>
      <x:c r="Z224" s="81"/>
    </x:row>
    <x:row r="225">
      <x:c r="A225" s="81"/>
      <x:c r="B225" s="81"/>
      <x:c r="C225" s="81"/>
      <x:c r="D225" s="81"/>
      <x:c r="E225" s="81"/>
      <x:c r="F225" s="81"/>
      <x:c r="G225" s="81"/>
      <x:c r="H225" s="81"/>
      <x:c r="I225" s="81"/>
      <x:c r="J225" s="81"/>
      <x:c r="K225" s="81"/>
      <x:c r="L225" s="81"/>
      <x:c r="M225" s="81"/>
      <x:c r="N225" s="81"/>
      <x:c r="O225" s="81"/>
      <x:c r="P225" s="81"/>
      <x:c r="Q225" s="81"/>
      <x:c r="R225" s="81"/>
      <x:c r="S225" s="81"/>
      <x:c r="T225" s="81"/>
      <x:c r="U225" s="81"/>
      <x:c r="V225" s="81"/>
      <x:c r="W225" s="81"/>
      <x:c r="X225" s="81"/>
      <x:c r="Y225" s="81"/>
      <x:c r="Z225" s="81"/>
    </x:row>
    <x:row r="226">
      <x:c r="A226" s="81"/>
      <x:c r="B226" s="81"/>
      <x:c r="C226" s="81"/>
      <x:c r="D226" s="81"/>
      <x:c r="E226" s="81"/>
      <x:c r="F226" s="81"/>
      <x:c r="G226" s="81"/>
      <x:c r="H226" s="81"/>
      <x:c r="I226" s="81"/>
      <x:c r="J226" s="81"/>
      <x:c r="K226" s="81"/>
      <x:c r="L226" s="81"/>
      <x:c r="M226" s="81"/>
      <x:c r="N226" s="81"/>
      <x:c r="O226" s="81"/>
      <x:c r="P226" s="81"/>
      <x:c r="Q226" s="81"/>
      <x:c r="R226" s="81"/>
      <x:c r="S226" s="81"/>
      <x:c r="T226" s="81"/>
      <x:c r="U226" s="81"/>
      <x:c r="V226" s="81"/>
      <x:c r="W226" s="81"/>
      <x:c r="X226" s="81"/>
      <x:c r="Y226" s="81"/>
      <x:c r="Z226" s="81"/>
    </x:row>
    <x:row r="227">
      <x:c r="A227" s="81"/>
      <x:c r="B227" s="81"/>
      <x:c r="C227" s="81"/>
      <x:c r="D227" s="81"/>
      <x:c r="E227" s="81"/>
      <x:c r="F227" s="81"/>
      <x:c r="G227" s="81"/>
      <x:c r="H227" s="81"/>
      <x:c r="I227" s="81"/>
      <x:c r="J227" s="81"/>
      <x:c r="K227" s="81"/>
      <x:c r="L227" s="81"/>
      <x:c r="M227" s="81"/>
      <x:c r="N227" s="81"/>
      <x:c r="O227" s="81"/>
      <x:c r="P227" s="81"/>
      <x:c r="Q227" s="81"/>
      <x:c r="R227" s="81"/>
      <x:c r="S227" s="81"/>
      <x:c r="T227" s="81"/>
      <x:c r="U227" s="81"/>
      <x:c r="V227" s="81"/>
      <x:c r="W227" s="81"/>
      <x:c r="X227" s="81"/>
      <x:c r="Y227" s="81"/>
      <x:c r="Z227" s="81"/>
    </x:row>
    <x:row r="228">
      <x:c r="A228" s="81"/>
      <x:c r="B228" s="81"/>
      <x:c r="C228" s="81"/>
      <x:c r="D228" s="81"/>
      <x:c r="E228" s="81"/>
      <x:c r="F228" s="81"/>
      <x:c r="G228" s="81"/>
      <x:c r="H228" s="81"/>
      <x:c r="I228" s="81"/>
      <x:c r="J228" s="81"/>
      <x:c r="K228" s="81"/>
      <x:c r="L228" s="81"/>
      <x:c r="M228" s="81"/>
      <x:c r="N228" s="81"/>
      <x:c r="O228" s="81"/>
      <x:c r="P228" s="81"/>
      <x:c r="Q228" s="81"/>
      <x:c r="R228" s="81"/>
      <x:c r="S228" s="81"/>
      <x:c r="T228" s="81"/>
      <x:c r="U228" s="81"/>
      <x:c r="V228" s="81"/>
      <x:c r="W228" s="81"/>
      <x:c r="X228" s="81"/>
      <x:c r="Y228" s="81"/>
      <x:c r="Z228" s="81"/>
    </x:row>
    <x:row r="229">
      <x:c r="A229" s="81"/>
      <x:c r="B229" s="81"/>
      <x:c r="C229" s="81"/>
      <x:c r="D229" s="81"/>
      <x:c r="E229" s="81"/>
      <x:c r="F229" s="81"/>
      <x:c r="G229" s="81"/>
      <x:c r="H229" s="81"/>
      <x:c r="I229" s="81"/>
      <x:c r="J229" s="81"/>
      <x:c r="K229" s="81"/>
      <x:c r="L229" s="81"/>
      <x:c r="M229" s="81"/>
      <x:c r="N229" s="81"/>
      <x:c r="O229" s="81"/>
      <x:c r="P229" s="81"/>
      <x:c r="Q229" s="81"/>
      <x:c r="R229" s="81"/>
      <x:c r="S229" s="81"/>
      <x:c r="T229" s="81"/>
      <x:c r="U229" s="81"/>
      <x:c r="V229" s="81"/>
      <x:c r="W229" s="81"/>
      <x:c r="X229" s="81"/>
      <x:c r="Y229" s="81"/>
      <x:c r="Z229" s="81"/>
    </x:row>
    <x:row r="230">
      <x:c r="A230" s="81"/>
      <x:c r="B230" s="81"/>
      <x:c r="C230" s="81"/>
      <x:c r="D230" s="81"/>
      <x:c r="E230" s="81"/>
      <x:c r="F230" s="81"/>
      <x:c r="G230" s="81"/>
      <x:c r="H230" s="81"/>
      <x:c r="I230" s="81"/>
      <x:c r="J230" s="81"/>
      <x:c r="K230" s="81"/>
      <x:c r="L230" s="81"/>
      <x:c r="M230" s="81"/>
      <x:c r="N230" s="81"/>
      <x:c r="O230" s="81"/>
      <x:c r="P230" s="81"/>
      <x:c r="Q230" s="81"/>
      <x:c r="R230" s="81"/>
      <x:c r="S230" s="81"/>
      <x:c r="T230" s="81"/>
      <x:c r="U230" s="81"/>
      <x:c r="V230" s="81"/>
      <x:c r="W230" s="81"/>
      <x:c r="X230" s="81"/>
      <x:c r="Y230" s="81"/>
      <x:c r="Z230" s="81"/>
    </x:row>
    <x:row r="231">
      <x:c r="A231" s="81"/>
      <x:c r="B231" s="81"/>
      <x:c r="C231" s="81"/>
      <x:c r="D231" s="81"/>
      <x:c r="E231" s="81"/>
      <x:c r="F231" s="81"/>
      <x:c r="G231" s="81"/>
      <x:c r="H231" s="81"/>
      <x:c r="I231" s="81"/>
      <x:c r="J231" s="81"/>
      <x:c r="K231" s="81"/>
      <x:c r="L231" s="81"/>
      <x:c r="M231" s="81"/>
      <x:c r="N231" s="81"/>
      <x:c r="O231" s="81"/>
      <x:c r="P231" s="81"/>
      <x:c r="Q231" s="81"/>
      <x:c r="R231" s="81"/>
      <x:c r="S231" s="81"/>
      <x:c r="T231" s="81"/>
      <x:c r="U231" s="81"/>
      <x:c r="V231" s="81"/>
      <x:c r="W231" s="81"/>
      <x:c r="X231" s="81"/>
      <x:c r="Y231" s="81"/>
      <x:c r="Z231" s="81"/>
    </x:row>
    <x:row r="232">
      <x:c r="A232" s="81"/>
      <x:c r="B232" s="81"/>
      <x:c r="C232" s="81"/>
      <x:c r="D232" s="81"/>
      <x:c r="E232" s="81"/>
      <x:c r="F232" s="81"/>
      <x:c r="G232" s="81"/>
      <x:c r="H232" s="81"/>
      <x:c r="I232" s="81"/>
      <x:c r="J232" s="81"/>
      <x:c r="K232" s="81"/>
      <x:c r="L232" s="81"/>
      <x:c r="M232" s="81"/>
      <x:c r="N232" s="81"/>
      <x:c r="O232" s="81"/>
      <x:c r="P232" s="81"/>
      <x:c r="Q232" s="81"/>
      <x:c r="R232" s="81"/>
      <x:c r="S232" s="81"/>
      <x:c r="T232" s="81"/>
      <x:c r="U232" s="81"/>
      <x:c r="V232" s="81"/>
      <x:c r="W232" s="81"/>
      <x:c r="X232" s="81"/>
      <x:c r="Y232" s="81"/>
      <x:c r="Z232" s="81"/>
    </x:row>
    <x:row r="233">
      <x:c r="A233" s="81"/>
      <x:c r="B233" s="81"/>
      <x:c r="C233" s="81"/>
      <x:c r="D233" s="81"/>
      <x:c r="E233" s="81"/>
      <x:c r="F233" s="81"/>
      <x:c r="G233" s="81"/>
      <x:c r="H233" s="81"/>
      <x:c r="I233" s="81"/>
      <x:c r="J233" s="81"/>
      <x:c r="K233" s="81"/>
      <x:c r="L233" s="81"/>
      <x:c r="M233" s="81"/>
      <x:c r="N233" s="81"/>
      <x:c r="O233" s="81"/>
      <x:c r="P233" s="81"/>
      <x:c r="Q233" s="81"/>
      <x:c r="R233" s="81"/>
      <x:c r="S233" s="81"/>
      <x:c r="T233" s="81"/>
      <x:c r="U233" s="81"/>
      <x:c r="V233" s="81"/>
      <x:c r="W233" s="81"/>
      <x:c r="X233" s="81"/>
      <x:c r="Y233" s="81"/>
      <x:c r="Z233" s="81"/>
    </x:row>
    <x:row r="234">
      <x:c r="A234" s="81"/>
      <x:c r="B234" s="81"/>
      <x:c r="C234" s="81"/>
      <x:c r="D234" s="81"/>
      <x:c r="E234" s="81"/>
      <x:c r="F234" s="81"/>
      <x:c r="G234" s="81"/>
      <x:c r="H234" s="81"/>
      <x:c r="I234" s="81"/>
      <x:c r="J234" s="81"/>
      <x:c r="K234" s="81"/>
      <x:c r="L234" s="81"/>
      <x:c r="M234" s="81"/>
      <x:c r="N234" s="81"/>
      <x:c r="O234" s="81"/>
      <x:c r="P234" s="81"/>
      <x:c r="Q234" s="81"/>
      <x:c r="R234" s="81"/>
      <x:c r="S234" s="81"/>
      <x:c r="T234" s="81"/>
      <x:c r="U234" s="81"/>
      <x:c r="V234" s="81"/>
      <x:c r="W234" s="81"/>
      <x:c r="X234" s="81"/>
      <x:c r="Y234" s="81"/>
      <x:c r="Z234" s="81"/>
    </x:row>
    <x:row r="235">
      <x:c r="A235" s="81"/>
      <x:c r="B235" s="81"/>
      <x:c r="C235" s="81"/>
      <x:c r="D235" s="81"/>
      <x:c r="E235" s="81"/>
      <x:c r="F235" s="81"/>
      <x:c r="G235" s="81"/>
      <x:c r="H235" s="81"/>
      <x:c r="I235" s="81"/>
      <x:c r="J235" s="81"/>
      <x:c r="K235" s="81"/>
      <x:c r="L235" s="81"/>
      <x:c r="M235" s="81"/>
      <x:c r="N235" s="81"/>
      <x:c r="O235" s="81"/>
      <x:c r="P235" s="81"/>
      <x:c r="Q235" s="81"/>
      <x:c r="R235" s="81"/>
      <x:c r="S235" s="81"/>
      <x:c r="T235" s="81"/>
      <x:c r="U235" s="81"/>
      <x:c r="V235" s="81"/>
      <x:c r="W235" s="81"/>
      <x:c r="X235" s="81"/>
      <x:c r="Y235" s="81"/>
      <x:c r="Z235" s="81"/>
    </x:row>
    <x:row r="236">
      <x:c r="A236" s="81"/>
      <x:c r="B236" s="81"/>
      <x:c r="C236" s="81"/>
      <x:c r="D236" s="81"/>
      <x:c r="E236" s="81"/>
      <x:c r="F236" s="81"/>
      <x:c r="G236" s="81"/>
      <x:c r="H236" s="81"/>
      <x:c r="I236" s="81"/>
      <x:c r="J236" s="81"/>
      <x:c r="K236" s="81"/>
      <x:c r="L236" s="81"/>
      <x:c r="M236" s="81"/>
      <x:c r="N236" s="81"/>
      <x:c r="O236" s="81"/>
      <x:c r="P236" s="81"/>
      <x:c r="Q236" s="81"/>
      <x:c r="R236" s="81"/>
      <x:c r="S236" s="81"/>
      <x:c r="T236" s="81"/>
      <x:c r="U236" s="81"/>
      <x:c r="V236" s="81"/>
      <x:c r="W236" s="81"/>
      <x:c r="X236" s="81"/>
      <x:c r="Y236" s="81"/>
      <x:c r="Z236" s="81"/>
    </x:row>
    <x:row r="237">
      <x:c r="A237" s="81"/>
      <x:c r="B237" s="81"/>
      <x:c r="C237" s="81"/>
      <x:c r="D237" s="81"/>
      <x:c r="E237" s="81"/>
      <x:c r="F237" s="81"/>
      <x:c r="G237" s="81"/>
      <x:c r="H237" s="81"/>
      <x:c r="I237" s="81"/>
      <x:c r="J237" s="81"/>
      <x:c r="K237" s="81"/>
      <x:c r="L237" s="81"/>
      <x:c r="M237" s="81"/>
      <x:c r="N237" s="81"/>
      <x:c r="O237" s="81"/>
      <x:c r="P237" s="81"/>
      <x:c r="Q237" s="81"/>
      <x:c r="R237" s="81"/>
      <x:c r="S237" s="81"/>
      <x:c r="T237" s="81"/>
      <x:c r="U237" s="81"/>
      <x:c r="V237" s="81"/>
      <x:c r="W237" s="81"/>
      <x:c r="X237" s="81"/>
      <x:c r="Y237" s="81"/>
      <x:c r="Z237" s="81"/>
    </x:row>
    <x:row r="238">
      <x:c r="A238" s="81"/>
      <x:c r="B238" s="81"/>
      <x:c r="C238" s="81"/>
      <x:c r="D238" s="81"/>
      <x:c r="E238" s="81"/>
      <x:c r="F238" s="81"/>
      <x:c r="G238" s="81"/>
      <x:c r="H238" s="81"/>
      <x:c r="I238" s="81"/>
      <x:c r="J238" s="81"/>
      <x:c r="K238" s="81"/>
      <x:c r="L238" s="81"/>
      <x:c r="M238" s="81"/>
      <x:c r="N238" s="81"/>
      <x:c r="O238" s="81"/>
      <x:c r="P238" s="81"/>
      <x:c r="Q238" s="81"/>
      <x:c r="R238" s="81"/>
      <x:c r="S238" s="81"/>
      <x:c r="T238" s="81"/>
      <x:c r="U238" s="81"/>
      <x:c r="V238" s="81"/>
      <x:c r="W238" s="81"/>
      <x:c r="X238" s="81"/>
      <x:c r="Y238" s="81"/>
      <x:c r="Z238" s="81"/>
    </x:row>
    <x:row r="239">
      <x:c r="A239" s="81"/>
      <x:c r="B239" s="81"/>
      <x:c r="C239" s="81"/>
      <x:c r="D239" s="81"/>
      <x:c r="E239" s="81"/>
      <x:c r="F239" s="81"/>
      <x:c r="G239" s="81"/>
      <x:c r="H239" s="81"/>
      <x:c r="I239" s="81"/>
      <x:c r="J239" s="81"/>
      <x:c r="K239" s="81"/>
      <x:c r="L239" s="81"/>
      <x:c r="M239" s="81"/>
      <x:c r="N239" s="81"/>
      <x:c r="O239" s="81"/>
      <x:c r="P239" s="81"/>
      <x:c r="Q239" s="81"/>
      <x:c r="R239" s="81"/>
      <x:c r="S239" s="81"/>
      <x:c r="T239" s="81"/>
      <x:c r="U239" s="81"/>
      <x:c r="V239" s="81"/>
      <x:c r="W239" s="81"/>
      <x:c r="X239" s="81"/>
      <x:c r="Y239" s="81"/>
      <x:c r="Z239" s="81"/>
    </x:row>
    <x:row r="240">
      <x:c r="A240" s="81"/>
      <x:c r="B240" s="81"/>
      <x:c r="C240" s="81"/>
      <x:c r="D240" s="81"/>
      <x:c r="E240" s="81"/>
      <x:c r="F240" s="81"/>
      <x:c r="G240" s="81"/>
      <x:c r="H240" s="81"/>
      <x:c r="I240" s="81"/>
      <x:c r="J240" s="81"/>
      <x:c r="K240" s="81"/>
      <x:c r="L240" s="81"/>
      <x:c r="M240" s="81"/>
      <x:c r="N240" s="81"/>
      <x:c r="O240" s="81"/>
      <x:c r="P240" s="81"/>
      <x:c r="Q240" s="81"/>
      <x:c r="R240" s="81"/>
      <x:c r="S240" s="81"/>
      <x:c r="T240" s="81"/>
      <x:c r="U240" s="81"/>
      <x:c r="V240" s="81"/>
      <x:c r="W240" s="81"/>
      <x:c r="X240" s="81"/>
      <x:c r="Y240" s="81"/>
      <x:c r="Z240" s="81"/>
    </x:row>
    <x:row r="241">
      <x:c r="A241" s="81"/>
      <x:c r="B241" s="81"/>
      <x:c r="C241" s="81"/>
      <x:c r="D241" s="81"/>
      <x:c r="E241" s="81"/>
      <x:c r="F241" s="81"/>
      <x:c r="G241" s="81"/>
      <x:c r="H241" s="81"/>
      <x:c r="I241" s="81"/>
      <x:c r="J241" s="81"/>
      <x:c r="K241" s="81"/>
      <x:c r="L241" s="81"/>
      <x:c r="M241" s="81"/>
      <x:c r="N241" s="81"/>
      <x:c r="O241" s="81"/>
      <x:c r="P241" s="81"/>
      <x:c r="Q241" s="81"/>
      <x:c r="R241" s="81"/>
      <x:c r="S241" s="81"/>
      <x:c r="T241" s="81"/>
      <x:c r="U241" s="81"/>
      <x:c r="V241" s="81"/>
      <x:c r="W241" s="81"/>
      <x:c r="X241" s="81"/>
      <x:c r="Y241" s="81"/>
      <x:c r="Z241" s="81"/>
    </x:row>
    <x:row r="242">
      <x:c r="A242" s="81"/>
      <x:c r="B242" s="81"/>
      <x:c r="C242" s="81"/>
      <x:c r="D242" s="81"/>
      <x:c r="E242" s="81"/>
      <x:c r="F242" s="81"/>
      <x:c r="G242" s="81"/>
      <x:c r="H242" s="81"/>
      <x:c r="I242" s="81"/>
      <x:c r="J242" s="81"/>
      <x:c r="K242" s="81"/>
      <x:c r="L242" s="81"/>
      <x:c r="M242" s="81"/>
      <x:c r="N242" s="81"/>
      <x:c r="O242" s="81"/>
      <x:c r="P242" s="81"/>
      <x:c r="Q242" s="81"/>
      <x:c r="R242" s="81"/>
      <x:c r="S242" s="81"/>
      <x:c r="T242" s="81"/>
      <x:c r="U242" s="81"/>
      <x:c r="V242" s="81"/>
      <x:c r="W242" s="81"/>
      <x:c r="X242" s="81"/>
      <x:c r="Y242" s="81"/>
      <x:c r="Z242" s="81"/>
    </x:row>
    <x:row r="243">
      <x:c r="A243" s="81"/>
      <x:c r="B243" s="81"/>
      <x:c r="C243" s="81"/>
      <x:c r="D243" s="81"/>
      <x:c r="E243" s="81"/>
      <x:c r="F243" s="81"/>
      <x:c r="G243" s="81"/>
      <x:c r="H243" s="81"/>
      <x:c r="I243" s="81"/>
      <x:c r="J243" s="81"/>
      <x:c r="K243" s="81"/>
      <x:c r="L243" s="81"/>
      <x:c r="M243" s="81"/>
      <x:c r="N243" s="81"/>
      <x:c r="O243" s="81"/>
      <x:c r="P243" s="81"/>
      <x:c r="Q243" s="81"/>
      <x:c r="R243" s="81"/>
      <x:c r="S243" s="81"/>
      <x:c r="T243" s="81"/>
      <x:c r="U243" s="81"/>
      <x:c r="V243" s="81"/>
      <x:c r="W243" s="81"/>
      <x:c r="X243" s="81"/>
      <x:c r="Y243" s="81"/>
      <x:c r="Z243" s="81"/>
    </x:row>
    <x:row r="244">
      <x:c r="A244" s="81"/>
      <x:c r="B244" s="81"/>
      <x:c r="C244" s="81"/>
      <x:c r="D244" s="81"/>
      <x:c r="E244" s="81"/>
      <x:c r="F244" s="81"/>
      <x:c r="G244" s="81"/>
      <x:c r="H244" s="81"/>
      <x:c r="I244" s="81"/>
      <x:c r="J244" s="81"/>
      <x:c r="K244" s="81"/>
      <x:c r="L244" s="81"/>
      <x:c r="M244" s="81"/>
      <x:c r="N244" s="81"/>
      <x:c r="O244" s="81"/>
      <x:c r="P244" s="81"/>
      <x:c r="Q244" s="81"/>
      <x:c r="R244" s="81"/>
      <x:c r="S244" s="81"/>
      <x:c r="T244" s="81"/>
      <x:c r="U244" s="81"/>
      <x:c r="V244" s="81"/>
      <x:c r="W244" s="81"/>
      <x:c r="X244" s="81"/>
      <x:c r="Y244" s="81"/>
      <x:c r="Z244" s="81"/>
    </x:row>
    <x:row r="245">
      <x:c r="A245" s="81"/>
      <x:c r="B245" s="81"/>
      <x:c r="C245" s="81"/>
      <x:c r="D245" s="81"/>
      <x:c r="E245" s="81"/>
      <x:c r="F245" s="81"/>
      <x:c r="G245" s="81"/>
      <x:c r="H245" s="81"/>
      <x:c r="I245" s="81"/>
      <x:c r="J245" s="81"/>
      <x:c r="K245" s="81"/>
      <x:c r="L245" s="81"/>
      <x:c r="M245" s="81"/>
      <x:c r="N245" s="81"/>
      <x:c r="O245" s="81"/>
      <x:c r="P245" s="81"/>
      <x:c r="Q245" s="81"/>
      <x:c r="R245" s="81"/>
      <x:c r="S245" s="81"/>
      <x:c r="T245" s="81"/>
      <x:c r="U245" s="81"/>
      <x:c r="V245" s="81"/>
      <x:c r="W245" s="81"/>
      <x:c r="X245" s="81"/>
      <x:c r="Y245" s="81"/>
      <x:c r="Z245" s="81"/>
    </x:row>
    <x:row r="246">
      <x:c r="A246" s="81"/>
      <x:c r="B246" s="81"/>
      <x:c r="C246" s="81"/>
      <x:c r="D246" s="81"/>
      <x:c r="E246" s="81"/>
      <x:c r="F246" s="81"/>
      <x:c r="G246" s="81"/>
      <x:c r="H246" s="81"/>
      <x:c r="I246" s="81"/>
      <x:c r="J246" s="81"/>
      <x:c r="K246" s="81"/>
      <x:c r="L246" s="81"/>
      <x:c r="M246" s="81"/>
      <x:c r="N246" s="81"/>
      <x:c r="O246" s="81"/>
      <x:c r="P246" s="81"/>
      <x:c r="Q246" s="81"/>
      <x:c r="R246" s="81"/>
      <x:c r="S246" s="81"/>
      <x:c r="T246" s="81"/>
      <x:c r="U246" s="81"/>
      <x:c r="V246" s="81"/>
      <x:c r="W246" s="81"/>
      <x:c r="X246" s="81"/>
      <x:c r="Y246" s="81"/>
      <x:c r="Z246" s="81"/>
    </x:row>
    <x:row r="247">
      <x:c r="A247" s="81"/>
      <x:c r="B247" s="81"/>
      <x:c r="C247" s="81"/>
      <x:c r="D247" s="81"/>
      <x:c r="E247" s="81"/>
      <x:c r="F247" s="81"/>
      <x:c r="G247" s="81"/>
      <x:c r="H247" s="81"/>
      <x:c r="I247" s="81"/>
      <x:c r="J247" s="81"/>
      <x:c r="K247" s="81"/>
      <x:c r="L247" s="81"/>
      <x:c r="M247" s="81"/>
      <x:c r="N247" s="81"/>
      <x:c r="O247" s="81"/>
      <x:c r="P247" s="81"/>
      <x:c r="Q247" s="81"/>
      <x:c r="R247" s="81"/>
      <x:c r="S247" s="81"/>
      <x:c r="T247" s="81"/>
      <x:c r="U247" s="81"/>
      <x:c r="V247" s="81"/>
      <x:c r="W247" s="81"/>
      <x:c r="X247" s="81"/>
      <x:c r="Y247" s="81"/>
      <x:c r="Z247" s="81"/>
    </x:row>
    <x:row r="248">
      <x:c r="A248" s="81"/>
      <x:c r="B248" s="81"/>
      <x:c r="C248" s="81"/>
      <x:c r="D248" s="81"/>
      <x:c r="E248" s="81"/>
      <x:c r="F248" s="81"/>
      <x:c r="G248" s="81"/>
      <x:c r="H248" s="81"/>
      <x:c r="I248" s="81"/>
      <x:c r="J248" s="81"/>
      <x:c r="K248" s="81"/>
      <x:c r="L248" s="81"/>
      <x:c r="M248" s="81"/>
      <x:c r="N248" s="81"/>
      <x:c r="O248" s="81"/>
      <x:c r="P248" s="81"/>
      <x:c r="Q248" s="81"/>
      <x:c r="R248" s="81"/>
      <x:c r="S248" s="81"/>
      <x:c r="T248" s="81"/>
      <x:c r="U248" s="81"/>
      <x:c r="V248" s="81"/>
      <x:c r="W248" s="81"/>
      <x:c r="X248" s="81"/>
      <x:c r="Y248" s="81"/>
      <x:c r="Z248" s="81"/>
    </x:row>
    <x:row r="249">
      <x:c r="A249" s="81"/>
      <x:c r="B249" s="81"/>
      <x:c r="C249" s="81"/>
      <x:c r="D249" s="81"/>
      <x:c r="E249" s="81"/>
      <x:c r="F249" s="81"/>
      <x:c r="G249" s="81"/>
      <x:c r="H249" s="81"/>
      <x:c r="I249" s="81"/>
      <x:c r="J249" s="81"/>
      <x:c r="K249" s="81"/>
      <x:c r="L249" s="81"/>
      <x:c r="M249" s="81"/>
      <x:c r="N249" s="81"/>
      <x:c r="O249" s="81"/>
      <x:c r="P249" s="81"/>
      <x:c r="Q249" s="81"/>
      <x:c r="R249" s="81"/>
      <x:c r="S249" s="81"/>
      <x:c r="T249" s="81"/>
      <x:c r="U249" s="81"/>
      <x:c r="V249" s="81"/>
      <x:c r="W249" s="81"/>
      <x:c r="X249" s="81"/>
      <x:c r="Y249" s="81"/>
      <x:c r="Z249" s="81"/>
    </x:row>
    <x:row r="250">
      <x:c r="A250" s="81"/>
      <x:c r="B250" s="81"/>
      <x:c r="C250" s="81"/>
      <x:c r="D250" s="81"/>
      <x:c r="E250" s="81"/>
      <x:c r="F250" s="81"/>
      <x:c r="G250" s="81"/>
      <x:c r="H250" s="81"/>
      <x:c r="I250" s="81"/>
      <x:c r="J250" s="81"/>
      <x:c r="K250" s="81"/>
      <x:c r="L250" s="81"/>
      <x:c r="M250" s="81"/>
      <x:c r="N250" s="81"/>
      <x:c r="O250" s="81"/>
      <x:c r="P250" s="81"/>
      <x:c r="Q250" s="81"/>
      <x:c r="R250" s="81"/>
      <x:c r="S250" s="81"/>
      <x:c r="T250" s="81"/>
      <x:c r="U250" s="81"/>
      <x:c r="V250" s="81"/>
      <x:c r="W250" s="81"/>
      <x:c r="X250" s="81"/>
      <x:c r="Y250" s="81"/>
      <x:c r="Z250" s="81"/>
    </x:row>
    <x:row r="251">
      <x:c r="A251" s="81"/>
      <x:c r="B251" s="81"/>
      <x:c r="C251" s="81"/>
      <x:c r="D251" s="81"/>
      <x:c r="E251" s="81"/>
      <x:c r="F251" s="81"/>
      <x:c r="G251" s="81"/>
      <x:c r="H251" s="81"/>
      <x:c r="I251" s="81"/>
      <x:c r="J251" s="81"/>
      <x:c r="K251" s="81"/>
      <x:c r="L251" s="81"/>
      <x:c r="M251" s="81"/>
      <x:c r="N251" s="81"/>
      <x:c r="O251" s="81"/>
      <x:c r="P251" s="81"/>
      <x:c r="Q251" s="81"/>
      <x:c r="R251" s="81"/>
      <x:c r="S251" s="81"/>
      <x:c r="T251" s="81"/>
      <x:c r="U251" s="81"/>
      <x:c r="V251" s="81"/>
      <x:c r="W251" s="81"/>
      <x:c r="X251" s="81"/>
      <x:c r="Y251" s="81"/>
      <x:c r="Z251" s="81"/>
    </x:row>
    <x:row r="252">
      <x:c r="A252" s="81"/>
      <x:c r="B252" s="81"/>
      <x:c r="C252" s="81"/>
      <x:c r="D252" s="81"/>
      <x:c r="E252" s="81"/>
      <x:c r="F252" s="81"/>
      <x:c r="G252" s="81"/>
      <x:c r="H252" s="81"/>
      <x:c r="I252" s="81"/>
      <x:c r="J252" s="81"/>
      <x:c r="K252" s="81"/>
      <x:c r="L252" s="81"/>
      <x:c r="M252" s="81"/>
      <x:c r="N252" s="81"/>
      <x:c r="O252" s="81"/>
      <x:c r="P252" s="81"/>
      <x:c r="Q252" s="81"/>
      <x:c r="R252" s="81"/>
      <x:c r="S252" s="81"/>
      <x:c r="T252" s="81"/>
      <x:c r="U252" s="81"/>
      <x:c r="V252" s="81"/>
      <x:c r="W252" s="81"/>
      <x:c r="X252" s="81"/>
      <x:c r="Y252" s="81"/>
      <x:c r="Z252" s="81"/>
    </x:row>
    <x:row r="253">
      <x:c r="A253" s="81"/>
      <x:c r="B253" s="81"/>
      <x:c r="C253" s="81"/>
      <x:c r="D253" s="81"/>
      <x:c r="E253" s="81"/>
      <x:c r="F253" s="81"/>
      <x:c r="G253" s="81"/>
      <x:c r="H253" s="81"/>
      <x:c r="I253" s="81"/>
      <x:c r="J253" s="81"/>
      <x:c r="K253" s="81"/>
      <x:c r="L253" s="81"/>
      <x:c r="M253" s="81"/>
      <x:c r="N253" s="81"/>
      <x:c r="O253" s="81"/>
      <x:c r="P253" s="81"/>
      <x:c r="Q253" s="81"/>
      <x:c r="R253" s="81"/>
      <x:c r="S253" s="81"/>
      <x:c r="T253" s="81"/>
      <x:c r="U253" s="81"/>
      <x:c r="V253" s="81"/>
      <x:c r="W253" s="81"/>
      <x:c r="X253" s="81"/>
      <x:c r="Y253" s="81"/>
      <x:c r="Z253" s="81"/>
    </x:row>
    <x:row r="254">
      <x:c r="A254" s="81"/>
      <x:c r="B254" s="81"/>
      <x:c r="C254" s="81"/>
      <x:c r="D254" s="81"/>
      <x:c r="E254" s="81"/>
      <x:c r="F254" s="81"/>
      <x:c r="G254" s="81"/>
      <x:c r="H254" s="81"/>
      <x:c r="I254" s="81"/>
      <x:c r="J254" s="81"/>
      <x:c r="K254" s="81"/>
      <x:c r="L254" s="81"/>
      <x:c r="M254" s="81"/>
      <x:c r="N254" s="81"/>
      <x:c r="O254" s="81"/>
      <x:c r="P254" s="81"/>
      <x:c r="Q254" s="81"/>
      <x:c r="R254" s="81"/>
      <x:c r="S254" s="81"/>
      <x:c r="T254" s="81"/>
      <x:c r="U254" s="81"/>
      <x:c r="V254" s="81"/>
      <x:c r="W254" s="81"/>
      <x:c r="X254" s="81"/>
      <x:c r="Y254" s="81"/>
      <x:c r="Z254" s="81"/>
    </x:row>
    <x:row r="255">
      <x:c r="A255" s="81"/>
      <x:c r="B255" s="81"/>
      <x:c r="C255" s="81"/>
      <x:c r="D255" s="81"/>
      <x:c r="E255" s="81"/>
      <x:c r="F255" s="81"/>
      <x:c r="G255" s="81"/>
      <x:c r="H255" s="81"/>
      <x:c r="I255" s="81"/>
      <x:c r="J255" s="81"/>
      <x:c r="K255" s="81"/>
      <x:c r="L255" s="81"/>
      <x:c r="M255" s="81"/>
      <x:c r="N255" s="81"/>
      <x:c r="O255" s="81"/>
      <x:c r="P255" s="81"/>
      <x:c r="Q255" s="81"/>
      <x:c r="R255" s="81"/>
      <x:c r="S255" s="81"/>
      <x:c r="T255" s="81"/>
      <x:c r="U255" s="81"/>
      <x:c r="V255" s="81"/>
      <x:c r="W255" s="81"/>
      <x:c r="X255" s="81"/>
      <x:c r="Y255" s="81"/>
      <x:c r="Z255" s="81"/>
    </x:row>
    <x:row r="256">
      <x:c r="A256" s="81"/>
      <x:c r="B256" s="81"/>
      <x:c r="C256" s="81"/>
      <x:c r="D256" s="81"/>
      <x:c r="E256" s="81"/>
      <x:c r="F256" s="81"/>
      <x:c r="G256" s="81"/>
      <x:c r="H256" s="81"/>
      <x:c r="I256" s="81"/>
      <x:c r="J256" s="81"/>
      <x:c r="K256" s="81"/>
      <x:c r="L256" s="81"/>
      <x:c r="M256" s="81"/>
      <x:c r="N256" s="81"/>
      <x:c r="O256" s="81"/>
      <x:c r="P256" s="81"/>
      <x:c r="Q256" s="81"/>
      <x:c r="R256" s="81"/>
      <x:c r="S256" s="81"/>
      <x:c r="T256" s="81"/>
      <x:c r="U256" s="81"/>
      <x:c r="V256" s="81"/>
      <x:c r="W256" s="81"/>
      <x:c r="X256" s="81"/>
      <x:c r="Y256" s="81"/>
      <x:c r="Z256" s="81"/>
    </x:row>
    <x:row r="257">
      <x:c r="A257" s="81"/>
      <x:c r="B257" s="81"/>
      <x:c r="C257" s="81"/>
      <x:c r="D257" s="81"/>
      <x:c r="E257" s="81"/>
      <x:c r="F257" s="81"/>
      <x:c r="G257" s="81"/>
      <x:c r="H257" s="81"/>
      <x:c r="I257" s="81"/>
      <x:c r="J257" s="81"/>
      <x:c r="K257" s="81"/>
      <x:c r="L257" s="81"/>
      <x:c r="M257" s="81"/>
      <x:c r="N257" s="81"/>
      <x:c r="O257" s="81"/>
      <x:c r="P257" s="81"/>
      <x:c r="Q257" s="81"/>
      <x:c r="R257" s="81"/>
      <x:c r="S257" s="81"/>
      <x:c r="T257" s="81"/>
      <x:c r="U257" s="81"/>
      <x:c r="V257" s="81"/>
      <x:c r="W257" s="81"/>
      <x:c r="X257" s="81"/>
      <x:c r="Y257" s="81"/>
      <x:c r="Z257" s="81"/>
    </x:row>
    <x:row r="258">
      <x:c r="A258" s="81"/>
      <x:c r="B258" s="81"/>
      <x:c r="C258" s="81"/>
      <x:c r="D258" s="81"/>
      <x:c r="E258" s="81"/>
      <x:c r="F258" s="81"/>
      <x:c r="G258" s="81"/>
      <x:c r="H258" s="81"/>
      <x:c r="I258" s="81"/>
      <x:c r="J258" s="81"/>
      <x:c r="K258" s="81"/>
      <x:c r="L258" s="81"/>
      <x:c r="M258" s="81"/>
      <x:c r="N258" s="81"/>
      <x:c r="O258" s="81"/>
      <x:c r="P258" s="81"/>
      <x:c r="Q258" s="81"/>
      <x:c r="R258" s="81"/>
      <x:c r="S258" s="81"/>
      <x:c r="T258" s="81"/>
      <x:c r="U258" s="81"/>
      <x:c r="V258" s="81"/>
      <x:c r="W258" s="81"/>
      <x:c r="X258" s="81"/>
      <x:c r="Y258" s="81"/>
      <x:c r="Z258" s="81"/>
    </x:row>
    <x:row r="259">
      <x:c r="A259" s="81"/>
      <x:c r="B259" s="81"/>
      <x:c r="C259" s="81"/>
      <x:c r="D259" s="81"/>
      <x:c r="E259" s="81"/>
      <x:c r="F259" s="81"/>
      <x:c r="G259" s="81"/>
      <x:c r="H259" s="81"/>
      <x:c r="I259" s="81"/>
      <x:c r="J259" s="81"/>
      <x:c r="K259" s="81"/>
      <x:c r="L259" s="81"/>
      <x:c r="M259" s="81"/>
      <x:c r="N259" s="81"/>
      <x:c r="O259" s="81"/>
      <x:c r="P259" s="81"/>
      <x:c r="Q259" s="81"/>
      <x:c r="R259" s="81"/>
      <x:c r="S259" s="81"/>
      <x:c r="T259" s="81"/>
      <x:c r="U259" s="81"/>
      <x:c r="V259" s="81"/>
      <x:c r="W259" s="81"/>
      <x:c r="X259" s="81"/>
      <x:c r="Y259" s="81"/>
      <x:c r="Z259" s="81"/>
    </x:row>
    <x:row r="260">
      <x:c r="A260" s="81"/>
      <x:c r="B260" s="81"/>
      <x:c r="C260" s="81"/>
      <x:c r="D260" s="81"/>
      <x:c r="E260" s="81"/>
      <x:c r="F260" s="81"/>
      <x:c r="G260" s="81"/>
      <x:c r="H260" s="81"/>
      <x:c r="I260" s="81"/>
      <x:c r="J260" s="81"/>
      <x:c r="K260" s="81"/>
      <x:c r="L260" s="81"/>
      <x:c r="M260" s="81"/>
      <x:c r="N260" s="81"/>
      <x:c r="O260" s="81"/>
      <x:c r="P260" s="81"/>
      <x:c r="Q260" s="81"/>
      <x:c r="R260" s="81"/>
      <x:c r="S260" s="81"/>
      <x:c r="T260" s="81"/>
      <x:c r="U260" s="81"/>
      <x:c r="V260" s="81"/>
      <x:c r="W260" s="81"/>
      <x:c r="X260" s="81"/>
      <x:c r="Y260" s="81"/>
      <x:c r="Z260" s="81"/>
    </x:row>
    <x:row r="261">
      <x:c r="A261" s="81"/>
      <x:c r="B261" s="81"/>
      <x:c r="C261" s="81"/>
      <x:c r="D261" s="81"/>
      <x:c r="E261" s="81"/>
      <x:c r="F261" s="81"/>
      <x:c r="G261" s="81"/>
      <x:c r="H261" s="81"/>
      <x:c r="I261" s="81"/>
      <x:c r="J261" s="81"/>
      <x:c r="K261" s="81"/>
      <x:c r="L261" s="81"/>
      <x:c r="M261" s="81"/>
      <x:c r="N261" s="81"/>
      <x:c r="O261" s="81"/>
      <x:c r="P261" s="81"/>
      <x:c r="Q261" s="81"/>
      <x:c r="R261" s="81"/>
      <x:c r="S261" s="81"/>
      <x:c r="T261" s="81"/>
      <x:c r="U261" s="81"/>
      <x:c r="V261" s="81"/>
      <x:c r="W261" s="81"/>
      <x:c r="X261" s="81"/>
      <x:c r="Y261" s="81"/>
      <x:c r="Z261" s="81"/>
    </x:row>
    <x:row r="262">
      <x:c r="A262" s="81"/>
      <x:c r="B262" s="81"/>
      <x:c r="C262" s="81"/>
      <x:c r="D262" s="81"/>
      <x:c r="E262" s="81"/>
      <x:c r="F262" s="81"/>
      <x:c r="G262" s="81"/>
      <x:c r="H262" s="81"/>
      <x:c r="I262" s="81"/>
      <x:c r="J262" s="81"/>
      <x:c r="K262" s="81"/>
      <x:c r="L262" s="81"/>
      <x:c r="M262" s="81"/>
      <x:c r="N262" s="81"/>
      <x:c r="O262" s="81"/>
      <x:c r="P262" s="81"/>
      <x:c r="Q262" s="81"/>
      <x:c r="R262" s="81"/>
      <x:c r="S262" s="81"/>
      <x:c r="T262" s="81"/>
      <x:c r="U262" s="81"/>
      <x:c r="V262" s="81"/>
      <x:c r="W262" s="81"/>
      <x:c r="X262" s="81"/>
      <x:c r="Y262" s="81"/>
      <x:c r="Z262" s="81"/>
    </x:row>
    <x:row r="263">
      <x:c r="A263" s="81"/>
      <x:c r="B263" s="81"/>
      <x:c r="C263" s="81"/>
      <x:c r="D263" s="81"/>
      <x:c r="E263" s="81"/>
      <x:c r="F263" s="81"/>
      <x:c r="G263" s="81"/>
      <x:c r="H263" s="81"/>
      <x:c r="I263" s="81"/>
      <x:c r="J263" s="81"/>
      <x:c r="K263" s="81"/>
      <x:c r="L263" s="81"/>
      <x:c r="M263" s="81"/>
      <x:c r="N263" s="81"/>
      <x:c r="O263" s="81"/>
      <x:c r="P263" s="81"/>
      <x:c r="Q263" s="81"/>
      <x:c r="R263" s="81"/>
      <x:c r="S263" s="81"/>
      <x:c r="T263" s="81"/>
      <x:c r="U263" s="81"/>
      <x:c r="V263" s="81"/>
      <x:c r="W263" s="81"/>
      <x:c r="X263" s="81"/>
      <x:c r="Y263" s="81"/>
      <x:c r="Z263" s="81"/>
    </x:row>
    <x:row r="264">
      <x:c r="A264" s="81"/>
      <x:c r="B264" s="81"/>
      <x:c r="C264" s="81"/>
      <x:c r="D264" s="81"/>
      <x:c r="E264" s="81"/>
      <x:c r="F264" s="81"/>
      <x:c r="G264" s="81"/>
      <x:c r="H264" s="81"/>
      <x:c r="I264" s="81"/>
      <x:c r="J264" s="81"/>
      <x:c r="K264" s="81"/>
      <x:c r="L264" s="81"/>
      <x:c r="M264" s="81"/>
      <x:c r="N264" s="81"/>
      <x:c r="O264" s="81"/>
      <x:c r="P264" s="81"/>
      <x:c r="Q264" s="81"/>
      <x:c r="R264" s="81"/>
      <x:c r="S264" s="81"/>
      <x:c r="T264" s="81"/>
      <x:c r="U264" s="81"/>
      <x:c r="V264" s="81"/>
      <x:c r="W264" s="81"/>
      <x:c r="X264" s="81"/>
      <x:c r="Y264" s="81"/>
      <x:c r="Z264" s="81"/>
    </x:row>
    <x:row r="265">
      <x:c r="A265" s="81"/>
      <x:c r="B265" s="81"/>
      <x:c r="C265" s="81"/>
      <x:c r="D265" s="81"/>
      <x:c r="E265" s="81"/>
      <x:c r="F265" s="81"/>
      <x:c r="G265" s="81"/>
      <x:c r="H265" s="81"/>
      <x:c r="I265" s="81"/>
      <x:c r="J265" s="81"/>
      <x:c r="K265" s="81"/>
      <x:c r="L265" s="81"/>
      <x:c r="M265" s="81"/>
      <x:c r="N265" s="81"/>
      <x:c r="O265" s="81"/>
      <x:c r="P265" s="81"/>
      <x:c r="Q265" s="81"/>
      <x:c r="R265" s="81"/>
      <x:c r="S265" s="81"/>
      <x:c r="T265" s="81"/>
      <x:c r="U265" s="81"/>
      <x:c r="V265" s="81"/>
      <x:c r="W265" s="81"/>
      <x:c r="X265" s="81"/>
      <x:c r="Y265" s="81"/>
      <x:c r="Z265" s="81"/>
    </x:row>
    <x:row r="266">
      <x:c r="A266" s="81"/>
      <x:c r="B266" s="81"/>
      <x:c r="C266" s="81"/>
      <x:c r="D266" s="81"/>
      <x:c r="E266" s="81"/>
      <x:c r="F266" s="81"/>
      <x:c r="G266" s="81"/>
      <x:c r="H266" s="81"/>
      <x:c r="I266" s="81"/>
      <x:c r="J266" s="81"/>
      <x:c r="K266" s="81"/>
      <x:c r="L266" s="81"/>
      <x:c r="M266" s="81"/>
      <x:c r="N266" s="81"/>
      <x:c r="O266" s="81"/>
      <x:c r="P266" s="81"/>
      <x:c r="Q266" s="81"/>
      <x:c r="R266" s="81"/>
      <x:c r="S266" s="81"/>
      <x:c r="T266" s="81"/>
      <x:c r="U266" s="81"/>
      <x:c r="V266" s="81"/>
      <x:c r="W266" s="81"/>
      <x:c r="X266" s="81"/>
      <x:c r="Y266" s="81"/>
      <x:c r="Z266" s="81"/>
    </x:row>
    <x:row r="267">
      <x:c r="A267" s="81"/>
      <x:c r="B267" s="81"/>
      <x:c r="C267" s="81"/>
      <x:c r="D267" s="81"/>
      <x:c r="E267" s="81"/>
      <x:c r="F267" s="81"/>
      <x:c r="G267" s="81"/>
      <x:c r="H267" s="81"/>
      <x:c r="I267" s="81"/>
      <x:c r="J267" s="81"/>
      <x:c r="K267" s="81"/>
      <x:c r="L267" s="81"/>
      <x:c r="M267" s="81"/>
      <x:c r="N267" s="81"/>
      <x:c r="O267" s="81"/>
      <x:c r="P267" s="81"/>
      <x:c r="Q267" s="81"/>
      <x:c r="R267" s="81"/>
      <x:c r="S267" s="81"/>
      <x:c r="T267" s="81"/>
      <x:c r="U267" s="81"/>
      <x:c r="V267" s="81"/>
      <x:c r="W267" s="81"/>
      <x:c r="X267" s="81"/>
      <x:c r="Y267" s="81"/>
      <x:c r="Z267" s="81"/>
    </x:row>
    <x:row r="268">
      <x:c r="A268" s="81"/>
      <x:c r="B268" s="81"/>
      <x:c r="C268" s="81"/>
      <x:c r="D268" s="81"/>
      <x:c r="E268" s="81"/>
      <x:c r="F268" s="81"/>
      <x:c r="G268" s="81"/>
      <x:c r="H268" s="81"/>
      <x:c r="I268" s="81"/>
      <x:c r="J268" s="81"/>
      <x:c r="K268" s="81"/>
      <x:c r="L268" s="81"/>
      <x:c r="M268" s="81"/>
      <x:c r="N268" s="81"/>
      <x:c r="O268" s="81"/>
      <x:c r="P268" s="81"/>
      <x:c r="Q268" s="81"/>
      <x:c r="R268" s="81"/>
      <x:c r="S268" s="81"/>
      <x:c r="T268" s="81"/>
      <x:c r="U268" s="81"/>
      <x:c r="V268" s="81"/>
      <x:c r="W268" s="81"/>
      <x:c r="X268" s="81"/>
      <x:c r="Y268" s="81"/>
      <x:c r="Z268" s="81"/>
    </x:row>
    <x:row r="269">
      <x:c r="A269" s="81"/>
      <x:c r="B269" s="81"/>
      <x:c r="C269" s="81"/>
      <x:c r="D269" s="81"/>
      <x:c r="E269" s="81"/>
      <x:c r="F269" s="81"/>
      <x:c r="G269" s="81"/>
      <x:c r="H269" s="81"/>
      <x:c r="I269" s="81"/>
      <x:c r="J269" s="81"/>
      <x:c r="K269" s="81"/>
      <x:c r="L269" s="81"/>
      <x:c r="M269" s="81"/>
      <x:c r="N269" s="81"/>
      <x:c r="O269" s="81"/>
      <x:c r="P269" s="81"/>
      <x:c r="Q269" s="81"/>
      <x:c r="R269" s="81"/>
      <x:c r="S269" s="81"/>
      <x:c r="T269" s="81"/>
      <x:c r="U269" s="81"/>
      <x:c r="V269" s="81"/>
      <x:c r="W269" s="81"/>
      <x:c r="X269" s="81"/>
      <x:c r="Y269" s="81"/>
      <x:c r="Z269" s="81"/>
    </x:row>
    <x:row r="270">
      <x:c r="A270" s="81"/>
      <x:c r="B270" s="81"/>
      <x:c r="C270" s="81"/>
      <x:c r="D270" s="81"/>
      <x:c r="E270" s="81"/>
      <x:c r="F270" s="81"/>
      <x:c r="G270" s="81"/>
      <x:c r="H270" s="81"/>
      <x:c r="I270" s="81"/>
      <x:c r="J270" s="81"/>
      <x:c r="K270" s="81"/>
      <x:c r="L270" s="81"/>
      <x:c r="M270" s="81"/>
      <x:c r="N270" s="81"/>
      <x:c r="O270" s="81"/>
      <x:c r="P270" s="81"/>
      <x:c r="Q270" s="81"/>
      <x:c r="R270" s="81"/>
      <x:c r="S270" s="81"/>
      <x:c r="T270" s="81"/>
      <x:c r="U270" s="81"/>
      <x:c r="V270" s="81"/>
      <x:c r="W270" s="81"/>
      <x:c r="X270" s="81"/>
      <x:c r="Y270" s="81"/>
      <x:c r="Z270" s="81"/>
    </x:row>
    <x:row r="271">
      <x:c r="A271" s="81"/>
      <x:c r="B271" s="81"/>
      <x:c r="C271" s="81"/>
      <x:c r="D271" s="81"/>
      <x:c r="E271" s="81"/>
      <x:c r="F271" s="81"/>
      <x:c r="G271" s="81"/>
      <x:c r="H271" s="81"/>
      <x:c r="I271" s="81"/>
      <x:c r="J271" s="81"/>
      <x:c r="K271" s="81"/>
      <x:c r="L271" s="81"/>
      <x:c r="M271" s="81"/>
      <x:c r="N271" s="81"/>
      <x:c r="O271" s="81"/>
      <x:c r="P271" s="81"/>
      <x:c r="Q271" s="81"/>
      <x:c r="R271" s="81"/>
      <x:c r="S271" s="81"/>
      <x:c r="T271" s="81"/>
      <x:c r="U271" s="81"/>
      <x:c r="V271" s="81"/>
      <x:c r="W271" s="81"/>
      <x:c r="X271" s="81"/>
      <x:c r="Y271" s="81"/>
      <x:c r="Z271" s="81"/>
    </x:row>
    <x:row r="272">
      <x:c r="A272" s="81"/>
      <x:c r="B272" s="81"/>
      <x:c r="C272" s="81"/>
      <x:c r="D272" s="81"/>
      <x:c r="E272" s="81"/>
      <x:c r="F272" s="81"/>
      <x:c r="G272" s="81"/>
      <x:c r="H272" s="81"/>
      <x:c r="I272" s="81"/>
      <x:c r="J272" s="81"/>
      <x:c r="K272" s="81"/>
      <x:c r="L272" s="81"/>
      <x:c r="M272" s="81"/>
      <x:c r="N272" s="81"/>
      <x:c r="O272" s="81"/>
      <x:c r="P272" s="81"/>
      <x:c r="Q272" s="81"/>
      <x:c r="R272" s="81"/>
      <x:c r="S272" s="81"/>
      <x:c r="T272" s="81"/>
      <x:c r="U272" s="81"/>
      <x:c r="V272" s="81"/>
      <x:c r="W272" s="81"/>
      <x:c r="X272" s="81"/>
      <x:c r="Y272" s="81"/>
      <x:c r="Z272" s="81"/>
    </x:row>
    <x:row r="273">
      <x:c r="A273" s="81"/>
      <x:c r="B273" s="81"/>
      <x:c r="C273" s="81"/>
      <x:c r="D273" s="81"/>
      <x:c r="E273" s="81"/>
      <x:c r="F273" s="81"/>
      <x:c r="G273" s="81"/>
      <x:c r="H273" s="81"/>
      <x:c r="I273" s="81"/>
      <x:c r="J273" s="81"/>
      <x:c r="K273" s="81"/>
      <x:c r="L273" s="81"/>
      <x:c r="M273" s="81"/>
      <x:c r="N273" s="81"/>
      <x:c r="O273" s="81"/>
      <x:c r="P273" s="81"/>
      <x:c r="Q273" s="81"/>
      <x:c r="R273" s="81"/>
      <x:c r="S273" s="81"/>
      <x:c r="T273" s="81"/>
      <x:c r="U273" s="81"/>
      <x:c r="V273" s="81"/>
      <x:c r="W273" s="81"/>
      <x:c r="X273" s="81"/>
      <x:c r="Y273" s="81"/>
      <x:c r="Z273" s="81"/>
    </x:row>
    <x:row r="274">
      <x:c r="A274" s="81"/>
      <x:c r="B274" s="81"/>
      <x:c r="C274" s="81"/>
      <x:c r="D274" s="81"/>
      <x:c r="E274" s="81"/>
      <x:c r="F274" s="81"/>
      <x:c r="G274" s="81"/>
      <x:c r="H274" s="81"/>
      <x:c r="I274" s="81"/>
      <x:c r="J274" s="81"/>
      <x:c r="K274" s="81"/>
      <x:c r="L274" s="81"/>
      <x:c r="M274" s="81"/>
      <x:c r="N274" s="81"/>
      <x:c r="O274" s="81"/>
      <x:c r="P274" s="81"/>
      <x:c r="Q274" s="81"/>
      <x:c r="R274" s="81"/>
      <x:c r="S274" s="81"/>
      <x:c r="T274" s="81"/>
      <x:c r="U274" s="81"/>
      <x:c r="V274" s="81"/>
      <x:c r="W274" s="81"/>
      <x:c r="X274" s="81"/>
      <x:c r="Y274" s="81"/>
      <x:c r="Z274" s="81"/>
    </x:row>
    <x:row r="275">
      <x:c r="A275" s="81"/>
      <x:c r="B275" s="81"/>
      <x:c r="C275" s="81"/>
      <x:c r="D275" s="81"/>
      <x:c r="E275" s="81"/>
      <x:c r="F275" s="81"/>
      <x:c r="G275" s="81"/>
      <x:c r="H275" s="81"/>
      <x:c r="I275" s="81"/>
      <x:c r="J275" s="81"/>
      <x:c r="K275" s="81"/>
      <x:c r="L275" s="81"/>
      <x:c r="M275" s="81"/>
      <x:c r="N275" s="81"/>
      <x:c r="O275" s="81"/>
      <x:c r="P275" s="81"/>
      <x:c r="Q275" s="81"/>
      <x:c r="R275" s="81"/>
      <x:c r="S275" s="81"/>
      <x:c r="T275" s="81"/>
      <x:c r="U275" s="81"/>
      <x:c r="V275" s="81"/>
      <x:c r="W275" s="81"/>
      <x:c r="X275" s="81"/>
      <x:c r="Y275" s="81"/>
      <x:c r="Z275" s="81"/>
    </x:row>
    <x:row r="276">
      <x:c r="A276" s="81"/>
      <x:c r="B276" s="81"/>
      <x:c r="C276" s="81"/>
      <x:c r="D276" s="81"/>
      <x:c r="E276" s="81"/>
      <x:c r="F276" s="81"/>
      <x:c r="G276" s="81"/>
      <x:c r="H276" s="81"/>
      <x:c r="I276" s="81"/>
      <x:c r="J276" s="81"/>
      <x:c r="K276" s="81"/>
      <x:c r="L276" s="81"/>
      <x:c r="M276" s="81"/>
      <x:c r="N276" s="81"/>
      <x:c r="O276" s="81"/>
      <x:c r="P276" s="81"/>
      <x:c r="Q276" s="81"/>
      <x:c r="R276" s="81"/>
      <x:c r="S276" s="81"/>
      <x:c r="T276" s="81"/>
      <x:c r="U276" s="81"/>
      <x:c r="V276" s="81"/>
      <x:c r="W276" s="81"/>
      <x:c r="X276" s="81"/>
      <x:c r="Y276" s="81"/>
      <x:c r="Z276" s="81"/>
    </x:row>
    <x:row r="277">
      <x:c r="A277" s="81"/>
      <x:c r="B277" s="81"/>
      <x:c r="C277" s="81"/>
      <x:c r="D277" s="81"/>
      <x:c r="E277" s="81"/>
      <x:c r="F277" s="81"/>
      <x:c r="G277" s="81"/>
      <x:c r="H277" s="81"/>
      <x:c r="I277" s="81"/>
      <x:c r="J277" s="81"/>
      <x:c r="K277" s="81"/>
      <x:c r="L277" s="81"/>
      <x:c r="M277" s="81"/>
      <x:c r="N277" s="81"/>
      <x:c r="O277" s="81"/>
      <x:c r="P277" s="81"/>
      <x:c r="Q277" s="81"/>
      <x:c r="R277" s="81"/>
      <x:c r="S277" s="81"/>
      <x:c r="T277" s="81"/>
      <x:c r="U277" s="81"/>
      <x:c r="V277" s="81"/>
      <x:c r="W277" s="81"/>
      <x:c r="X277" s="81"/>
      <x:c r="Y277" s="81"/>
      <x:c r="Z277" s="81"/>
    </x:row>
    <x:row r="278">
      <x:c r="A278" s="81"/>
      <x:c r="B278" s="81"/>
      <x:c r="C278" s="81"/>
      <x:c r="D278" s="81"/>
      <x:c r="E278" s="81"/>
      <x:c r="F278" s="81"/>
      <x:c r="G278" s="81"/>
      <x:c r="H278" s="81"/>
      <x:c r="I278" s="81"/>
      <x:c r="J278" s="81"/>
      <x:c r="K278" s="81"/>
      <x:c r="L278" s="81"/>
      <x:c r="M278" s="81"/>
      <x:c r="N278" s="81"/>
      <x:c r="O278" s="81"/>
      <x:c r="P278" s="81"/>
      <x:c r="Q278" s="81"/>
      <x:c r="R278" s="81"/>
      <x:c r="S278" s="81"/>
      <x:c r="T278" s="81"/>
      <x:c r="U278" s="81"/>
      <x:c r="V278" s="81"/>
      <x:c r="W278" s="81"/>
      <x:c r="X278" s="81"/>
      <x:c r="Y278" s="81"/>
      <x:c r="Z278" s="81"/>
    </x:row>
    <x:row r="279">
      <x:c r="A279" s="81"/>
      <x:c r="B279" s="81"/>
      <x:c r="C279" s="81"/>
      <x:c r="D279" s="81"/>
      <x:c r="E279" s="81"/>
      <x:c r="F279" s="81"/>
      <x:c r="G279" s="81"/>
      <x:c r="H279" s="81"/>
      <x:c r="I279" s="81"/>
      <x:c r="J279" s="81"/>
      <x:c r="K279" s="81"/>
      <x:c r="L279" s="81"/>
      <x:c r="M279" s="81"/>
      <x:c r="N279" s="81"/>
      <x:c r="O279" s="81"/>
      <x:c r="P279" s="81"/>
      <x:c r="Q279" s="81"/>
      <x:c r="R279" s="81"/>
      <x:c r="S279" s="81"/>
      <x:c r="T279" s="81"/>
      <x:c r="U279" s="81"/>
      <x:c r="V279" s="81"/>
      <x:c r="W279" s="81"/>
      <x:c r="X279" s="81"/>
      <x:c r="Y279" s="81"/>
      <x:c r="Z279" s="81"/>
    </x:row>
    <x:row r="280">
      <x:c r="A280" s="81"/>
      <x:c r="B280" s="81"/>
      <x:c r="C280" s="81"/>
      <x:c r="D280" s="81"/>
      <x:c r="E280" s="81"/>
      <x:c r="F280" s="81"/>
      <x:c r="G280" s="81"/>
      <x:c r="H280" s="81"/>
      <x:c r="I280" s="81"/>
      <x:c r="J280" s="81"/>
      <x:c r="K280" s="81"/>
      <x:c r="L280" s="81"/>
      <x:c r="M280" s="81"/>
      <x:c r="N280" s="81"/>
      <x:c r="O280" s="81"/>
      <x:c r="P280" s="81"/>
      <x:c r="Q280" s="81"/>
      <x:c r="R280" s="81"/>
      <x:c r="S280" s="81"/>
      <x:c r="T280" s="81"/>
      <x:c r="U280" s="81"/>
      <x:c r="V280" s="81"/>
      <x:c r="W280" s="81"/>
      <x:c r="X280" s="81"/>
      <x:c r="Y280" s="81"/>
      <x:c r="Z280" s="81"/>
    </x:row>
    <x:row r="281">
      <x:c r="A281" s="81"/>
      <x:c r="B281" s="81"/>
      <x:c r="C281" s="81"/>
      <x:c r="D281" s="81"/>
      <x:c r="E281" s="81"/>
      <x:c r="F281" s="81"/>
      <x:c r="G281" s="81"/>
      <x:c r="H281" s="81"/>
      <x:c r="I281" s="81"/>
      <x:c r="J281" s="81"/>
      <x:c r="K281" s="81"/>
      <x:c r="L281" s="81"/>
      <x:c r="M281" s="81"/>
      <x:c r="N281" s="81"/>
      <x:c r="O281" s="81"/>
      <x:c r="P281" s="81"/>
      <x:c r="Q281" s="81"/>
      <x:c r="R281" s="81"/>
      <x:c r="S281" s="81"/>
      <x:c r="T281" s="81"/>
      <x:c r="U281" s="81"/>
      <x:c r="V281" s="81"/>
      <x:c r="W281" s="81"/>
      <x:c r="X281" s="81"/>
      <x:c r="Y281" s="81"/>
      <x:c r="Z281" s="81"/>
    </x:row>
    <x:row r="282">
      <x:c r="A282" s="81"/>
      <x:c r="B282" s="81"/>
      <x:c r="C282" s="81"/>
      <x:c r="D282" s="81"/>
      <x:c r="E282" s="81"/>
      <x:c r="F282" s="81"/>
      <x:c r="G282" s="81"/>
      <x:c r="H282" s="81"/>
      <x:c r="I282" s="81"/>
      <x:c r="J282" s="81"/>
      <x:c r="K282" s="81"/>
      <x:c r="L282" s="81"/>
      <x:c r="M282" s="81"/>
      <x:c r="N282" s="81"/>
      <x:c r="O282" s="81"/>
      <x:c r="P282" s="81"/>
      <x:c r="Q282" s="81"/>
      <x:c r="R282" s="81"/>
      <x:c r="S282" s="81"/>
      <x:c r="T282" s="81"/>
      <x:c r="U282" s="81"/>
      <x:c r="V282" s="81"/>
      <x:c r="W282" s="81"/>
      <x:c r="X282" s="81"/>
      <x:c r="Y282" s="81"/>
      <x:c r="Z282" s="81"/>
    </x:row>
    <x:row r="283">
      <x:c r="A283" s="81"/>
      <x:c r="B283" s="81"/>
      <x:c r="C283" s="81"/>
      <x:c r="D283" s="81"/>
      <x:c r="E283" s="81"/>
      <x:c r="F283" s="81"/>
      <x:c r="G283" s="81"/>
      <x:c r="H283" s="81"/>
      <x:c r="I283" s="81"/>
      <x:c r="J283" s="81"/>
      <x:c r="K283" s="81"/>
      <x:c r="L283" s="81"/>
      <x:c r="M283" s="81"/>
      <x:c r="N283" s="81"/>
      <x:c r="O283" s="81"/>
      <x:c r="P283" s="81"/>
      <x:c r="Q283" s="81"/>
      <x:c r="R283" s="81"/>
      <x:c r="S283" s="81"/>
      <x:c r="T283" s="81"/>
      <x:c r="U283" s="81"/>
      <x:c r="V283" s="81"/>
      <x:c r="W283" s="81"/>
      <x:c r="X283" s="81"/>
      <x:c r="Y283" s="81"/>
      <x:c r="Z283" s="81"/>
    </x:row>
    <x:row r="284">
      <x:c r="A284" s="81"/>
      <x:c r="B284" s="81"/>
      <x:c r="C284" s="81"/>
      <x:c r="D284" s="81"/>
      <x:c r="E284" s="81"/>
      <x:c r="F284" s="81"/>
      <x:c r="G284" s="81"/>
      <x:c r="H284" s="81"/>
      <x:c r="I284" s="81"/>
      <x:c r="J284" s="81"/>
      <x:c r="K284" s="81"/>
      <x:c r="L284" s="81"/>
      <x:c r="M284" s="81"/>
      <x:c r="N284" s="81"/>
      <x:c r="O284" s="81"/>
      <x:c r="P284" s="81"/>
      <x:c r="Q284" s="81"/>
      <x:c r="R284" s="81"/>
      <x:c r="S284" s="81"/>
      <x:c r="T284" s="81"/>
      <x:c r="U284" s="81"/>
      <x:c r="V284" s="81"/>
      <x:c r="W284" s="81"/>
      <x:c r="X284" s="81"/>
      <x:c r="Y284" s="81"/>
      <x:c r="Z284" s="81"/>
    </x:row>
    <x:row r="285">
      <x:c r="A285" s="81"/>
      <x:c r="B285" s="81"/>
      <x:c r="C285" s="81"/>
      <x:c r="D285" s="81"/>
      <x:c r="E285" s="81"/>
      <x:c r="F285" s="81"/>
      <x:c r="G285" s="81"/>
      <x:c r="H285" s="81"/>
      <x:c r="I285" s="81"/>
      <x:c r="J285" s="81"/>
      <x:c r="K285" s="81"/>
      <x:c r="L285" s="81"/>
      <x:c r="M285" s="81"/>
      <x:c r="N285" s="81"/>
      <x:c r="O285" s="81"/>
      <x:c r="P285" s="81"/>
      <x:c r="Q285" s="81"/>
      <x:c r="R285" s="81"/>
      <x:c r="S285" s="81"/>
      <x:c r="T285" s="81"/>
      <x:c r="U285" s="81"/>
      <x:c r="V285" s="81"/>
      <x:c r="W285" s="81"/>
      <x:c r="X285" s="81"/>
      <x:c r="Y285" s="81"/>
      <x:c r="Z285" s="81"/>
    </x:row>
    <x:row r="286">
      <x:c r="A286" s="81"/>
      <x:c r="B286" s="81"/>
      <x:c r="C286" s="81"/>
      <x:c r="D286" s="81"/>
      <x:c r="E286" s="81"/>
      <x:c r="F286" s="81"/>
      <x:c r="G286" s="81"/>
      <x:c r="H286" s="81"/>
      <x:c r="I286" s="81"/>
      <x:c r="J286" s="81"/>
      <x:c r="K286" s="81"/>
      <x:c r="L286" s="81"/>
      <x:c r="M286" s="81"/>
      <x:c r="N286" s="81"/>
      <x:c r="O286" s="81"/>
      <x:c r="P286" s="81"/>
      <x:c r="Q286" s="81"/>
      <x:c r="R286" s="81"/>
      <x:c r="S286" s="81"/>
      <x:c r="T286" s="81"/>
      <x:c r="U286" s="81"/>
      <x:c r="V286" s="81"/>
      <x:c r="W286" s="81"/>
      <x:c r="X286" s="81"/>
      <x:c r="Y286" s="81"/>
      <x:c r="Z286" s="81"/>
    </x:row>
    <x:row r="287">
      <x:c r="A287" s="81"/>
      <x:c r="B287" s="81"/>
      <x:c r="C287" s="81"/>
      <x:c r="D287" s="81"/>
      <x:c r="E287" s="81"/>
      <x:c r="F287" s="81"/>
      <x:c r="G287" s="81"/>
      <x:c r="H287" s="81"/>
      <x:c r="I287" s="81"/>
      <x:c r="J287" s="81"/>
      <x:c r="K287" s="81"/>
      <x:c r="L287" s="81"/>
      <x:c r="M287" s="81"/>
      <x:c r="N287" s="81"/>
      <x:c r="O287" s="81"/>
      <x:c r="P287" s="81"/>
      <x:c r="Q287" s="81"/>
      <x:c r="R287" s="81"/>
      <x:c r="S287" s="81"/>
      <x:c r="T287" s="81"/>
      <x:c r="U287" s="81"/>
      <x:c r="V287" s="81"/>
      <x:c r="W287" s="81"/>
      <x:c r="X287" s="81"/>
      <x:c r="Y287" s="81"/>
      <x:c r="Z287" s="81"/>
    </x:row>
    <x:row r="288">
      <x:c r="A288" s="81"/>
      <x:c r="B288" s="81"/>
      <x:c r="C288" s="81"/>
      <x:c r="D288" s="81"/>
      <x:c r="E288" s="81"/>
      <x:c r="F288" s="81"/>
      <x:c r="G288" s="81"/>
      <x:c r="H288" s="81"/>
      <x:c r="I288" s="81"/>
      <x:c r="J288" s="81"/>
      <x:c r="K288" s="81"/>
      <x:c r="L288" s="81"/>
      <x:c r="M288" s="81"/>
      <x:c r="N288" s="81"/>
      <x:c r="O288" s="81"/>
      <x:c r="P288" s="81"/>
      <x:c r="Q288" s="81"/>
      <x:c r="R288" s="81"/>
      <x:c r="S288" s="81"/>
      <x:c r="T288" s="81"/>
      <x:c r="U288" s="81"/>
      <x:c r="V288" s="81"/>
      <x:c r="W288" s="81"/>
      <x:c r="X288" s="81"/>
      <x:c r="Y288" s="81"/>
      <x:c r="Z288" s="81"/>
    </x:row>
    <x:row r="289">
      <x:c r="A289" s="81"/>
      <x:c r="B289" s="81"/>
      <x:c r="C289" s="81"/>
      <x:c r="D289" s="81"/>
      <x:c r="E289" s="81"/>
      <x:c r="F289" s="81"/>
      <x:c r="G289" s="81"/>
      <x:c r="H289" s="81"/>
      <x:c r="I289" s="81"/>
      <x:c r="J289" s="81"/>
      <x:c r="K289" s="81"/>
      <x:c r="L289" s="81"/>
      <x:c r="M289" s="81"/>
      <x:c r="N289" s="81"/>
      <x:c r="O289" s="81"/>
      <x:c r="P289" s="81"/>
      <x:c r="Q289" s="81"/>
      <x:c r="R289" s="81"/>
      <x:c r="S289" s="81"/>
      <x:c r="T289" s="81"/>
      <x:c r="U289" s="81"/>
      <x:c r="V289" s="81"/>
      <x:c r="W289" s="81"/>
      <x:c r="X289" s="81"/>
      <x:c r="Y289" s="81"/>
      <x:c r="Z289" s="81"/>
    </x:row>
    <x:row r="290">
      <x:c r="A290" s="81"/>
      <x:c r="B290" s="81"/>
      <x:c r="C290" s="81"/>
      <x:c r="D290" s="81"/>
      <x:c r="E290" s="81"/>
      <x:c r="F290" s="81"/>
      <x:c r="G290" s="81"/>
      <x:c r="H290" s="81"/>
      <x:c r="I290" s="81"/>
      <x:c r="J290" s="81"/>
      <x:c r="K290" s="81"/>
      <x:c r="L290" s="81"/>
      <x:c r="M290" s="81"/>
      <x:c r="N290" s="81"/>
      <x:c r="O290" s="81"/>
      <x:c r="P290" s="81"/>
      <x:c r="Q290" s="81"/>
      <x:c r="R290" s="81"/>
      <x:c r="S290" s="81"/>
      <x:c r="T290" s="81"/>
      <x:c r="U290" s="81"/>
      <x:c r="V290" s="81"/>
      <x:c r="W290" s="81"/>
      <x:c r="X290" s="81"/>
      <x:c r="Y290" s="81"/>
      <x:c r="Z290" s="81"/>
    </x:row>
    <x:row r="291">
      <x:c r="A291" s="81"/>
      <x:c r="B291" s="81"/>
      <x:c r="C291" s="81"/>
      <x:c r="D291" s="81"/>
      <x:c r="E291" s="81"/>
      <x:c r="F291" s="81"/>
      <x:c r="G291" s="81"/>
      <x:c r="H291" s="81"/>
      <x:c r="I291" s="81"/>
      <x:c r="J291" s="81"/>
      <x:c r="K291" s="81"/>
      <x:c r="L291" s="81"/>
      <x:c r="M291" s="81"/>
      <x:c r="N291" s="81"/>
      <x:c r="O291" s="81"/>
      <x:c r="P291" s="81"/>
      <x:c r="Q291" s="81"/>
      <x:c r="R291" s="81"/>
      <x:c r="S291" s="81"/>
      <x:c r="T291" s="81"/>
      <x:c r="U291" s="81"/>
      <x:c r="V291" s="81"/>
      <x:c r="W291" s="81"/>
      <x:c r="X291" s="81"/>
      <x:c r="Y291" s="81"/>
      <x:c r="Z291" s="81"/>
    </x:row>
    <x:row r="292">
      <x:c r="A292" s="81"/>
      <x:c r="B292" s="81"/>
      <x:c r="C292" s="81"/>
      <x:c r="D292" s="81"/>
      <x:c r="E292" s="81"/>
      <x:c r="F292" s="81"/>
      <x:c r="G292" s="81"/>
      <x:c r="H292" s="81"/>
      <x:c r="I292" s="81"/>
      <x:c r="J292" s="81"/>
      <x:c r="K292" s="81"/>
      <x:c r="L292" s="81"/>
      <x:c r="M292" s="81"/>
      <x:c r="N292" s="81"/>
      <x:c r="O292" s="81"/>
      <x:c r="P292" s="81"/>
      <x:c r="Q292" s="81"/>
      <x:c r="R292" s="81"/>
      <x:c r="S292" s="81"/>
      <x:c r="T292" s="81"/>
      <x:c r="U292" s="81"/>
      <x:c r="V292" s="81"/>
      <x:c r="W292" s="81"/>
      <x:c r="X292" s="81"/>
      <x:c r="Y292" s="81"/>
      <x:c r="Z292" s="81"/>
    </x:row>
    <x:row r="293">
      <x:c r="A293" s="81"/>
      <x:c r="B293" s="81"/>
      <x:c r="C293" s="81"/>
      <x:c r="D293" s="81"/>
      <x:c r="E293" s="81"/>
      <x:c r="F293" s="81"/>
      <x:c r="G293" s="81"/>
      <x:c r="H293" s="81"/>
      <x:c r="I293" s="81"/>
      <x:c r="J293" s="81"/>
      <x:c r="K293" s="81"/>
      <x:c r="L293" s="81"/>
      <x:c r="M293" s="81"/>
      <x:c r="N293" s="81"/>
      <x:c r="O293" s="81"/>
      <x:c r="P293" s="81"/>
      <x:c r="Q293" s="81"/>
      <x:c r="R293" s="81"/>
      <x:c r="S293" s="81"/>
      <x:c r="T293" s="81"/>
      <x:c r="U293" s="81"/>
      <x:c r="V293" s="81"/>
      <x:c r="W293" s="81"/>
      <x:c r="X293" s="81"/>
      <x:c r="Y293" s="81"/>
      <x:c r="Z293" s="81"/>
    </x:row>
    <x:row r="294">
      <x:c r="A294" s="81"/>
      <x:c r="B294" s="81"/>
      <x:c r="C294" s="81"/>
      <x:c r="D294" s="81"/>
      <x:c r="E294" s="81"/>
      <x:c r="F294" s="81"/>
      <x:c r="G294" s="81"/>
      <x:c r="H294" s="81"/>
      <x:c r="I294" s="81"/>
      <x:c r="J294" s="81"/>
      <x:c r="K294" s="81"/>
      <x:c r="L294" s="81"/>
      <x:c r="M294" s="81"/>
      <x:c r="N294" s="81"/>
      <x:c r="O294" s="81"/>
      <x:c r="P294" s="81"/>
      <x:c r="Q294" s="81"/>
      <x:c r="R294" s="81"/>
      <x:c r="S294" s="81"/>
      <x:c r="T294" s="81"/>
      <x:c r="U294" s="81"/>
      <x:c r="V294" s="81"/>
      <x:c r="W294" s="81"/>
      <x:c r="X294" s="81"/>
      <x:c r="Y294" s="81"/>
      <x:c r="Z294" s="81"/>
    </x:row>
    <x:row r="295">
      <x:c r="A295" s="81"/>
      <x:c r="B295" s="81"/>
      <x:c r="C295" s="81"/>
      <x:c r="D295" s="81"/>
      <x:c r="E295" s="81"/>
      <x:c r="F295" s="81"/>
      <x:c r="G295" s="81"/>
      <x:c r="H295" s="81"/>
      <x:c r="I295" s="81"/>
      <x:c r="J295" s="81"/>
      <x:c r="K295" s="81"/>
      <x:c r="L295" s="81"/>
      <x:c r="M295" s="81"/>
      <x:c r="N295" s="81"/>
      <x:c r="O295" s="81"/>
      <x:c r="P295" s="81"/>
      <x:c r="Q295" s="81"/>
      <x:c r="R295" s="81"/>
      <x:c r="S295" s="81"/>
      <x:c r="T295" s="81"/>
      <x:c r="U295" s="81"/>
      <x:c r="V295" s="81"/>
      <x:c r="W295" s="81"/>
      <x:c r="X295" s="81"/>
      <x:c r="Y295" s="81"/>
      <x:c r="Z295" s="81"/>
    </x:row>
    <x:row r="296">
      <x:c r="A296" s="81"/>
      <x:c r="B296" s="81"/>
      <x:c r="C296" s="81"/>
      <x:c r="D296" s="81"/>
      <x:c r="E296" s="81"/>
      <x:c r="F296" s="81"/>
      <x:c r="G296" s="81"/>
      <x:c r="H296" s="81"/>
      <x:c r="I296" s="81"/>
      <x:c r="J296" s="81"/>
      <x:c r="K296" s="81"/>
      <x:c r="L296" s="81"/>
      <x:c r="M296" s="81"/>
      <x:c r="N296" s="81"/>
      <x:c r="O296" s="81"/>
      <x:c r="P296" s="81"/>
      <x:c r="Q296" s="81"/>
      <x:c r="R296" s="81"/>
      <x:c r="S296" s="81"/>
      <x:c r="T296" s="81"/>
      <x:c r="U296" s="81"/>
      <x:c r="V296" s="81"/>
      <x:c r="W296" s="81"/>
      <x:c r="X296" s="81"/>
      <x:c r="Y296" s="81"/>
      <x:c r="Z296" s="81"/>
    </x:row>
    <x:row r="297">
      <x:c r="A297" s="81"/>
      <x:c r="B297" s="81"/>
      <x:c r="C297" s="81"/>
      <x:c r="D297" s="81"/>
      <x:c r="E297" s="81"/>
      <x:c r="F297" s="81"/>
      <x:c r="G297" s="81"/>
      <x:c r="H297" s="81"/>
      <x:c r="I297" s="81"/>
      <x:c r="J297" s="81"/>
      <x:c r="K297" s="81"/>
      <x:c r="L297" s="81"/>
      <x:c r="M297" s="81"/>
      <x:c r="N297" s="81"/>
      <x:c r="O297" s="81"/>
      <x:c r="P297" s="81"/>
      <x:c r="Q297" s="81"/>
      <x:c r="R297" s="81"/>
      <x:c r="S297" s="81"/>
      <x:c r="T297" s="81"/>
      <x:c r="U297" s="81"/>
      <x:c r="V297" s="81"/>
      <x:c r="W297" s="81"/>
      <x:c r="X297" s="81"/>
      <x:c r="Y297" s="81"/>
      <x:c r="Z297" s="81"/>
    </x:row>
    <x:row r="298">
      <x:c r="A298" s="81"/>
      <x:c r="B298" s="81"/>
      <x:c r="C298" s="81"/>
      <x:c r="D298" s="81"/>
      <x:c r="E298" s="81"/>
      <x:c r="F298" s="81"/>
      <x:c r="G298" s="81"/>
      <x:c r="H298" s="81"/>
      <x:c r="I298" s="81"/>
      <x:c r="J298" s="81"/>
      <x:c r="K298" s="81"/>
      <x:c r="L298" s="81"/>
      <x:c r="M298" s="81"/>
      <x:c r="N298" s="81"/>
      <x:c r="O298" s="81"/>
      <x:c r="P298" s="81"/>
      <x:c r="Q298" s="81"/>
      <x:c r="R298" s="81"/>
      <x:c r="S298" s="81"/>
      <x:c r="T298" s="81"/>
      <x:c r="U298" s="81"/>
      <x:c r="V298" s="81"/>
      <x:c r="W298" s="81"/>
      <x:c r="X298" s="81"/>
      <x:c r="Y298" s="81"/>
      <x:c r="Z298" s="81"/>
    </x:row>
    <x:row r="299">
      <x:c r="A299" s="81"/>
      <x:c r="B299" s="81"/>
      <x:c r="C299" s="81"/>
      <x:c r="D299" s="81"/>
      <x:c r="E299" s="81"/>
      <x:c r="F299" s="81"/>
      <x:c r="G299" s="81"/>
      <x:c r="H299" s="81"/>
      <x:c r="I299" s="81"/>
      <x:c r="J299" s="81"/>
      <x:c r="K299" s="81"/>
      <x:c r="L299" s="81"/>
      <x:c r="M299" s="81"/>
      <x:c r="N299" s="81"/>
      <x:c r="O299" s="81"/>
      <x:c r="P299" s="81"/>
      <x:c r="Q299" s="81"/>
      <x:c r="R299" s="81"/>
      <x:c r="S299" s="81"/>
      <x:c r="T299" s="81"/>
      <x:c r="U299" s="81"/>
      <x:c r="V299" s="81"/>
      <x:c r="W299" s="81"/>
      <x:c r="X299" s="81"/>
      <x:c r="Y299" s="81"/>
      <x:c r="Z299" s="81"/>
    </x:row>
    <x:row r="300">
      <x:c r="A300" s="81"/>
      <x:c r="B300" s="81"/>
      <x:c r="C300" s="81"/>
      <x:c r="D300" s="81"/>
      <x:c r="E300" s="81"/>
      <x:c r="F300" s="81"/>
      <x:c r="G300" s="81"/>
      <x:c r="H300" s="81"/>
      <x:c r="I300" s="81"/>
      <x:c r="J300" s="81"/>
      <x:c r="K300" s="81"/>
      <x:c r="L300" s="81"/>
      <x:c r="M300" s="81"/>
      <x:c r="N300" s="81"/>
      <x:c r="O300" s="81"/>
      <x:c r="P300" s="81"/>
      <x:c r="Q300" s="81"/>
      <x:c r="R300" s="81"/>
      <x:c r="S300" s="81"/>
      <x:c r="T300" s="81"/>
      <x:c r="U300" s="81"/>
      <x:c r="V300" s="81"/>
      <x:c r="W300" s="81"/>
      <x:c r="X300" s="81"/>
      <x:c r="Y300" s="81"/>
      <x:c r="Z300" s="81"/>
    </x:row>
    <x:row r="301">
      <x:c r="A301" s="81"/>
      <x:c r="B301" s="81"/>
      <x:c r="C301" s="81"/>
      <x:c r="D301" s="81"/>
      <x:c r="E301" s="81"/>
      <x:c r="F301" s="81"/>
      <x:c r="G301" s="81"/>
      <x:c r="H301" s="81"/>
      <x:c r="I301" s="81"/>
      <x:c r="J301" s="81"/>
      <x:c r="K301" s="81"/>
      <x:c r="L301" s="81"/>
      <x:c r="M301" s="81"/>
      <x:c r="N301" s="81"/>
      <x:c r="O301" s="81"/>
      <x:c r="P301" s="81"/>
      <x:c r="Q301" s="81"/>
      <x:c r="R301" s="81"/>
      <x:c r="S301" s="81"/>
      <x:c r="T301" s="81"/>
      <x:c r="U301" s="81"/>
      <x:c r="V301" s="81"/>
      <x:c r="W301" s="81"/>
      <x:c r="X301" s="81"/>
      <x:c r="Y301" s="81"/>
      <x:c r="Z301" s="81"/>
    </x:row>
    <x:row r="302">
      <x:c r="A302" s="81"/>
      <x:c r="B302" s="81"/>
      <x:c r="C302" s="81"/>
      <x:c r="D302" s="81"/>
      <x:c r="E302" s="81"/>
      <x:c r="F302" s="81"/>
      <x:c r="G302" s="81"/>
      <x:c r="H302" s="81"/>
      <x:c r="I302" s="81"/>
      <x:c r="J302" s="81"/>
      <x:c r="K302" s="81"/>
      <x:c r="L302" s="81"/>
      <x:c r="M302" s="81"/>
      <x:c r="N302" s="81"/>
      <x:c r="O302" s="81"/>
      <x:c r="P302" s="81"/>
      <x:c r="Q302" s="81"/>
      <x:c r="R302" s="81"/>
      <x:c r="S302" s="81"/>
      <x:c r="T302" s="81"/>
      <x:c r="U302" s="81"/>
      <x:c r="V302" s="81"/>
      <x:c r="W302" s="81"/>
      <x:c r="X302" s="81"/>
      <x:c r="Y302" s="81"/>
      <x:c r="Z302" s="81"/>
    </x:row>
    <x:row r="303">
      <x:c r="A303" s="81"/>
      <x:c r="B303" s="81"/>
      <x:c r="C303" s="81"/>
      <x:c r="D303" s="81"/>
      <x:c r="E303" s="81"/>
      <x:c r="F303" s="81"/>
      <x:c r="G303" s="81"/>
      <x:c r="H303" s="81"/>
      <x:c r="I303" s="81"/>
      <x:c r="J303" s="81"/>
      <x:c r="K303" s="81"/>
      <x:c r="L303" s="81"/>
      <x:c r="M303" s="81"/>
      <x:c r="N303" s="81"/>
      <x:c r="O303" s="81"/>
      <x:c r="P303" s="81"/>
      <x:c r="Q303" s="81"/>
      <x:c r="R303" s="81"/>
      <x:c r="S303" s="81"/>
      <x:c r="T303" s="81"/>
      <x:c r="U303" s="81"/>
      <x:c r="V303" s="81"/>
      <x:c r="W303" s="81"/>
      <x:c r="X303" s="81"/>
      <x:c r="Y303" s="81"/>
      <x:c r="Z303" s="81"/>
    </x:row>
    <x:row r="304">
      <x:c r="A304" s="81"/>
      <x:c r="B304" s="81"/>
      <x:c r="C304" s="81"/>
      <x:c r="D304" s="81"/>
      <x:c r="E304" s="81"/>
      <x:c r="F304" s="81"/>
      <x:c r="G304" s="81"/>
      <x:c r="H304" s="81"/>
      <x:c r="I304" s="81"/>
      <x:c r="J304" s="81"/>
      <x:c r="K304" s="81"/>
      <x:c r="L304" s="81"/>
      <x:c r="M304" s="81"/>
      <x:c r="N304" s="81"/>
      <x:c r="O304" s="81"/>
      <x:c r="P304" s="81"/>
      <x:c r="Q304" s="81"/>
      <x:c r="R304" s="81"/>
      <x:c r="S304" s="81"/>
      <x:c r="T304" s="81"/>
      <x:c r="U304" s="81"/>
      <x:c r="V304" s="81"/>
      <x:c r="W304" s="81"/>
      <x:c r="X304" s="81"/>
      <x:c r="Y304" s="81"/>
      <x:c r="Z304" s="81"/>
    </x:row>
    <x:row r="305">
      <x:c r="A305" s="81"/>
      <x:c r="B305" s="81"/>
      <x:c r="C305" s="81"/>
      <x:c r="D305" s="81"/>
      <x:c r="E305" s="81"/>
      <x:c r="F305" s="81"/>
      <x:c r="G305" s="81"/>
      <x:c r="H305" s="81"/>
      <x:c r="I305" s="81"/>
      <x:c r="J305" s="81"/>
      <x:c r="K305" s="81"/>
      <x:c r="L305" s="81"/>
      <x:c r="M305" s="81"/>
      <x:c r="N305" s="81"/>
      <x:c r="O305" s="81"/>
      <x:c r="P305" s="81"/>
      <x:c r="Q305" s="81"/>
      <x:c r="R305" s="81"/>
      <x:c r="S305" s="81"/>
      <x:c r="T305" s="81"/>
      <x:c r="U305" s="81"/>
      <x:c r="V305" s="81"/>
      <x:c r="W305" s="81"/>
      <x:c r="X305" s="81"/>
      <x:c r="Y305" s="81"/>
      <x:c r="Z305" s="81"/>
    </x:row>
    <x:row r="306">
      <x:c r="A306" s="81"/>
      <x:c r="B306" s="81"/>
      <x:c r="C306" s="81"/>
      <x:c r="D306" s="81"/>
      <x:c r="E306" s="81"/>
      <x:c r="F306" s="81"/>
      <x:c r="G306" s="81"/>
      <x:c r="H306" s="81"/>
      <x:c r="I306" s="81"/>
      <x:c r="J306" s="81"/>
      <x:c r="K306" s="81"/>
      <x:c r="L306" s="81"/>
      <x:c r="M306" s="81"/>
      <x:c r="N306" s="81"/>
      <x:c r="O306" s="81"/>
      <x:c r="P306" s="81"/>
      <x:c r="Q306" s="81"/>
      <x:c r="R306" s="81"/>
      <x:c r="S306" s="81"/>
      <x:c r="T306" s="81"/>
      <x:c r="U306" s="81"/>
      <x:c r="V306" s="81"/>
      <x:c r="W306" s="81"/>
      <x:c r="X306" s="81"/>
      <x:c r="Y306" s="81"/>
      <x:c r="Z306" s="81"/>
    </x:row>
    <x:row r="307">
      <x:c r="A307" s="81"/>
      <x:c r="B307" s="81"/>
      <x:c r="C307" s="81"/>
      <x:c r="D307" s="81"/>
      <x:c r="E307" s="81"/>
      <x:c r="F307" s="81"/>
      <x:c r="G307" s="81"/>
      <x:c r="H307" s="81"/>
      <x:c r="I307" s="81"/>
      <x:c r="J307" s="81"/>
      <x:c r="K307" s="81"/>
      <x:c r="L307" s="81"/>
      <x:c r="M307" s="81"/>
      <x:c r="N307" s="81"/>
      <x:c r="O307" s="81"/>
      <x:c r="P307" s="81"/>
      <x:c r="Q307" s="81"/>
      <x:c r="R307" s="81"/>
      <x:c r="S307" s="81"/>
      <x:c r="T307" s="81"/>
      <x:c r="U307" s="81"/>
      <x:c r="V307" s="81"/>
      <x:c r="W307" s="81"/>
      <x:c r="X307" s="81"/>
      <x:c r="Y307" s="81"/>
      <x:c r="Z307" s="81"/>
    </x:row>
    <x:row r="308">
      <x:c r="A308" s="81"/>
      <x:c r="B308" s="81"/>
      <x:c r="C308" s="81"/>
      <x:c r="D308" s="81"/>
      <x:c r="E308" s="81"/>
      <x:c r="F308" s="81"/>
      <x:c r="G308" s="81"/>
      <x:c r="H308" s="81"/>
      <x:c r="I308" s="81"/>
      <x:c r="J308" s="81"/>
      <x:c r="K308" s="81"/>
      <x:c r="L308" s="81"/>
      <x:c r="M308" s="81"/>
      <x:c r="N308" s="81"/>
      <x:c r="O308" s="81"/>
      <x:c r="P308" s="81"/>
      <x:c r="Q308" s="81"/>
      <x:c r="R308" s="81"/>
      <x:c r="S308" s="81"/>
      <x:c r="T308" s="81"/>
      <x:c r="U308" s="81"/>
      <x:c r="V308" s="81"/>
      <x:c r="W308" s="81"/>
      <x:c r="X308" s="81"/>
      <x:c r="Y308" s="81"/>
      <x:c r="Z308" s="81"/>
    </x:row>
    <x:row r="309">
      <x:c r="A309" s="81"/>
      <x:c r="B309" s="81"/>
      <x:c r="C309" s="81"/>
      <x:c r="D309" s="81"/>
      <x:c r="E309" s="81"/>
      <x:c r="F309" s="81"/>
      <x:c r="G309" s="81"/>
      <x:c r="H309" s="81"/>
      <x:c r="I309" s="81"/>
      <x:c r="J309" s="81"/>
      <x:c r="K309" s="81"/>
      <x:c r="L309" s="81"/>
      <x:c r="M309" s="81"/>
      <x:c r="N309" s="81"/>
      <x:c r="O309" s="81"/>
      <x:c r="P309" s="81"/>
      <x:c r="Q309" s="81"/>
      <x:c r="R309" s="81"/>
      <x:c r="S309" s="81"/>
      <x:c r="T309" s="81"/>
      <x:c r="U309" s="81"/>
      <x:c r="V309" s="81"/>
      <x:c r="W309" s="81"/>
      <x:c r="X309" s="81"/>
      <x:c r="Y309" s="81"/>
      <x:c r="Z309" s="81"/>
    </x:row>
    <x:row r="310">
      <x:c r="A310" s="81"/>
      <x:c r="B310" s="81"/>
      <x:c r="C310" s="81"/>
      <x:c r="D310" s="81"/>
      <x:c r="E310" s="81"/>
      <x:c r="F310" s="81"/>
      <x:c r="G310" s="81"/>
      <x:c r="H310" s="81"/>
      <x:c r="I310" s="81"/>
      <x:c r="J310" s="81"/>
      <x:c r="K310" s="81"/>
      <x:c r="L310" s="81"/>
      <x:c r="M310" s="81"/>
      <x:c r="N310" s="81"/>
      <x:c r="O310" s="81"/>
      <x:c r="P310" s="81"/>
      <x:c r="Q310" s="81"/>
      <x:c r="R310" s="81"/>
      <x:c r="S310" s="81"/>
      <x:c r="T310" s="81"/>
      <x:c r="U310" s="81"/>
      <x:c r="V310" s="81"/>
      <x:c r="W310" s="81"/>
      <x:c r="X310" s="81"/>
      <x:c r="Y310" s="81"/>
      <x:c r="Z310" s="81"/>
    </x:row>
    <x:row r="311">
      <x:c r="A311" s="81"/>
      <x:c r="B311" s="81"/>
      <x:c r="C311" s="81"/>
      <x:c r="D311" s="81"/>
      <x:c r="E311" s="81"/>
      <x:c r="F311" s="81"/>
      <x:c r="G311" s="81"/>
      <x:c r="H311" s="81"/>
      <x:c r="I311" s="81"/>
      <x:c r="J311" s="81"/>
      <x:c r="K311" s="81"/>
      <x:c r="L311" s="81"/>
      <x:c r="M311" s="81"/>
      <x:c r="N311" s="81"/>
      <x:c r="O311" s="81"/>
      <x:c r="P311" s="81"/>
      <x:c r="Q311" s="81"/>
      <x:c r="R311" s="81"/>
      <x:c r="S311" s="81"/>
      <x:c r="T311" s="81"/>
      <x:c r="U311" s="81"/>
      <x:c r="V311" s="81"/>
      <x:c r="W311" s="81"/>
      <x:c r="X311" s="81"/>
      <x:c r="Y311" s="81"/>
      <x:c r="Z311" s="81"/>
    </x:row>
    <x:row r="312">
      <x:c r="A312" s="81"/>
      <x:c r="B312" s="81"/>
      <x:c r="C312" s="81"/>
      <x:c r="D312" s="81"/>
      <x:c r="E312" s="81"/>
      <x:c r="F312" s="81"/>
      <x:c r="G312" s="81"/>
      <x:c r="H312" s="81"/>
      <x:c r="I312" s="81"/>
      <x:c r="J312" s="81"/>
      <x:c r="K312" s="81"/>
      <x:c r="L312" s="81"/>
      <x:c r="M312" s="81"/>
      <x:c r="N312" s="81"/>
      <x:c r="O312" s="81"/>
      <x:c r="P312" s="81"/>
      <x:c r="Q312" s="81"/>
      <x:c r="R312" s="81"/>
      <x:c r="S312" s="81"/>
      <x:c r="T312" s="81"/>
      <x:c r="U312" s="81"/>
      <x:c r="V312" s="81"/>
      <x:c r="W312" s="81"/>
      <x:c r="X312" s="81"/>
      <x:c r="Y312" s="81"/>
      <x:c r="Z312" s="81"/>
    </x:row>
    <x:row r="313">
      <x:c r="A313" s="81"/>
      <x:c r="B313" s="81"/>
      <x:c r="C313" s="81"/>
      <x:c r="D313" s="81"/>
      <x:c r="E313" s="81"/>
      <x:c r="F313" s="81"/>
      <x:c r="G313" s="81"/>
      <x:c r="H313" s="81"/>
      <x:c r="I313" s="81"/>
      <x:c r="J313" s="81"/>
      <x:c r="K313" s="81"/>
      <x:c r="L313" s="81"/>
      <x:c r="M313" s="81"/>
      <x:c r="N313" s="81"/>
      <x:c r="O313" s="81"/>
      <x:c r="P313" s="81"/>
      <x:c r="Q313" s="81"/>
      <x:c r="R313" s="81"/>
      <x:c r="S313" s="81"/>
      <x:c r="T313" s="81"/>
      <x:c r="U313" s="81"/>
      <x:c r="V313" s="81"/>
      <x:c r="W313" s="81"/>
      <x:c r="X313" s="81"/>
      <x:c r="Y313" s="81"/>
      <x:c r="Z313" s="81"/>
    </x:row>
    <x:row r="314">
      <x:c r="A314" s="81"/>
      <x:c r="B314" s="81"/>
      <x:c r="C314" s="81"/>
      <x:c r="D314" s="81"/>
      <x:c r="E314" s="81"/>
      <x:c r="F314" s="81"/>
      <x:c r="G314" s="81"/>
      <x:c r="H314" s="81"/>
      <x:c r="I314" s="81"/>
      <x:c r="J314" s="81"/>
      <x:c r="K314" s="81"/>
      <x:c r="L314" s="81"/>
      <x:c r="M314" s="81"/>
      <x:c r="N314" s="81"/>
      <x:c r="O314" s="81"/>
      <x:c r="P314" s="81"/>
      <x:c r="Q314" s="81"/>
      <x:c r="R314" s="81"/>
      <x:c r="S314" s="81"/>
      <x:c r="T314" s="81"/>
      <x:c r="U314" s="81"/>
      <x:c r="V314" s="81"/>
      <x:c r="W314" s="81"/>
      <x:c r="X314" s="81"/>
      <x:c r="Y314" s="81"/>
      <x:c r="Z314" s="81"/>
    </x:row>
    <x:row r="315">
      <x:c r="A315" s="81"/>
      <x:c r="B315" s="81"/>
      <x:c r="C315" s="81"/>
      <x:c r="D315" s="81"/>
      <x:c r="E315" s="81"/>
      <x:c r="F315" s="81"/>
      <x:c r="G315" s="81"/>
      <x:c r="H315" s="81"/>
      <x:c r="I315" s="81"/>
      <x:c r="J315" s="81"/>
      <x:c r="K315" s="81"/>
      <x:c r="L315" s="81"/>
      <x:c r="M315" s="81"/>
      <x:c r="N315" s="81"/>
      <x:c r="O315" s="81"/>
      <x:c r="P315" s="81"/>
      <x:c r="Q315" s="81"/>
      <x:c r="R315" s="81"/>
      <x:c r="S315" s="81"/>
      <x:c r="T315" s="81"/>
      <x:c r="U315" s="81"/>
      <x:c r="V315" s="81"/>
      <x:c r="W315" s="81"/>
      <x:c r="X315" s="81"/>
      <x:c r="Y315" s="81"/>
      <x:c r="Z315" s="81"/>
    </x:row>
    <x:row r="316">
      <x:c r="A316" s="81"/>
      <x:c r="B316" s="81"/>
      <x:c r="C316" s="81"/>
      <x:c r="D316" s="81"/>
      <x:c r="E316" s="81"/>
      <x:c r="F316" s="81"/>
      <x:c r="G316" s="81"/>
      <x:c r="H316" s="81"/>
      <x:c r="I316" s="81"/>
      <x:c r="J316" s="81"/>
      <x:c r="K316" s="81"/>
      <x:c r="L316" s="81"/>
      <x:c r="M316" s="81"/>
      <x:c r="N316" s="81"/>
      <x:c r="O316" s="81"/>
      <x:c r="P316" s="81"/>
      <x:c r="Q316" s="81"/>
      <x:c r="R316" s="81"/>
      <x:c r="S316" s="81"/>
      <x:c r="T316" s="81"/>
      <x:c r="U316" s="81"/>
      <x:c r="V316" s="81"/>
      <x:c r="W316" s="81"/>
      <x:c r="X316" s="81"/>
      <x:c r="Y316" s="81"/>
      <x:c r="Z316" s="81"/>
    </x:row>
    <x:row r="317">
      <x:c r="A317" s="81"/>
      <x:c r="B317" s="81"/>
      <x:c r="C317" s="81"/>
      <x:c r="D317" s="81"/>
      <x:c r="E317" s="81"/>
      <x:c r="F317" s="81"/>
      <x:c r="G317" s="81"/>
      <x:c r="H317" s="81"/>
      <x:c r="I317" s="81"/>
      <x:c r="J317" s="81"/>
      <x:c r="K317" s="81"/>
      <x:c r="L317" s="81"/>
      <x:c r="M317" s="81"/>
      <x:c r="N317" s="81"/>
      <x:c r="O317" s="81"/>
      <x:c r="P317" s="81"/>
      <x:c r="Q317" s="81"/>
      <x:c r="R317" s="81"/>
      <x:c r="S317" s="81"/>
      <x:c r="T317" s="81"/>
      <x:c r="U317" s="81"/>
      <x:c r="V317" s="81"/>
      <x:c r="W317" s="81"/>
      <x:c r="X317" s="81"/>
      <x:c r="Y317" s="81"/>
      <x:c r="Z317" s="81"/>
    </x:row>
    <x:row r="318">
      <x:c r="A318" s="81"/>
      <x:c r="B318" s="81"/>
      <x:c r="C318" s="81"/>
      <x:c r="D318" s="81"/>
      <x:c r="E318" s="81"/>
      <x:c r="F318" s="81"/>
      <x:c r="G318" s="81"/>
      <x:c r="H318" s="81"/>
      <x:c r="I318" s="81"/>
      <x:c r="J318" s="81"/>
      <x:c r="K318" s="81"/>
      <x:c r="L318" s="81"/>
      <x:c r="M318" s="81"/>
      <x:c r="N318" s="81"/>
      <x:c r="O318" s="81"/>
      <x:c r="P318" s="81"/>
      <x:c r="Q318" s="81"/>
      <x:c r="R318" s="81"/>
      <x:c r="S318" s="81"/>
      <x:c r="T318" s="81"/>
      <x:c r="U318" s="81"/>
      <x:c r="V318" s="81"/>
      <x:c r="W318" s="81"/>
      <x:c r="X318" s="81"/>
      <x:c r="Y318" s="81"/>
      <x:c r="Z318" s="81"/>
    </x:row>
    <x:row r="319">
      <x:c r="A319" s="81"/>
      <x:c r="B319" s="81"/>
      <x:c r="C319" s="81"/>
      <x:c r="D319" s="81"/>
      <x:c r="E319" s="81"/>
      <x:c r="F319" s="81"/>
      <x:c r="G319" s="81"/>
      <x:c r="H319" s="81"/>
      <x:c r="I319" s="81"/>
      <x:c r="J319" s="81"/>
      <x:c r="K319" s="81"/>
      <x:c r="L319" s="81"/>
      <x:c r="M319" s="81"/>
      <x:c r="N319" s="81"/>
      <x:c r="O319" s="81"/>
      <x:c r="P319" s="81"/>
      <x:c r="Q319" s="81"/>
      <x:c r="R319" s="81"/>
      <x:c r="S319" s="81"/>
      <x:c r="T319" s="81"/>
      <x:c r="U319" s="81"/>
      <x:c r="V319" s="81"/>
      <x:c r="W319" s="81"/>
      <x:c r="X319" s="81"/>
      <x:c r="Y319" s="81"/>
      <x:c r="Z319" s="81"/>
    </x:row>
    <x:row r="320">
      <x:c r="A320" s="81"/>
      <x:c r="B320" s="81"/>
      <x:c r="C320" s="81"/>
      <x:c r="D320" s="81"/>
      <x:c r="E320" s="81"/>
      <x:c r="F320" s="81"/>
      <x:c r="G320" s="81"/>
      <x:c r="H320" s="81"/>
      <x:c r="I320" s="81"/>
      <x:c r="J320" s="81"/>
      <x:c r="K320" s="81"/>
      <x:c r="L320" s="81"/>
      <x:c r="M320" s="81"/>
      <x:c r="N320" s="81"/>
      <x:c r="O320" s="81"/>
      <x:c r="P320" s="81"/>
      <x:c r="Q320" s="81"/>
      <x:c r="R320" s="81"/>
      <x:c r="S320" s="81"/>
      <x:c r="T320" s="81"/>
      <x:c r="U320" s="81"/>
      <x:c r="V320" s="81"/>
      <x:c r="W320" s="81"/>
      <x:c r="X320" s="81"/>
      <x:c r="Y320" s="81"/>
      <x:c r="Z320" s="81"/>
    </x:row>
    <x:row r="321">
      <x:c r="A321" s="81"/>
      <x:c r="B321" s="81"/>
      <x:c r="C321" s="81"/>
      <x:c r="D321" s="81"/>
      <x:c r="E321" s="81"/>
      <x:c r="F321" s="81"/>
      <x:c r="G321" s="81"/>
      <x:c r="H321" s="81"/>
      <x:c r="I321" s="81"/>
      <x:c r="J321" s="81"/>
      <x:c r="K321" s="81"/>
      <x:c r="L321" s="81"/>
      <x:c r="M321" s="81"/>
      <x:c r="N321" s="81"/>
      <x:c r="O321" s="81"/>
      <x:c r="P321" s="81"/>
      <x:c r="Q321" s="81"/>
      <x:c r="R321" s="81"/>
      <x:c r="S321" s="81"/>
      <x:c r="T321" s="81"/>
      <x:c r="U321" s="81"/>
      <x:c r="V321" s="81"/>
      <x:c r="W321" s="81"/>
      <x:c r="X321" s="81"/>
      <x:c r="Y321" s="81"/>
      <x:c r="Z321" s="81"/>
    </x:row>
    <x:row r="322">
      <x:c r="A322" s="81"/>
      <x:c r="B322" s="81"/>
      <x:c r="C322" s="81"/>
      <x:c r="D322" s="81"/>
      <x:c r="E322" s="81"/>
      <x:c r="F322" s="81"/>
      <x:c r="G322" s="81"/>
      <x:c r="H322" s="81"/>
      <x:c r="I322" s="81"/>
      <x:c r="J322" s="81"/>
      <x:c r="K322" s="81"/>
      <x:c r="L322" s="81"/>
      <x:c r="M322" s="81"/>
      <x:c r="N322" s="81"/>
      <x:c r="O322" s="81"/>
      <x:c r="P322" s="81"/>
      <x:c r="Q322" s="81"/>
      <x:c r="R322" s="81"/>
      <x:c r="S322" s="81"/>
      <x:c r="T322" s="81"/>
      <x:c r="U322" s="81"/>
      <x:c r="V322" s="81"/>
      <x:c r="W322" s="81"/>
      <x:c r="X322" s="81"/>
      <x:c r="Y322" s="81"/>
      <x:c r="Z322" s="81"/>
    </x:row>
    <x:row r="323">
      <x:c r="A323" s="81"/>
      <x:c r="B323" s="81"/>
      <x:c r="C323" s="81"/>
      <x:c r="D323" s="81"/>
      <x:c r="E323" s="81"/>
      <x:c r="F323" s="81"/>
      <x:c r="G323" s="81"/>
      <x:c r="H323" s="81"/>
      <x:c r="I323" s="81"/>
      <x:c r="J323" s="81"/>
      <x:c r="K323" s="81"/>
      <x:c r="L323" s="81"/>
      <x:c r="M323" s="81"/>
      <x:c r="N323" s="81"/>
      <x:c r="O323" s="81"/>
      <x:c r="P323" s="81"/>
      <x:c r="Q323" s="81"/>
      <x:c r="R323" s="81"/>
      <x:c r="S323" s="81"/>
      <x:c r="T323" s="81"/>
      <x:c r="U323" s="81"/>
      <x:c r="V323" s="81"/>
      <x:c r="W323" s="81"/>
      <x:c r="X323" s="81"/>
      <x:c r="Y323" s="81"/>
      <x:c r="Z323" s="81"/>
    </x:row>
    <x:row r="324">
      <x:c r="A324" s="81"/>
      <x:c r="B324" s="81"/>
      <x:c r="C324" s="81"/>
      <x:c r="D324" s="81"/>
      <x:c r="E324" s="81"/>
      <x:c r="F324" s="81"/>
      <x:c r="G324" s="81"/>
      <x:c r="H324" s="81"/>
      <x:c r="I324" s="81"/>
      <x:c r="J324" s="81"/>
      <x:c r="K324" s="81"/>
      <x:c r="L324" s="81"/>
      <x:c r="M324" s="81"/>
      <x:c r="N324" s="81"/>
      <x:c r="O324" s="81"/>
      <x:c r="P324" s="81"/>
      <x:c r="Q324" s="81"/>
      <x:c r="R324" s="81"/>
      <x:c r="S324" s="81"/>
      <x:c r="T324" s="81"/>
      <x:c r="U324" s="81"/>
      <x:c r="V324" s="81"/>
      <x:c r="W324" s="81"/>
      <x:c r="X324" s="81"/>
      <x:c r="Y324" s="81"/>
      <x:c r="Z324" s="81"/>
    </x:row>
    <x:row r="325">
      <x:c r="A325" s="81"/>
      <x:c r="B325" s="81"/>
      <x:c r="C325" s="81"/>
      <x:c r="D325" s="81"/>
      <x:c r="E325" s="81"/>
      <x:c r="F325" s="81"/>
      <x:c r="G325" s="81"/>
      <x:c r="H325" s="81"/>
      <x:c r="I325" s="81"/>
      <x:c r="J325" s="81"/>
      <x:c r="K325" s="81"/>
      <x:c r="L325" s="81"/>
      <x:c r="M325" s="81"/>
      <x:c r="N325" s="81"/>
      <x:c r="O325" s="81"/>
      <x:c r="P325" s="81"/>
      <x:c r="Q325" s="81"/>
      <x:c r="R325" s="81"/>
      <x:c r="S325" s="81"/>
      <x:c r="T325" s="81"/>
      <x:c r="U325" s="81"/>
      <x:c r="V325" s="81"/>
      <x:c r="W325" s="81"/>
      <x:c r="X325" s="81"/>
      <x:c r="Y325" s="81"/>
      <x:c r="Z325" s="81"/>
    </x:row>
    <x:row r="326">
      <x:c r="A326" s="81"/>
      <x:c r="B326" s="81"/>
      <x:c r="C326" s="81"/>
      <x:c r="D326" s="81"/>
      <x:c r="E326" s="81"/>
      <x:c r="F326" s="81"/>
      <x:c r="G326" s="81"/>
      <x:c r="H326" s="81"/>
      <x:c r="I326" s="81"/>
      <x:c r="J326" s="81"/>
      <x:c r="K326" s="81"/>
      <x:c r="L326" s="81"/>
      <x:c r="M326" s="81"/>
      <x:c r="N326" s="81"/>
      <x:c r="O326" s="81"/>
      <x:c r="P326" s="81"/>
      <x:c r="Q326" s="81"/>
      <x:c r="R326" s="81"/>
      <x:c r="S326" s="81"/>
      <x:c r="T326" s="81"/>
      <x:c r="U326" s="81"/>
      <x:c r="V326" s="81"/>
      <x:c r="W326" s="81"/>
      <x:c r="X326" s="81"/>
      <x:c r="Y326" s="81"/>
      <x:c r="Z326" s="81"/>
    </x:row>
    <x:row r="327">
      <x:c r="A327" s="81"/>
      <x:c r="B327" s="81"/>
      <x:c r="C327" s="81"/>
      <x:c r="D327" s="81"/>
      <x:c r="E327" s="81"/>
      <x:c r="F327" s="81"/>
      <x:c r="G327" s="81"/>
      <x:c r="H327" s="81"/>
      <x:c r="I327" s="81"/>
      <x:c r="J327" s="81"/>
      <x:c r="K327" s="81"/>
      <x:c r="L327" s="81"/>
      <x:c r="M327" s="81"/>
      <x:c r="N327" s="81"/>
      <x:c r="O327" s="81"/>
      <x:c r="P327" s="81"/>
      <x:c r="Q327" s="81"/>
      <x:c r="R327" s="81"/>
      <x:c r="S327" s="81"/>
      <x:c r="T327" s="81"/>
      <x:c r="U327" s="81"/>
      <x:c r="V327" s="81"/>
      <x:c r="W327" s="81"/>
      <x:c r="X327" s="81"/>
      <x:c r="Y327" s="81"/>
      <x:c r="Z327" s="81"/>
    </x:row>
    <x:row r="328">
      <x:c r="A328" s="81"/>
      <x:c r="B328" s="81"/>
      <x:c r="C328" s="81"/>
      <x:c r="D328" s="81"/>
      <x:c r="E328" s="81"/>
      <x:c r="F328" s="81"/>
      <x:c r="G328" s="81"/>
      <x:c r="H328" s="81"/>
      <x:c r="I328" s="81"/>
      <x:c r="J328" s="81"/>
      <x:c r="K328" s="81"/>
      <x:c r="L328" s="81"/>
      <x:c r="M328" s="81"/>
      <x:c r="N328" s="81"/>
      <x:c r="O328" s="81"/>
      <x:c r="P328" s="81"/>
      <x:c r="Q328" s="81"/>
      <x:c r="R328" s="81"/>
      <x:c r="S328" s="81"/>
      <x:c r="T328" s="81"/>
      <x:c r="U328" s="81"/>
      <x:c r="V328" s="81"/>
      <x:c r="W328" s="81"/>
      <x:c r="X328" s="81"/>
      <x:c r="Y328" s="81"/>
      <x:c r="Z328" s="81"/>
    </x:row>
    <x:row r="329">
      <x:c r="A329" s="81"/>
      <x:c r="B329" s="81"/>
      <x:c r="C329" s="81"/>
      <x:c r="D329" s="81"/>
      <x:c r="E329" s="81"/>
      <x:c r="F329" s="81"/>
      <x:c r="G329" s="81"/>
      <x:c r="H329" s="81"/>
      <x:c r="I329" s="81"/>
      <x:c r="J329" s="81"/>
      <x:c r="K329" s="81"/>
      <x:c r="L329" s="81"/>
      <x:c r="M329" s="81"/>
      <x:c r="N329" s="81"/>
      <x:c r="O329" s="81"/>
      <x:c r="P329" s="81"/>
      <x:c r="Q329" s="81"/>
      <x:c r="R329" s="81"/>
      <x:c r="S329" s="81"/>
      <x:c r="T329" s="81"/>
      <x:c r="U329" s="81"/>
      <x:c r="V329" s="81"/>
      <x:c r="W329" s="81"/>
      <x:c r="X329" s="81"/>
      <x:c r="Y329" s="81"/>
      <x:c r="Z329" s="81"/>
    </x:row>
    <x:row r="330">
      <x:c r="A330" s="81"/>
      <x:c r="B330" s="81"/>
      <x:c r="C330" s="81"/>
      <x:c r="D330" s="81"/>
      <x:c r="E330" s="81"/>
      <x:c r="F330" s="81"/>
      <x:c r="G330" s="81"/>
      <x:c r="H330" s="81"/>
      <x:c r="I330" s="81"/>
      <x:c r="J330" s="81"/>
      <x:c r="K330" s="81"/>
      <x:c r="L330" s="81"/>
      <x:c r="M330" s="81"/>
      <x:c r="N330" s="81"/>
      <x:c r="O330" s="81"/>
      <x:c r="P330" s="81"/>
      <x:c r="Q330" s="81"/>
      <x:c r="R330" s="81"/>
      <x:c r="S330" s="81"/>
      <x:c r="T330" s="81"/>
      <x:c r="U330" s="81"/>
      <x:c r="V330" s="81"/>
      <x:c r="W330" s="81"/>
      <x:c r="X330" s="81"/>
      <x:c r="Y330" s="81"/>
      <x:c r="Z330" s="81"/>
    </x:row>
    <x:row r="331">
      <x:c r="A331" s="81"/>
      <x:c r="B331" s="81"/>
      <x:c r="C331" s="81"/>
      <x:c r="D331" s="81"/>
      <x:c r="E331" s="81"/>
      <x:c r="F331" s="81"/>
      <x:c r="G331" s="81"/>
      <x:c r="H331" s="81"/>
      <x:c r="I331" s="81"/>
      <x:c r="J331" s="81"/>
      <x:c r="K331" s="81"/>
      <x:c r="L331" s="81"/>
      <x:c r="M331" s="81"/>
      <x:c r="N331" s="81"/>
      <x:c r="O331" s="81"/>
      <x:c r="P331" s="81"/>
      <x:c r="Q331" s="81"/>
      <x:c r="R331" s="81"/>
      <x:c r="S331" s="81"/>
      <x:c r="T331" s="81"/>
      <x:c r="U331" s="81"/>
      <x:c r="V331" s="81"/>
      <x:c r="W331" s="81"/>
      <x:c r="X331" s="81"/>
      <x:c r="Y331" s="81"/>
      <x:c r="Z331" s="81"/>
    </x:row>
    <x:row r="332">
      <x:c r="A332" s="81"/>
      <x:c r="B332" s="81"/>
      <x:c r="C332" s="81"/>
      <x:c r="D332" s="81"/>
      <x:c r="E332" s="81"/>
      <x:c r="F332" s="81"/>
      <x:c r="G332" s="81"/>
      <x:c r="H332" s="81"/>
      <x:c r="I332" s="81"/>
      <x:c r="J332" s="81"/>
      <x:c r="K332" s="81"/>
      <x:c r="L332" s="81"/>
      <x:c r="M332" s="81"/>
      <x:c r="N332" s="81"/>
      <x:c r="O332" s="81"/>
      <x:c r="P332" s="81"/>
      <x:c r="Q332" s="81"/>
      <x:c r="R332" s="81"/>
      <x:c r="S332" s="81"/>
      <x:c r="T332" s="81"/>
      <x:c r="U332" s="81"/>
      <x:c r="V332" s="81"/>
      <x:c r="W332" s="81"/>
      <x:c r="X332" s="81"/>
      <x:c r="Y332" s="81"/>
      <x:c r="Z332" s="81"/>
    </x:row>
    <x:row r="333">
      <x:c r="A333" s="81"/>
      <x:c r="B333" s="81"/>
      <x:c r="C333" s="81"/>
      <x:c r="D333" s="81"/>
      <x:c r="E333" s="81"/>
      <x:c r="F333" s="81"/>
      <x:c r="G333" s="81"/>
      <x:c r="H333" s="81"/>
      <x:c r="I333" s="81"/>
      <x:c r="J333" s="81"/>
      <x:c r="K333" s="81"/>
      <x:c r="L333" s="81"/>
      <x:c r="M333" s="81"/>
      <x:c r="N333" s="81"/>
      <x:c r="O333" s="81"/>
      <x:c r="P333" s="81"/>
      <x:c r="Q333" s="81"/>
      <x:c r="R333" s="81"/>
      <x:c r="S333" s="81"/>
      <x:c r="T333" s="81"/>
      <x:c r="U333" s="81"/>
      <x:c r="V333" s="81"/>
      <x:c r="W333" s="81"/>
      <x:c r="X333" s="81"/>
      <x:c r="Y333" s="81"/>
      <x:c r="Z333" s="81"/>
    </x:row>
    <x:row r="334">
      <x:c r="A334" s="81"/>
      <x:c r="B334" s="81"/>
      <x:c r="C334" s="81"/>
      <x:c r="D334" s="81"/>
      <x:c r="E334" s="81"/>
      <x:c r="F334" s="81"/>
      <x:c r="G334" s="81"/>
      <x:c r="H334" s="81"/>
      <x:c r="I334" s="81"/>
      <x:c r="J334" s="81"/>
      <x:c r="K334" s="81"/>
      <x:c r="L334" s="81"/>
      <x:c r="M334" s="81"/>
      <x:c r="N334" s="81"/>
      <x:c r="O334" s="81"/>
      <x:c r="P334" s="81"/>
      <x:c r="Q334" s="81"/>
      <x:c r="R334" s="81"/>
      <x:c r="S334" s="81"/>
      <x:c r="T334" s="81"/>
      <x:c r="U334" s="81"/>
      <x:c r="V334" s="81"/>
      <x:c r="W334" s="81"/>
      <x:c r="X334" s="81"/>
      <x:c r="Y334" s="81"/>
      <x:c r="Z334" s="81"/>
    </x:row>
    <x:row r="335">
      <x:c r="A335" s="81"/>
      <x:c r="B335" s="81"/>
      <x:c r="C335" s="81"/>
      <x:c r="D335" s="81"/>
      <x:c r="E335" s="81"/>
      <x:c r="F335" s="81"/>
      <x:c r="G335" s="81"/>
      <x:c r="H335" s="81"/>
      <x:c r="I335" s="81"/>
      <x:c r="J335" s="81"/>
      <x:c r="K335" s="81"/>
      <x:c r="L335" s="81"/>
      <x:c r="M335" s="81"/>
      <x:c r="N335" s="81"/>
      <x:c r="O335" s="81"/>
      <x:c r="P335" s="81"/>
      <x:c r="Q335" s="81"/>
      <x:c r="R335" s="81"/>
      <x:c r="S335" s="81"/>
      <x:c r="T335" s="81"/>
      <x:c r="U335" s="81"/>
      <x:c r="V335" s="81"/>
      <x:c r="W335" s="81"/>
      <x:c r="X335" s="81"/>
      <x:c r="Y335" s="81"/>
      <x:c r="Z335" s="81"/>
    </x:row>
    <x:row r="336">
      <x:c r="A336" s="81"/>
      <x:c r="B336" s="81"/>
      <x:c r="C336" s="81"/>
      <x:c r="D336" s="81"/>
      <x:c r="E336" s="81"/>
      <x:c r="F336" s="81"/>
      <x:c r="G336" s="81"/>
      <x:c r="H336" s="81"/>
      <x:c r="I336" s="81"/>
      <x:c r="J336" s="81"/>
      <x:c r="K336" s="81"/>
      <x:c r="L336" s="81"/>
      <x:c r="M336" s="81"/>
      <x:c r="N336" s="81"/>
      <x:c r="O336" s="81"/>
      <x:c r="P336" s="81"/>
      <x:c r="Q336" s="81"/>
      <x:c r="R336" s="81"/>
      <x:c r="S336" s="81"/>
      <x:c r="T336" s="81"/>
      <x:c r="U336" s="81"/>
      <x:c r="V336" s="81"/>
      <x:c r="W336" s="81"/>
      <x:c r="X336" s="81"/>
      <x:c r="Y336" s="81"/>
      <x:c r="Z336" s="81"/>
    </x:row>
    <x:row r="337">
      <x:c r="A337" s="81"/>
      <x:c r="B337" s="81"/>
      <x:c r="C337" s="81"/>
      <x:c r="D337" s="81"/>
      <x:c r="E337" s="81"/>
      <x:c r="F337" s="81"/>
      <x:c r="G337" s="81"/>
      <x:c r="H337" s="81"/>
      <x:c r="I337" s="81"/>
      <x:c r="J337" s="81"/>
      <x:c r="K337" s="81"/>
      <x:c r="L337" s="81"/>
      <x:c r="M337" s="81"/>
      <x:c r="N337" s="81"/>
      <x:c r="O337" s="81"/>
      <x:c r="P337" s="81"/>
      <x:c r="Q337" s="81"/>
      <x:c r="R337" s="81"/>
      <x:c r="S337" s="81"/>
      <x:c r="T337" s="81"/>
      <x:c r="U337" s="81"/>
      <x:c r="V337" s="81"/>
      <x:c r="W337" s="81"/>
      <x:c r="X337" s="81"/>
      <x:c r="Y337" s="81"/>
      <x:c r="Z337" s="81"/>
    </x:row>
    <x:row r="338">
      <x:c r="A338" s="81"/>
      <x:c r="B338" s="81"/>
      <x:c r="C338" s="81"/>
      <x:c r="D338" s="81"/>
      <x:c r="E338" s="81"/>
      <x:c r="F338" s="81"/>
      <x:c r="G338" s="81"/>
      <x:c r="H338" s="81"/>
      <x:c r="I338" s="81"/>
      <x:c r="J338" s="81"/>
      <x:c r="K338" s="81"/>
      <x:c r="L338" s="81"/>
      <x:c r="M338" s="81"/>
      <x:c r="N338" s="81"/>
      <x:c r="O338" s="81"/>
      <x:c r="P338" s="81"/>
      <x:c r="Q338" s="81"/>
      <x:c r="R338" s="81"/>
      <x:c r="S338" s="81"/>
      <x:c r="T338" s="81"/>
      <x:c r="U338" s="81"/>
      <x:c r="V338" s="81"/>
      <x:c r="W338" s="81"/>
      <x:c r="X338" s="81"/>
      <x:c r="Y338" s="81"/>
      <x:c r="Z338" s="81"/>
    </x:row>
    <x:row r="339">
      <x:c r="A339" s="81"/>
      <x:c r="B339" s="81"/>
      <x:c r="C339" s="81"/>
      <x:c r="D339" s="81"/>
      <x:c r="E339" s="81"/>
      <x:c r="F339" s="81"/>
      <x:c r="G339" s="81"/>
      <x:c r="H339" s="81"/>
      <x:c r="I339" s="81"/>
      <x:c r="J339" s="81"/>
      <x:c r="K339" s="81"/>
      <x:c r="L339" s="81"/>
      <x:c r="M339" s="81"/>
      <x:c r="N339" s="81"/>
      <x:c r="O339" s="81"/>
      <x:c r="P339" s="81"/>
      <x:c r="Q339" s="81"/>
      <x:c r="R339" s="81"/>
      <x:c r="S339" s="81"/>
      <x:c r="T339" s="81"/>
      <x:c r="U339" s="81"/>
      <x:c r="V339" s="81"/>
      <x:c r="W339" s="81"/>
      <x:c r="X339" s="81"/>
      <x:c r="Y339" s="81"/>
      <x:c r="Z339" s="81"/>
    </x:row>
    <x:row r="340">
      <x:c r="A340" s="81"/>
      <x:c r="B340" s="81"/>
      <x:c r="C340" s="81"/>
      <x:c r="D340" s="81"/>
      <x:c r="E340" s="81"/>
      <x:c r="F340" s="81"/>
      <x:c r="G340" s="81"/>
      <x:c r="H340" s="81"/>
      <x:c r="I340" s="81"/>
      <x:c r="J340" s="81"/>
      <x:c r="K340" s="81"/>
      <x:c r="L340" s="81"/>
      <x:c r="M340" s="81"/>
      <x:c r="N340" s="81"/>
      <x:c r="O340" s="81"/>
      <x:c r="P340" s="81"/>
      <x:c r="Q340" s="81"/>
      <x:c r="R340" s="81"/>
      <x:c r="S340" s="81"/>
      <x:c r="T340" s="81"/>
      <x:c r="U340" s="81"/>
      <x:c r="V340" s="81"/>
      <x:c r="W340" s="81"/>
      <x:c r="X340" s="81"/>
      <x:c r="Y340" s="81"/>
      <x:c r="Z340" s="81"/>
    </x:row>
    <x:row r="341">
      <x:c r="A341" s="81"/>
      <x:c r="B341" s="81"/>
      <x:c r="C341" s="81"/>
      <x:c r="D341" s="81"/>
      <x:c r="E341" s="81"/>
      <x:c r="F341" s="81"/>
      <x:c r="G341" s="81"/>
      <x:c r="H341" s="81"/>
      <x:c r="I341" s="81"/>
      <x:c r="J341" s="81"/>
      <x:c r="K341" s="81"/>
      <x:c r="L341" s="81"/>
      <x:c r="M341" s="81"/>
      <x:c r="N341" s="81"/>
      <x:c r="O341" s="81"/>
      <x:c r="P341" s="81"/>
      <x:c r="Q341" s="81"/>
      <x:c r="R341" s="81"/>
      <x:c r="S341" s="81"/>
      <x:c r="T341" s="81"/>
      <x:c r="U341" s="81"/>
      <x:c r="V341" s="81"/>
      <x:c r="W341" s="81"/>
      <x:c r="X341" s="81"/>
      <x:c r="Y341" s="81"/>
      <x:c r="Z341" s="81"/>
    </x:row>
    <x:row r="342">
      <x:c r="A342" s="81"/>
      <x:c r="B342" s="81"/>
      <x:c r="C342" s="81"/>
      <x:c r="D342" s="81"/>
      <x:c r="E342" s="81"/>
      <x:c r="F342" s="81"/>
      <x:c r="G342" s="81"/>
      <x:c r="H342" s="81"/>
      <x:c r="I342" s="81"/>
      <x:c r="J342" s="81"/>
      <x:c r="K342" s="81"/>
      <x:c r="L342" s="81"/>
      <x:c r="M342" s="81"/>
      <x:c r="N342" s="81"/>
      <x:c r="O342" s="81"/>
      <x:c r="P342" s="81"/>
      <x:c r="Q342" s="81"/>
      <x:c r="R342" s="81"/>
      <x:c r="S342" s="81"/>
      <x:c r="T342" s="81"/>
      <x:c r="U342" s="81"/>
      <x:c r="V342" s="81"/>
      <x:c r="W342" s="81"/>
      <x:c r="X342" s="81"/>
      <x:c r="Y342" s="81"/>
      <x:c r="Z342" s="81"/>
    </x:row>
    <x:row r="343">
      <x:c r="A343" s="81"/>
      <x:c r="B343" s="81"/>
      <x:c r="C343" s="81"/>
      <x:c r="D343" s="81"/>
      <x:c r="E343" s="81"/>
      <x:c r="F343" s="81"/>
      <x:c r="G343" s="81"/>
      <x:c r="H343" s="81"/>
      <x:c r="I343" s="81"/>
      <x:c r="J343" s="81"/>
      <x:c r="K343" s="81"/>
      <x:c r="L343" s="81"/>
      <x:c r="M343" s="81"/>
      <x:c r="N343" s="81"/>
      <x:c r="O343" s="81"/>
      <x:c r="P343" s="81"/>
      <x:c r="Q343" s="81"/>
      <x:c r="R343" s="81"/>
      <x:c r="S343" s="81"/>
      <x:c r="T343" s="81"/>
      <x:c r="U343" s="81"/>
      <x:c r="V343" s="81"/>
      <x:c r="W343" s="81"/>
      <x:c r="X343" s="81"/>
      <x:c r="Y343" s="81"/>
      <x:c r="Z343" s="81"/>
    </x:row>
    <x:row r="344">
      <x:c r="A344" s="81"/>
      <x:c r="B344" s="81"/>
      <x:c r="C344" s="81"/>
      <x:c r="D344" s="81"/>
      <x:c r="E344" s="81"/>
      <x:c r="F344" s="81"/>
      <x:c r="G344" s="81"/>
      <x:c r="H344" s="81"/>
      <x:c r="I344" s="81"/>
      <x:c r="J344" s="81"/>
      <x:c r="K344" s="81"/>
      <x:c r="L344" s="81"/>
      <x:c r="M344" s="81"/>
      <x:c r="N344" s="81"/>
      <x:c r="O344" s="81"/>
      <x:c r="P344" s="81"/>
      <x:c r="Q344" s="81"/>
      <x:c r="R344" s="81"/>
      <x:c r="S344" s="81"/>
      <x:c r="T344" s="81"/>
      <x:c r="U344" s="81"/>
      <x:c r="V344" s="81"/>
      <x:c r="W344" s="81"/>
      <x:c r="X344" s="81"/>
      <x:c r="Y344" s="81"/>
      <x:c r="Z344" s="81"/>
    </x:row>
    <x:row r="345">
      <x:c r="A345" s="81"/>
      <x:c r="B345" s="81"/>
      <x:c r="C345" s="81"/>
      <x:c r="D345" s="81"/>
      <x:c r="E345" s="81"/>
      <x:c r="F345" s="81"/>
      <x:c r="G345" s="81"/>
      <x:c r="H345" s="81"/>
      <x:c r="I345" s="81"/>
      <x:c r="J345" s="81"/>
      <x:c r="K345" s="81"/>
      <x:c r="L345" s="81"/>
      <x:c r="M345" s="81"/>
      <x:c r="N345" s="81"/>
      <x:c r="O345" s="81"/>
      <x:c r="P345" s="81"/>
      <x:c r="Q345" s="81"/>
      <x:c r="R345" s="81"/>
      <x:c r="S345" s="81"/>
      <x:c r="T345" s="81"/>
      <x:c r="U345" s="81"/>
      <x:c r="V345" s="81"/>
      <x:c r="W345" s="81"/>
      <x:c r="X345" s="81"/>
      <x:c r="Y345" s="81"/>
      <x:c r="Z345" s="81"/>
    </x:row>
    <x:row r="346">
      <x:c r="A346" s="81"/>
      <x:c r="B346" s="81"/>
      <x:c r="C346" s="81"/>
      <x:c r="D346" s="81"/>
      <x:c r="E346" s="81"/>
      <x:c r="F346" s="81"/>
      <x:c r="G346" s="81"/>
      <x:c r="H346" s="81"/>
      <x:c r="I346" s="81"/>
      <x:c r="J346" s="81"/>
      <x:c r="K346" s="81"/>
      <x:c r="L346" s="81"/>
      <x:c r="M346" s="81"/>
      <x:c r="N346" s="81"/>
      <x:c r="O346" s="81"/>
      <x:c r="P346" s="81"/>
      <x:c r="Q346" s="81"/>
      <x:c r="R346" s="81"/>
      <x:c r="S346" s="81"/>
      <x:c r="T346" s="81"/>
      <x:c r="U346" s="81"/>
      <x:c r="V346" s="81"/>
      <x:c r="W346" s="81"/>
      <x:c r="X346" s="81"/>
      <x:c r="Y346" s="81"/>
      <x:c r="Z346" s="81"/>
    </x:row>
    <x:row r="347">
      <x:c r="A347" s="81"/>
      <x:c r="B347" s="81"/>
      <x:c r="C347" s="81"/>
      <x:c r="D347" s="81"/>
      <x:c r="E347" s="81"/>
      <x:c r="F347" s="81"/>
      <x:c r="G347" s="81"/>
      <x:c r="H347" s="81"/>
      <x:c r="I347" s="81"/>
      <x:c r="J347" s="81"/>
      <x:c r="K347" s="81"/>
      <x:c r="L347" s="81"/>
      <x:c r="M347" s="81"/>
      <x:c r="N347" s="81"/>
      <x:c r="O347" s="81"/>
      <x:c r="P347" s="81"/>
      <x:c r="Q347" s="81"/>
      <x:c r="R347" s="81"/>
      <x:c r="S347" s="81"/>
      <x:c r="T347" s="81"/>
      <x:c r="U347" s="81"/>
      <x:c r="V347" s="81"/>
      <x:c r="W347" s="81"/>
      <x:c r="X347" s="81"/>
      <x:c r="Y347" s="81"/>
      <x:c r="Z347" s="81"/>
    </x:row>
    <x:row r="348">
      <x:c r="A348" s="81"/>
      <x:c r="B348" s="81"/>
      <x:c r="C348" s="81"/>
      <x:c r="D348" s="81"/>
      <x:c r="E348" s="81"/>
      <x:c r="F348" s="81"/>
      <x:c r="G348" s="81"/>
      <x:c r="H348" s="81"/>
      <x:c r="I348" s="81"/>
      <x:c r="J348" s="81"/>
      <x:c r="K348" s="81"/>
      <x:c r="L348" s="81"/>
      <x:c r="M348" s="81"/>
      <x:c r="N348" s="81"/>
      <x:c r="O348" s="81"/>
      <x:c r="P348" s="81"/>
      <x:c r="Q348" s="81"/>
      <x:c r="R348" s="81"/>
      <x:c r="S348" s="81"/>
      <x:c r="T348" s="81"/>
      <x:c r="U348" s="81"/>
      <x:c r="V348" s="81"/>
      <x:c r="W348" s="81"/>
      <x:c r="X348" s="81"/>
      <x:c r="Y348" s="81"/>
      <x:c r="Z348" s="81"/>
    </x:row>
    <x:row r="349">
      <x:c r="A349" s="81"/>
      <x:c r="B349" s="81"/>
      <x:c r="C349" s="81"/>
      <x:c r="D349" s="81"/>
      <x:c r="E349" s="81"/>
      <x:c r="F349" s="81"/>
      <x:c r="G349" s="81"/>
      <x:c r="H349" s="81"/>
      <x:c r="I349" s="81"/>
      <x:c r="J349" s="81"/>
      <x:c r="K349" s="81"/>
      <x:c r="L349" s="81"/>
      <x:c r="M349" s="81"/>
      <x:c r="N349" s="81"/>
      <x:c r="O349" s="81"/>
      <x:c r="P349" s="81"/>
      <x:c r="Q349" s="81"/>
      <x:c r="R349" s="81"/>
      <x:c r="S349" s="81"/>
      <x:c r="T349" s="81"/>
      <x:c r="U349" s="81"/>
      <x:c r="V349" s="81"/>
      <x:c r="W349" s="81"/>
      <x:c r="X349" s="81"/>
      <x:c r="Y349" s="81"/>
      <x:c r="Z349" s="81"/>
    </x:row>
    <x:row r="350">
      <x:c r="A350" s="81"/>
      <x:c r="B350" s="81"/>
      <x:c r="C350" s="81"/>
      <x:c r="D350" s="81"/>
      <x:c r="E350" s="81"/>
      <x:c r="F350" s="81"/>
      <x:c r="G350" s="81"/>
      <x:c r="H350" s="81"/>
      <x:c r="I350" s="81"/>
      <x:c r="J350" s="81"/>
      <x:c r="K350" s="81"/>
      <x:c r="L350" s="81"/>
      <x:c r="M350" s="81"/>
      <x:c r="N350" s="81"/>
      <x:c r="O350" s="81"/>
      <x:c r="P350" s="81"/>
      <x:c r="Q350" s="81"/>
      <x:c r="R350" s="81"/>
      <x:c r="S350" s="81"/>
      <x:c r="T350" s="81"/>
      <x:c r="U350" s="81"/>
      <x:c r="V350" s="81"/>
      <x:c r="W350" s="81"/>
      <x:c r="X350" s="81"/>
      <x:c r="Y350" s="81"/>
      <x:c r="Z350" s="81"/>
    </x:row>
    <x:row r="351">
      <x:c r="A351" s="81"/>
      <x:c r="B351" s="81"/>
      <x:c r="C351" s="81"/>
      <x:c r="D351" s="81"/>
      <x:c r="E351" s="81"/>
      <x:c r="F351" s="81"/>
      <x:c r="G351" s="81"/>
      <x:c r="H351" s="81"/>
      <x:c r="I351" s="81"/>
      <x:c r="J351" s="81"/>
      <x:c r="K351" s="81"/>
      <x:c r="L351" s="81"/>
      <x:c r="M351" s="81"/>
      <x:c r="N351" s="81"/>
      <x:c r="O351" s="81"/>
      <x:c r="P351" s="81"/>
      <x:c r="Q351" s="81"/>
      <x:c r="R351" s="81"/>
      <x:c r="S351" s="81"/>
      <x:c r="T351" s="81"/>
      <x:c r="U351" s="81"/>
      <x:c r="V351" s="81"/>
      <x:c r="W351" s="81"/>
      <x:c r="X351" s="81"/>
      <x:c r="Y351" s="81"/>
      <x:c r="Z351" s="81"/>
    </x:row>
    <x:row r="352">
      <x:c r="A352" s="81"/>
      <x:c r="B352" s="81"/>
      <x:c r="C352" s="81"/>
      <x:c r="D352" s="81"/>
      <x:c r="E352" s="81"/>
      <x:c r="F352" s="81"/>
      <x:c r="G352" s="81"/>
      <x:c r="H352" s="81"/>
      <x:c r="I352" s="81"/>
      <x:c r="J352" s="81"/>
      <x:c r="K352" s="81"/>
      <x:c r="L352" s="81"/>
      <x:c r="M352" s="81"/>
      <x:c r="N352" s="81"/>
      <x:c r="O352" s="81"/>
      <x:c r="P352" s="81"/>
      <x:c r="Q352" s="81"/>
      <x:c r="R352" s="81"/>
      <x:c r="S352" s="81"/>
      <x:c r="T352" s="81"/>
      <x:c r="U352" s="81"/>
      <x:c r="V352" s="81"/>
      <x:c r="W352" s="81"/>
      <x:c r="X352" s="81"/>
      <x:c r="Y352" s="81"/>
      <x:c r="Z352" s="81"/>
    </x:row>
    <x:row r="353">
      <x:c r="A353" s="81"/>
      <x:c r="B353" s="81"/>
      <x:c r="C353" s="81"/>
      <x:c r="D353" s="81"/>
      <x:c r="E353" s="81"/>
      <x:c r="F353" s="81"/>
      <x:c r="G353" s="81"/>
      <x:c r="H353" s="81"/>
      <x:c r="I353" s="81"/>
      <x:c r="J353" s="81"/>
      <x:c r="K353" s="81"/>
      <x:c r="L353" s="81"/>
      <x:c r="M353" s="81"/>
      <x:c r="N353" s="81"/>
      <x:c r="O353" s="81"/>
      <x:c r="P353" s="81"/>
      <x:c r="Q353" s="81"/>
      <x:c r="R353" s="81"/>
      <x:c r="S353" s="81"/>
      <x:c r="T353" s="81"/>
      <x:c r="U353" s="81"/>
      <x:c r="V353" s="81"/>
      <x:c r="W353" s="81"/>
      <x:c r="X353" s="81"/>
      <x:c r="Y353" s="81"/>
      <x:c r="Z353" s="81"/>
    </x:row>
    <x:row r="354">
      <x:c r="A354" s="81"/>
      <x:c r="B354" s="81"/>
      <x:c r="C354" s="81"/>
      <x:c r="D354" s="81"/>
      <x:c r="E354" s="81"/>
      <x:c r="F354" s="81"/>
      <x:c r="G354" s="81"/>
      <x:c r="H354" s="81"/>
      <x:c r="I354" s="81"/>
      <x:c r="J354" s="81"/>
      <x:c r="K354" s="81"/>
      <x:c r="L354" s="81"/>
      <x:c r="M354" s="81"/>
      <x:c r="N354" s="81"/>
      <x:c r="O354" s="81"/>
      <x:c r="P354" s="81"/>
      <x:c r="Q354" s="81"/>
      <x:c r="R354" s="81"/>
      <x:c r="S354" s="81"/>
      <x:c r="T354" s="81"/>
      <x:c r="U354" s="81"/>
      <x:c r="V354" s="81"/>
      <x:c r="W354" s="81"/>
      <x:c r="X354" s="81"/>
      <x:c r="Y354" s="81"/>
      <x:c r="Z354" s="81"/>
    </x:row>
    <x:row r="355">
      <x:c r="A355" s="81"/>
      <x:c r="B355" s="81"/>
      <x:c r="C355" s="81"/>
      <x:c r="D355" s="81"/>
      <x:c r="E355" s="81"/>
      <x:c r="F355" s="81"/>
      <x:c r="G355" s="81"/>
      <x:c r="H355" s="81"/>
      <x:c r="I355" s="81"/>
      <x:c r="J355" s="81"/>
      <x:c r="K355" s="81"/>
      <x:c r="L355" s="81"/>
      <x:c r="M355" s="81"/>
      <x:c r="N355" s="81"/>
      <x:c r="O355" s="81"/>
      <x:c r="P355" s="81"/>
      <x:c r="Q355" s="81"/>
      <x:c r="R355" s="81"/>
      <x:c r="S355" s="81"/>
      <x:c r="T355" s="81"/>
      <x:c r="U355" s="81"/>
      <x:c r="V355" s="81"/>
      <x:c r="W355" s="81"/>
      <x:c r="X355" s="81"/>
      <x:c r="Y355" s="81"/>
      <x:c r="Z355" s="81"/>
    </x:row>
    <x:row r="356">
      <x:c r="A356" s="81"/>
      <x:c r="B356" s="81"/>
      <x:c r="C356" s="81"/>
      <x:c r="D356" s="81"/>
      <x:c r="E356" s="81"/>
      <x:c r="F356" s="81"/>
      <x:c r="G356" s="81"/>
      <x:c r="H356" s="81"/>
      <x:c r="I356" s="81"/>
      <x:c r="J356" s="81"/>
      <x:c r="K356" s="81"/>
      <x:c r="L356" s="81"/>
      <x:c r="M356" s="81"/>
      <x:c r="N356" s="81"/>
      <x:c r="O356" s="81"/>
      <x:c r="P356" s="81"/>
      <x:c r="Q356" s="81"/>
      <x:c r="R356" s="81"/>
      <x:c r="S356" s="81"/>
      <x:c r="T356" s="81"/>
      <x:c r="U356" s="81"/>
      <x:c r="V356" s="81"/>
      <x:c r="W356" s="81"/>
      <x:c r="X356" s="81"/>
      <x:c r="Y356" s="81"/>
      <x:c r="Z356" s="81"/>
    </x:row>
    <x:row r="357">
      <x:c r="A357" s="81"/>
      <x:c r="B357" s="81"/>
      <x:c r="C357" s="81"/>
      <x:c r="D357" s="81"/>
      <x:c r="E357" s="81"/>
      <x:c r="F357" s="81"/>
      <x:c r="G357" s="81"/>
      <x:c r="H357" s="81"/>
      <x:c r="I357" s="81"/>
      <x:c r="J357" s="81"/>
      <x:c r="K357" s="81"/>
      <x:c r="L357" s="81"/>
      <x:c r="M357" s="81"/>
      <x:c r="N357" s="81"/>
      <x:c r="O357" s="81"/>
      <x:c r="P357" s="81"/>
      <x:c r="Q357" s="81"/>
      <x:c r="R357" s="81"/>
      <x:c r="S357" s="81"/>
      <x:c r="T357" s="81"/>
      <x:c r="U357" s="81"/>
      <x:c r="V357" s="81"/>
      <x:c r="W357" s="81"/>
      <x:c r="X357" s="81"/>
      <x:c r="Y357" s="81"/>
      <x:c r="Z357" s="81"/>
    </x:row>
    <x:row r="358">
      <x:c r="A358" s="81"/>
      <x:c r="B358" s="81"/>
      <x:c r="C358" s="81"/>
      <x:c r="D358" s="81"/>
      <x:c r="E358" s="81"/>
      <x:c r="F358" s="81"/>
      <x:c r="G358" s="81"/>
      <x:c r="H358" s="81"/>
      <x:c r="I358" s="81"/>
      <x:c r="J358" s="81"/>
      <x:c r="K358" s="81"/>
      <x:c r="L358" s="81"/>
      <x:c r="M358" s="81"/>
      <x:c r="N358" s="81"/>
      <x:c r="O358" s="81"/>
      <x:c r="P358" s="81"/>
      <x:c r="Q358" s="81"/>
      <x:c r="R358" s="81"/>
      <x:c r="S358" s="81"/>
      <x:c r="T358" s="81"/>
      <x:c r="U358" s="81"/>
      <x:c r="V358" s="81"/>
      <x:c r="W358" s="81"/>
      <x:c r="X358" s="81"/>
      <x:c r="Y358" s="81"/>
      <x:c r="Z358" s="81"/>
    </x:row>
    <x:row r="359">
      <x:c r="A359" s="81"/>
      <x:c r="B359" s="81"/>
      <x:c r="C359" s="81"/>
      <x:c r="D359" s="81"/>
      <x:c r="E359" s="81"/>
      <x:c r="F359" s="81"/>
      <x:c r="G359" s="81"/>
      <x:c r="H359" s="81"/>
      <x:c r="I359" s="81"/>
      <x:c r="J359" s="81"/>
      <x:c r="K359" s="81"/>
      <x:c r="L359" s="81"/>
      <x:c r="M359" s="81"/>
      <x:c r="N359" s="81"/>
      <x:c r="O359" s="81"/>
      <x:c r="P359" s="81"/>
      <x:c r="Q359" s="81"/>
      <x:c r="R359" s="81"/>
      <x:c r="S359" s="81"/>
      <x:c r="T359" s="81"/>
      <x:c r="U359" s="81"/>
      <x:c r="V359" s="81"/>
      <x:c r="W359" s="81"/>
      <x:c r="X359" s="81"/>
      <x:c r="Y359" s="81"/>
      <x:c r="Z359" s="81"/>
    </x:row>
    <x:row r="360">
      <x:c r="A360" s="81"/>
      <x:c r="B360" s="81"/>
      <x:c r="C360" s="81"/>
      <x:c r="D360" s="81"/>
      <x:c r="E360" s="81"/>
      <x:c r="F360" s="81"/>
      <x:c r="G360" s="81"/>
      <x:c r="H360" s="81"/>
      <x:c r="I360" s="81"/>
      <x:c r="J360" s="81"/>
      <x:c r="K360" s="81"/>
      <x:c r="L360" s="81"/>
      <x:c r="M360" s="81"/>
      <x:c r="N360" s="81"/>
      <x:c r="O360" s="81"/>
      <x:c r="P360" s="81"/>
      <x:c r="Q360" s="81"/>
      <x:c r="R360" s="81"/>
      <x:c r="S360" s="81"/>
      <x:c r="T360" s="81"/>
      <x:c r="U360" s="81"/>
      <x:c r="V360" s="81"/>
      <x:c r="W360" s="81"/>
      <x:c r="X360" s="81"/>
      <x:c r="Y360" s="81"/>
      <x:c r="Z360" s="81"/>
    </x:row>
    <x:row r="361">
      <x:c r="A361" s="81"/>
      <x:c r="B361" s="81"/>
      <x:c r="C361" s="81"/>
      <x:c r="D361" s="81"/>
      <x:c r="E361" s="81"/>
      <x:c r="F361" s="81"/>
      <x:c r="G361" s="81"/>
      <x:c r="H361" s="81"/>
      <x:c r="I361" s="81"/>
      <x:c r="J361" s="81"/>
      <x:c r="K361" s="81"/>
      <x:c r="L361" s="81"/>
      <x:c r="M361" s="81"/>
      <x:c r="N361" s="81"/>
      <x:c r="O361" s="81"/>
      <x:c r="P361" s="81"/>
      <x:c r="Q361" s="81"/>
      <x:c r="R361" s="81"/>
      <x:c r="S361" s="81"/>
      <x:c r="T361" s="81"/>
      <x:c r="U361" s="81"/>
      <x:c r="V361" s="81"/>
      <x:c r="W361" s="81"/>
      <x:c r="X361" s="81"/>
      <x:c r="Y361" s="81"/>
      <x:c r="Z361" s="81"/>
    </x:row>
    <x:row r="362">
      <x:c r="A362" s="81"/>
      <x:c r="B362" s="81"/>
      <x:c r="C362" s="81"/>
      <x:c r="D362" s="81"/>
      <x:c r="E362" s="81"/>
      <x:c r="F362" s="81"/>
      <x:c r="G362" s="81"/>
      <x:c r="H362" s="81"/>
      <x:c r="I362" s="81"/>
      <x:c r="J362" s="81"/>
      <x:c r="K362" s="81"/>
      <x:c r="L362" s="81"/>
      <x:c r="M362" s="81"/>
      <x:c r="N362" s="81"/>
      <x:c r="O362" s="81"/>
      <x:c r="P362" s="81"/>
      <x:c r="Q362" s="81"/>
      <x:c r="R362" s="81"/>
      <x:c r="S362" s="81"/>
      <x:c r="T362" s="81"/>
      <x:c r="U362" s="81"/>
      <x:c r="V362" s="81"/>
      <x:c r="W362" s="81"/>
      <x:c r="X362" s="81"/>
      <x:c r="Y362" s="81"/>
      <x:c r="Z362" s="81"/>
    </x:row>
    <x:row r="363">
      <x:c r="A363" s="81"/>
      <x:c r="B363" s="81"/>
      <x:c r="C363" s="81"/>
      <x:c r="D363" s="81"/>
      <x:c r="E363" s="81"/>
      <x:c r="F363" s="81"/>
      <x:c r="G363" s="81"/>
      <x:c r="H363" s="81"/>
      <x:c r="I363" s="81"/>
      <x:c r="J363" s="81"/>
      <x:c r="K363" s="81"/>
      <x:c r="L363" s="81"/>
      <x:c r="M363" s="81"/>
      <x:c r="N363" s="81"/>
      <x:c r="O363" s="81"/>
      <x:c r="P363" s="81"/>
      <x:c r="Q363" s="81"/>
      <x:c r="R363" s="81"/>
      <x:c r="S363" s="81"/>
      <x:c r="T363" s="81"/>
      <x:c r="U363" s="81"/>
      <x:c r="V363" s="81"/>
      <x:c r="W363" s="81"/>
      <x:c r="X363" s="81"/>
      <x:c r="Y363" s="81"/>
      <x:c r="Z363" s="81"/>
    </x:row>
    <x:row r="364">
      <x:c r="A364" s="81"/>
      <x:c r="B364" s="81"/>
      <x:c r="C364" s="81"/>
      <x:c r="D364" s="81"/>
      <x:c r="E364" s="81"/>
      <x:c r="F364" s="81"/>
      <x:c r="G364" s="81"/>
      <x:c r="H364" s="81"/>
      <x:c r="I364" s="81"/>
      <x:c r="J364" s="81"/>
      <x:c r="K364" s="81"/>
      <x:c r="L364" s="81"/>
      <x:c r="M364" s="81"/>
      <x:c r="N364" s="81"/>
      <x:c r="O364" s="81"/>
      <x:c r="P364" s="81"/>
      <x:c r="Q364" s="81"/>
      <x:c r="R364" s="81"/>
      <x:c r="S364" s="81"/>
      <x:c r="T364" s="81"/>
      <x:c r="U364" s="81"/>
      <x:c r="V364" s="81"/>
      <x:c r="W364" s="81"/>
      <x:c r="X364" s="81"/>
      <x:c r="Y364" s="81"/>
      <x:c r="Z364" s="81"/>
    </x:row>
    <x:row r="365">
      <x:c r="A365" s="81"/>
      <x:c r="B365" s="81"/>
      <x:c r="C365" s="81"/>
      <x:c r="D365" s="81"/>
      <x:c r="E365" s="81"/>
      <x:c r="F365" s="81"/>
      <x:c r="G365" s="81"/>
      <x:c r="H365" s="81"/>
      <x:c r="I365" s="81"/>
      <x:c r="J365" s="81"/>
      <x:c r="K365" s="81"/>
      <x:c r="L365" s="81"/>
      <x:c r="M365" s="81"/>
      <x:c r="N365" s="81"/>
      <x:c r="O365" s="81"/>
      <x:c r="P365" s="81"/>
      <x:c r="Q365" s="81"/>
      <x:c r="R365" s="81"/>
      <x:c r="S365" s="81"/>
      <x:c r="T365" s="81"/>
      <x:c r="U365" s="81"/>
      <x:c r="V365" s="81"/>
      <x:c r="W365" s="81"/>
      <x:c r="X365" s="81"/>
      <x:c r="Y365" s="81"/>
      <x:c r="Z365" s="81"/>
    </x:row>
    <x:row r="366">
      <x:c r="A366" s="81"/>
      <x:c r="B366" s="81"/>
      <x:c r="C366" s="81"/>
      <x:c r="D366" s="81"/>
      <x:c r="E366" s="81"/>
      <x:c r="F366" s="81"/>
      <x:c r="G366" s="81"/>
      <x:c r="H366" s="81"/>
      <x:c r="I366" s="81"/>
      <x:c r="J366" s="81"/>
      <x:c r="K366" s="81"/>
      <x:c r="L366" s="81"/>
      <x:c r="M366" s="81"/>
      <x:c r="N366" s="81"/>
      <x:c r="O366" s="81"/>
      <x:c r="P366" s="81"/>
      <x:c r="Q366" s="81"/>
      <x:c r="R366" s="81"/>
      <x:c r="S366" s="81"/>
      <x:c r="T366" s="81"/>
      <x:c r="U366" s="81"/>
      <x:c r="V366" s="81"/>
      <x:c r="W366" s="81"/>
      <x:c r="X366" s="81"/>
      <x:c r="Y366" s="81"/>
      <x:c r="Z366" s="81"/>
    </x:row>
    <x:row r="367">
      <x:c r="A367" s="81"/>
      <x:c r="B367" s="81"/>
      <x:c r="C367" s="81"/>
      <x:c r="D367" s="81"/>
      <x:c r="E367" s="81"/>
      <x:c r="F367" s="81"/>
      <x:c r="G367" s="81"/>
      <x:c r="H367" s="81"/>
      <x:c r="I367" s="81"/>
      <x:c r="J367" s="81"/>
      <x:c r="K367" s="81"/>
      <x:c r="L367" s="81"/>
      <x:c r="M367" s="81"/>
      <x:c r="N367" s="81"/>
      <x:c r="O367" s="81"/>
      <x:c r="P367" s="81"/>
      <x:c r="Q367" s="81"/>
      <x:c r="R367" s="81"/>
      <x:c r="S367" s="81"/>
      <x:c r="T367" s="81"/>
      <x:c r="U367" s="81"/>
      <x:c r="V367" s="81"/>
      <x:c r="W367" s="81"/>
      <x:c r="X367" s="81"/>
      <x:c r="Y367" s="81"/>
      <x:c r="Z367" s="81"/>
    </x:row>
    <x:row r="368">
      <x:c r="A368" s="81"/>
      <x:c r="B368" s="81"/>
      <x:c r="C368" s="81"/>
      <x:c r="D368" s="81"/>
      <x:c r="E368" s="81"/>
      <x:c r="F368" s="81"/>
      <x:c r="G368" s="81"/>
      <x:c r="H368" s="81"/>
      <x:c r="I368" s="81"/>
      <x:c r="J368" s="81"/>
      <x:c r="K368" s="81"/>
      <x:c r="L368" s="81"/>
      <x:c r="M368" s="81"/>
      <x:c r="N368" s="81"/>
      <x:c r="O368" s="81"/>
      <x:c r="P368" s="81"/>
      <x:c r="Q368" s="81"/>
      <x:c r="R368" s="81"/>
      <x:c r="S368" s="81"/>
      <x:c r="T368" s="81"/>
      <x:c r="U368" s="81"/>
      <x:c r="V368" s="81"/>
      <x:c r="W368" s="81"/>
      <x:c r="X368" s="81"/>
      <x:c r="Y368" s="81"/>
      <x:c r="Z368" s="81"/>
    </x:row>
    <x:row r="369">
      <x:c r="A369" s="81"/>
      <x:c r="B369" s="81"/>
      <x:c r="C369" s="81"/>
      <x:c r="D369" s="81"/>
      <x:c r="E369" s="81"/>
      <x:c r="F369" s="81"/>
      <x:c r="G369" s="81"/>
      <x:c r="H369" s="81"/>
      <x:c r="I369" s="81"/>
      <x:c r="J369" s="81"/>
      <x:c r="K369" s="81"/>
      <x:c r="L369" s="81"/>
      <x:c r="M369" s="81"/>
      <x:c r="N369" s="81"/>
      <x:c r="O369" s="81"/>
      <x:c r="P369" s="81"/>
      <x:c r="Q369" s="81"/>
      <x:c r="R369" s="81"/>
      <x:c r="S369" s="81"/>
      <x:c r="T369" s="81"/>
      <x:c r="U369" s="81"/>
      <x:c r="V369" s="81"/>
      <x:c r="W369" s="81"/>
      <x:c r="X369" s="81"/>
      <x:c r="Y369" s="81"/>
      <x:c r="Z369" s="81"/>
    </x:row>
    <x:row r="370">
      <x:c r="A370" s="81"/>
      <x:c r="B370" s="81"/>
      <x:c r="C370" s="81"/>
      <x:c r="D370" s="81"/>
      <x:c r="E370" s="81"/>
      <x:c r="F370" s="81"/>
      <x:c r="G370" s="81"/>
      <x:c r="H370" s="81"/>
      <x:c r="I370" s="81"/>
      <x:c r="J370" s="81"/>
      <x:c r="K370" s="81"/>
      <x:c r="L370" s="81"/>
      <x:c r="M370" s="81"/>
      <x:c r="N370" s="81"/>
      <x:c r="O370" s="81"/>
      <x:c r="P370" s="81"/>
      <x:c r="Q370" s="81"/>
      <x:c r="R370" s="81"/>
      <x:c r="S370" s="81"/>
      <x:c r="T370" s="81"/>
      <x:c r="U370" s="81"/>
      <x:c r="V370" s="81"/>
      <x:c r="W370" s="81"/>
      <x:c r="X370" s="81"/>
      <x:c r="Y370" s="81"/>
      <x:c r="Z370" s="81"/>
    </x:row>
    <x:row r="371">
      <x:c r="A371" s="81"/>
      <x:c r="B371" s="81"/>
      <x:c r="C371" s="81"/>
      <x:c r="D371" s="81"/>
      <x:c r="E371" s="81"/>
      <x:c r="F371" s="81"/>
      <x:c r="G371" s="81"/>
      <x:c r="H371" s="81"/>
      <x:c r="I371" s="81"/>
      <x:c r="J371" s="81"/>
      <x:c r="K371" s="81"/>
      <x:c r="L371" s="81"/>
      <x:c r="M371" s="81"/>
      <x:c r="N371" s="81"/>
      <x:c r="O371" s="81"/>
      <x:c r="P371" s="81"/>
      <x:c r="Q371" s="81"/>
      <x:c r="R371" s="81"/>
      <x:c r="S371" s="81"/>
      <x:c r="T371" s="81"/>
      <x:c r="U371" s="81"/>
      <x:c r="V371" s="81"/>
      <x:c r="W371" s="81"/>
      <x:c r="X371" s="81"/>
      <x:c r="Y371" s="81"/>
      <x:c r="Z371" s="81"/>
    </x:row>
    <x:row r="372">
      <x:c r="A372" s="81"/>
      <x:c r="B372" s="81"/>
      <x:c r="C372" s="81"/>
      <x:c r="D372" s="81"/>
      <x:c r="E372" s="81"/>
      <x:c r="F372" s="81"/>
      <x:c r="G372" s="81"/>
      <x:c r="H372" s="81"/>
      <x:c r="I372" s="81"/>
      <x:c r="J372" s="81"/>
      <x:c r="K372" s="81"/>
      <x:c r="L372" s="81"/>
      <x:c r="M372" s="81"/>
      <x:c r="N372" s="81"/>
      <x:c r="O372" s="81"/>
      <x:c r="P372" s="81"/>
      <x:c r="Q372" s="81"/>
      <x:c r="R372" s="81"/>
      <x:c r="S372" s="81"/>
      <x:c r="T372" s="81"/>
      <x:c r="U372" s="81"/>
      <x:c r="V372" s="81"/>
      <x:c r="W372" s="81"/>
      <x:c r="X372" s="81"/>
      <x:c r="Y372" s="81"/>
      <x:c r="Z372" s="81"/>
    </x:row>
    <x:row r="373">
      <x:c r="A373" s="81"/>
      <x:c r="B373" s="81"/>
      <x:c r="C373" s="81"/>
      <x:c r="D373" s="81"/>
      <x:c r="E373" s="81"/>
      <x:c r="F373" s="81"/>
      <x:c r="G373" s="81"/>
      <x:c r="H373" s="81"/>
      <x:c r="I373" s="81"/>
      <x:c r="J373" s="81"/>
      <x:c r="K373" s="81"/>
      <x:c r="L373" s="81"/>
      <x:c r="M373" s="81"/>
      <x:c r="N373" s="81"/>
      <x:c r="O373" s="81"/>
      <x:c r="P373" s="81"/>
      <x:c r="Q373" s="81"/>
      <x:c r="R373" s="81"/>
      <x:c r="S373" s="81"/>
      <x:c r="T373" s="81"/>
      <x:c r="U373" s="81"/>
      <x:c r="V373" s="81"/>
      <x:c r="W373" s="81"/>
      <x:c r="X373" s="81"/>
      <x:c r="Y373" s="81"/>
      <x:c r="Z373" s="81"/>
    </x:row>
    <x:row r="374">
      <x:c r="A374" s="81"/>
      <x:c r="B374" s="81"/>
      <x:c r="C374" s="81"/>
      <x:c r="D374" s="81"/>
      <x:c r="E374" s="81"/>
      <x:c r="F374" s="81"/>
      <x:c r="G374" s="81"/>
      <x:c r="H374" s="81"/>
      <x:c r="I374" s="81"/>
      <x:c r="J374" s="81"/>
      <x:c r="K374" s="81"/>
      <x:c r="L374" s="81"/>
      <x:c r="M374" s="81"/>
      <x:c r="N374" s="81"/>
      <x:c r="O374" s="81"/>
      <x:c r="P374" s="81"/>
      <x:c r="Q374" s="81"/>
      <x:c r="R374" s="81"/>
      <x:c r="S374" s="81"/>
      <x:c r="T374" s="81"/>
      <x:c r="U374" s="81"/>
      <x:c r="V374" s="81"/>
      <x:c r="W374" s="81"/>
      <x:c r="X374" s="81"/>
      <x:c r="Y374" s="81"/>
      <x:c r="Z374" s="81"/>
    </x:row>
    <x:row r="375">
      <x:c r="A375" s="81"/>
      <x:c r="B375" s="81"/>
      <x:c r="C375" s="81"/>
      <x:c r="D375" s="81"/>
      <x:c r="E375" s="81"/>
      <x:c r="F375" s="81"/>
      <x:c r="G375" s="81"/>
      <x:c r="H375" s="81"/>
      <x:c r="I375" s="81"/>
      <x:c r="J375" s="81"/>
      <x:c r="K375" s="81"/>
      <x:c r="L375" s="81"/>
      <x:c r="M375" s="81"/>
      <x:c r="N375" s="81"/>
      <x:c r="O375" s="81"/>
      <x:c r="P375" s="81"/>
      <x:c r="Q375" s="81"/>
      <x:c r="R375" s="81"/>
      <x:c r="S375" s="81"/>
      <x:c r="T375" s="81"/>
      <x:c r="U375" s="81"/>
      <x:c r="V375" s="81"/>
      <x:c r="W375" s="81"/>
      <x:c r="X375" s="81"/>
      <x:c r="Y375" s="81"/>
      <x:c r="Z375" s="81"/>
    </x:row>
    <x:row r="376">
      <x:c r="A376" s="81"/>
      <x:c r="B376" s="81"/>
      <x:c r="C376" s="81"/>
      <x:c r="D376" s="81"/>
      <x:c r="E376" s="81"/>
      <x:c r="F376" s="81"/>
      <x:c r="G376" s="81"/>
      <x:c r="H376" s="81"/>
      <x:c r="I376" s="81"/>
      <x:c r="J376" s="81"/>
      <x:c r="K376" s="81"/>
      <x:c r="L376" s="81"/>
      <x:c r="M376" s="81"/>
      <x:c r="N376" s="81"/>
      <x:c r="O376" s="81"/>
      <x:c r="P376" s="81"/>
      <x:c r="Q376" s="81"/>
      <x:c r="R376" s="81"/>
      <x:c r="S376" s="81"/>
      <x:c r="T376" s="81"/>
      <x:c r="U376" s="81"/>
      <x:c r="V376" s="81"/>
      <x:c r="W376" s="81"/>
      <x:c r="X376" s="81"/>
      <x:c r="Y376" s="81"/>
      <x:c r="Z376" s="81"/>
    </x:row>
    <x:row r="377">
      <x:c r="A377" s="81"/>
      <x:c r="B377" s="81"/>
      <x:c r="C377" s="81"/>
      <x:c r="D377" s="81"/>
      <x:c r="E377" s="81"/>
      <x:c r="F377" s="81"/>
      <x:c r="G377" s="81"/>
      <x:c r="H377" s="81"/>
      <x:c r="I377" s="81"/>
      <x:c r="J377" s="81"/>
      <x:c r="K377" s="81"/>
      <x:c r="L377" s="81"/>
      <x:c r="M377" s="81"/>
      <x:c r="N377" s="81"/>
      <x:c r="O377" s="81"/>
      <x:c r="P377" s="81"/>
      <x:c r="Q377" s="81"/>
      <x:c r="R377" s="81"/>
      <x:c r="S377" s="81"/>
      <x:c r="T377" s="81"/>
      <x:c r="U377" s="81"/>
      <x:c r="V377" s="81"/>
      <x:c r="W377" s="81"/>
      <x:c r="X377" s="81"/>
      <x:c r="Y377" s="81"/>
      <x:c r="Z377" s="81"/>
    </x:row>
    <x:row r="378">
      <x:c r="A378" s="81"/>
      <x:c r="B378" s="81"/>
      <x:c r="C378" s="81"/>
      <x:c r="D378" s="81"/>
      <x:c r="E378" s="81"/>
      <x:c r="F378" s="81"/>
      <x:c r="G378" s="81"/>
      <x:c r="H378" s="81"/>
      <x:c r="I378" s="81"/>
      <x:c r="J378" s="81"/>
      <x:c r="K378" s="81"/>
      <x:c r="L378" s="81"/>
      <x:c r="M378" s="81"/>
      <x:c r="N378" s="81"/>
      <x:c r="O378" s="81"/>
      <x:c r="P378" s="81"/>
      <x:c r="Q378" s="81"/>
      <x:c r="R378" s="81"/>
      <x:c r="S378" s="81"/>
      <x:c r="T378" s="81"/>
      <x:c r="U378" s="81"/>
      <x:c r="V378" s="81"/>
      <x:c r="W378" s="81"/>
      <x:c r="X378" s="81"/>
      <x:c r="Y378" s="81"/>
      <x:c r="Z378" s="81"/>
    </x:row>
    <x:row r="379">
      <x:c r="A379" s="81"/>
      <x:c r="B379" s="81"/>
      <x:c r="C379" s="81"/>
      <x:c r="D379" s="81"/>
      <x:c r="E379" s="81"/>
      <x:c r="F379" s="81"/>
      <x:c r="G379" s="81"/>
      <x:c r="H379" s="81"/>
      <x:c r="I379" s="81"/>
      <x:c r="J379" s="81"/>
      <x:c r="K379" s="81"/>
      <x:c r="L379" s="81"/>
      <x:c r="M379" s="81"/>
      <x:c r="N379" s="81"/>
      <x:c r="O379" s="81"/>
      <x:c r="P379" s="81"/>
      <x:c r="Q379" s="81"/>
      <x:c r="R379" s="81"/>
      <x:c r="S379" s="81"/>
      <x:c r="T379" s="81"/>
      <x:c r="U379" s="81"/>
      <x:c r="V379" s="81"/>
      <x:c r="W379" s="81"/>
      <x:c r="X379" s="81"/>
      <x:c r="Y379" s="81"/>
      <x:c r="Z379" s="81"/>
    </x:row>
    <x:row r="380">
      <x:c r="A380" s="81"/>
      <x:c r="B380" s="81"/>
      <x:c r="C380" s="81"/>
      <x:c r="D380" s="81"/>
      <x:c r="E380" s="81"/>
      <x:c r="F380" s="81"/>
      <x:c r="G380" s="81"/>
      <x:c r="H380" s="81"/>
      <x:c r="I380" s="81"/>
      <x:c r="J380" s="81"/>
      <x:c r="K380" s="81"/>
      <x:c r="L380" s="81"/>
      <x:c r="M380" s="81"/>
      <x:c r="N380" s="81"/>
      <x:c r="O380" s="81"/>
      <x:c r="P380" s="81"/>
      <x:c r="Q380" s="81"/>
      <x:c r="R380" s="81"/>
      <x:c r="S380" s="81"/>
      <x:c r="T380" s="81"/>
      <x:c r="U380" s="81"/>
      <x:c r="V380" s="81"/>
      <x:c r="W380" s="81"/>
      <x:c r="X380" s="81"/>
      <x:c r="Y380" s="81"/>
      <x:c r="Z380" s="81"/>
    </x:row>
    <x:row r="381">
      <x:c r="A381" s="81"/>
      <x:c r="B381" s="81"/>
      <x:c r="C381" s="81"/>
      <x:c r="D381" s="81"/>
      <x:c r="E381" s="81"/>
      <x:c r="F381" s="81"/>
      <x:c r="G381" s="81"/>
      <x:c r="H381" s="81"/>
      <x:c r="I381" s="81"/>
      <x:c r="J381" s="81"/>
      <x:c r="K381" s="81"/>
      <x:c r="L381" s="81"/>
      <x:c r="M381" s="81"/>
      <x:c r="N381" s="81"/>
      <x:c r="O381" s="81"/>
      <x:c r="P381" s="81"/>
      <x:c r="Q381" s="81"/>
      <x:c r="R381" s="81"/>
      <x:c r="S381" s="81"/>
      <x:c r="T381" s="81"/>
      <x:c r="U381" s="81"/>
      <x:c r="V381" s="81"/>
      <x:c r="W381" s="81"/>
      <x:c r="X381" s="81"/>
      <x:c r="Y381" s="81"/>
      <x:c r="Z381" s="81"/>
    </x:row>
    <x:row r="382">
      <x:c r="A382" s="81"/>
      <x:c r="B382" s="81"/>
      <x:c r="C382" s="81"/>
      <x:c r="D382" s="81"/>
      <x:c r="E382" s="81"/>
      <x:c r="F382" s="81"/>
      <x:c r="G382" s="81"/>
      <x:c r="H382" s="81"/>
      <x:c r="I382" s="81"/>
      <x:c r="J382" s="81"/>
      <x:c r="K382" s="81"/>
      <x:c r="L382" s="81"/>
      <x:c r="M382" s="81"/>
      <x:c r="N382" s="81"/>
      <x:c r="O382" s="81"/>
      <x:c r="P382" s="81"/>
      <x:c r="Q382" s="81"/>
      <x:c r="R382" s="81"/>
      <x:c r="S382" s="81"/>
      <x:c r="T382" s="81"/>
      <x:c r="U382" s="81"/>
      <x:c r="V382" s="81"/>
      <x:c r="W382" s="81"/>
      <x:c r="X382" s="81"/>
      <x:c r="Y382" s="81"/>
      <x:c r="Z382" s="81"/>
    </x:row>
    <x:row r="383">
      <x:c r="A383" s="81"/>
      <x:c r="B383" s="81"/>
      <x:c r="C383" s="81"/>
      <x:c r="D383" s="81"/>
      <x:c r="E383" s="81"/>
      <x:c r="F383" s="81"/>
      <x:c r="G383" s="81"/>
      <x:c r="H383" s="81"/>
      <x:c r="I383" s="81"/>
      <x:c r="J383" s="81"/>
      <x:c r="K383" s="81"/>
      <x:c r="L383" s="81"/>
      <x:c r="M383" s="81"/>
      <x:c r="N383" s="81"/>
      <x:c r="O383" s="81"/>
      <x:c r="P383" s="81"/>
      <x:c r="Q383" s="81"/>
      <x:c r="R383" s="81"/>
      <x:c r="S383" s="81"/>
      <x:c r="T383" s="81"/>
      <x:c r="U383" s="81"/>
      <x:c r="V383" s="81"/>
      <x:c r="W383" s="81"/>
      <x:c r="X383" s="81"/>
      <x:c r="Y383" s="81"/>
      <x:c r="Z383" s="81"/>
    </x:row>
    <x:row r="384">
      <x:c r="A384" s="81"/>
      <x:c r="B384" s="81"/>
      <x:c r="C384" s="81"/>
      <x:c r="D384" s="81"/>
      <x:c r="E384" s="81"/>
      <x:c r="F384" s="81"/>
      <x:c r="G384" s="81"/>
      <x:c r="H384" s="81"/>
      <x:c r="I384" s="81"/>
      <x:c r="J384" s="81"/>
      <x:c r="K384" s="81"/>
      <x:c r="L384" s="81"/>
      <x:c r="M384" s="81"/>
      <x:c r="N384" s="81"/>
      <x:c r="O384" s="81"/>
      <x:c r="P384" s="81"/>
      <x:c r="Q384" s="81"/>
      <x:c r="R384" s="81"/>
      <x:c r="S384" s="81"/>
      <x:c r="T384" s="81"/>
      <x:c r="U384" s="81"/>
      <x:c r="V384" s="81"/>
      <x:c r="W384" s="81"/>
      <x:c r="X384" s="81"/>
      <x:c r="Y384" s="81"/>
      <x:c r="Z384" s="81"/>
    </x:row>
    <x:row r="385">
      <x:c r="A385" s="81"/>
      <x:c r="B385" s="81"/>
      <x:c r="C385" s="81"/>
      <x:c r="D385" s="81"/>
      <x:c r="E385" s="81"/>
      <x:c r="F385" s="81"/>
      <x:c r="G385" s="81"/>
      <x:c r="H385" s="81"/>
      <x:c r="I385" s="81"/>
      <x:c r="J385" s="81"/>
      <x:c r="K385" s="81"/>
      <x:c r="L385" s="81"/>
      <x:c r="M385" s="81"/>
      <x:c r="N385" s="81"/>
      <x:c r="O385" s="81"/>
      <x:c r="P385" s="81"/>
      <x:c r="Q385" s="81"/>
      <x:c r="R385" s="81"/>
      <x:c r="S385" s="81"/>
      <x:c r="T385" s="81"/>
      <x:c r="U385" s="81"/>
      <x:c r="V385" s="81"/>
      <x:c r="W385" s="81"/>
      <x:c r="X385" s="81"/>
      <x:c r="Y385" s="81"/>
      <x:c r="Z385" s="81"/>
    </x:row>
    <x:row r="386">
      <x:c r="A386" s="81"/>
      <x:c r="B386" s="81"/>
      <x:c r="C386" s="81"/>
      <x:c r="D386" s="81"/>
      <x:c r="E386" s="81"/>
      <x:c r="F386" s="81"/>
      <x:c r="G386" s="81"/>
      <x:c r="H386" s="81"/>
      <x:c r="I386" s="81"/>
      <x:c r="J386" s="81"/>
      <x:c r="K386" s="81"/>
      <x:c r="L386" s="81"/>
      <x:c r="M386" s="81"/>
      <x:c r="N386" s="81"/>
      <x:c r="O386" s="81"/>
      <x:c r="P386" s="81"/>
      <x:c r="Q386" s="81"/>
      <x:c r="R386" s="81"/>
      <x:c r="S386" s="81"/>
      <x:c r="T386" s="81"/>
      <x:c r="U386" s="81"/>
      <x:c r="V386" s="81"/>
      <x:c r="W386" s="81"/>
      <x:c r="X386" s="81"/>
      <x:c r="Y386" s="81"/>
      <x:c r="Z386" s="81"/>
    </x:row>
    <x:row r="387">
      <x:c r="A387" s="81"/>
      <x:c r="B387" s="81"/>
      <x:c r="C387" s="81"/>
      <x:c r="D387" s="81"/>
      <x:c r="E387" s="81"/>
      <x:c r="F387" s="81"/>
      <x:c r="G387" s="81"/>
      <x:c r="H387" s="81"/>
      <x:c r="I387" s="81"/>
      <x:c r="J387" s="81"/>
      <x:c r="K387" s="81"/>
      <x:c r="L387" s="81"/>
      <x:c r="M387" s="81"/>
      <x:c r="N387" s="81"/>
      <x:c r="O387" s="81"/>
      <x:c r="P387" s="81"/>
      <x:c r="Q387" s="81"/>
      <x:c r="R387" s="81"/>
      <x:c r="S387" s="81"/>
      <x:c r="T387" s="81"/>
      <x:c r="U387" s="81"/>
      <x:c r="V387" s="81"/>
      <x:c r="W387" s="81"/>
      <x:c r="X387" s="81"/>
      <x:c r="Y387" s="81"/>
      <x:c r="Z387" s="81"/>
    </x:row>
    <x:row r="388">
      <x:c r="A388" s="81"/>
      <x:c r="B388" s="81"/>
      <x:c r="C388" s="81"/>
      <x:c r="D388" s="81"/>
      <x:c r="E388" s="81"/>
      <x:c r="F388" s="81"/>
      <x:c r="G388" s="81"/>
      <x:c r="H388" s="81"/>
      <x:c r="I388" s="81"/>
      <x:c r="J388" s="81"/>
      <x:c r="K388" s="81"/>
      <x:c r="L388" s="81"/>
      <x:c r="M388" s="81"/>
      <x:c r="N388" s="81"/>
      <x:c r="O388" s="81"/>
      <x:c r="P388" s="81"/>
      <x:c r="Q388" s="81"/>
      <x:c r="R388" s="81"/>
      <x:c r="S388" s="81"/>
      <x:c r="T388" s="81"/>
      <x:c r="U388" s="81"/>
      <x:c r="V388" s="81"/>
      <x:c r="W388" s="81"/>
      <x:c r="X388" s="81"/>
      <x:c r="Y388" s="81"/>
      <x:c r="Z388" s="81"/>
    </x:row>
    <x:row r="389">
      <x:c r="A389" s="81"/>
      <x:c r="B389" s="81"/>
      <x:c r="C389" s="81"/>
      <x:c r="D389" s="81"/>
      <x:c r="E389" s="81"/>
      <x:c r="F389" s="81"/>
      <x:c r="G389" s="81"/>
      <x:c r="H389" s="81"/>
      <x:c r="I389" s="81"/>
      <x:c r="J389" s="81"/>
      <x:c r="K389" s="81"/>
      <x:c r="L389" s="81"/>
      <x:c r="M389" s="81"/>
      <x:c r="N389" s="81"/>
      <x:c r="O389" s="81"/>
      <x:c r="P389" s="81"/>
      <x:c r="Q389" s="81"/>
      <x:c r="R389" s="81"/>
      <x:c r="S389" s="81"/>
      <x:c r="T389" s="81"/>
      <x:c r="U389" s="81"/>
      <x:c r="V389" s="81"/>
      <x:c r="W389" s="81"/>
      <x:c r="X389" s="81"/>
      <x:c r="Y389" s="81"/>
      <x:c r="Z389" s="81"/>
    </x:row>
    <x:row r="390">
      <x:c r="A390" s="81"/>
      <x:c r="B390" s="81"/>
      <x:c r="C390" s="81"/>
      <x:c r="D390" s="81"/>
      <x:c r="E390" s="81"/>
      <x:c r="F390" s="81"/>
      <x:c r="G390" s="81"/>
      <x:c r="H390" s="81"/>
      <x:c r="I390" s="81"/>
      <x:c r="J390" s="81"/>
      <x:c r="K390" s="81"/>
      <x:c r="L390" s="81"/>
      <x:c r="M390" s="81"/>
      <x:c r="N390" s="81"/>
      <x:c r="O390" s="81"/>
      <x:c r="P390" s="81"/>
      <x:c r="Q390" s="81"/>
      <x:c r="R390" s="81"/>
      <x:c r="S390" s="81"/>
      <x:c r="T390" s="81"/>
      <x:c r="U390" s="81"/>
      <x:c r="V390" s="81"/>
      <x:c r="W390" s="81"/>
      <x:c r="X390" s="81"/>
      <x:c r="Y390" s="81"/>
      <x:c r="Z390" s="81"/>
    </x:row>
    <x:row r="391">
      <x:c r="A391" s="81"/>
      <x:c r="B391" s="81"/>
      <x:c r="C391" s="81"/>
      <x:c r="D391" s="81"/>
      <x:c r="E391" s="81"/>
      <x:c r="F391" s="81"/>
      <x:c r="G391" s="81"/>
      <x:c r="H391" s="81"/>
      <x:c r="I391" s="81"/>
      <x:c r="J391" s="81"/>
      <x:c r="K391" s="81"/>
      <x:c r="L391" s="81"/>
      <x:c r="M391" s="81"/>
      <x:c r="N391" s="81"/>
      <x:c r="O391" s="81"/>
      <x:c r="P391" s="81"/>
      <x:c r="Q391" s="81"/>
      <x:c r="R391" s="81"/>
      <x:c r="S391" s="81"/>
      <x:c r="T391" s="81"/>
      <x:c r="U391" s="81"/>
      <x:c r="V391" s="81"/>
      <x:c r="W391" s="81"/>
      <x:c r="X391" s="81"/>
      <x:c r="Y391" s="81"/>
      <x:c r="Z391" s="81"/>
    </x:row>
    <x:row r="392">
      <x:c r="A392" s="81"/>
      <x:c r="B392" s="81"/>
      <x:c r="C392" s="81"/>
      <x:c r="D392" s="81"/>
      <x:c r="E392" s="81"/>
      <x:c r="F392" s="81"/>
      <x:c r="G392" s="81"/>
      <x:c r="H392" s="81"/>
      <x:c r="I392" s="81"/>
      <x:c r="J392" s="81"/>
      <x:c r="K392" s="81"/>
      <x:c r="L392" s="81"/>
      <x:c r="M392" s="81"/>
      <x:c r="N392" s="81"/>
      <x:c r="O392" s="81"/>
      <x:c r="P392" s="81"/>
      <x:c r="Q392" s="81"/>
      <x:c r="R392" s="81"/>
      <x:c r="S392" s="81"/>
      <x:c r="T392" s="81"/>
      <x:c r="U392" s="81"/>
      <x:c r="V392" s="81"/>
      <x:c r="W392" s="81"/>
      <x:c r="X392" s="81"/>
      <x:c r="Y392" s="81"/>
      <x:c r="Z392" s="81"/>
    </x:row>
    <x:row r="393">
      <x:c r="A393" s="81"/>
      <x:c r="B393" s="81"/>
      <x:c r="C393" s="81"/>
      <x:c r="D393" s="81"/>
      <x:c r="E393" s="81"/>
      <x:c r="F393" s="81"/>
      <x:c r="G393" s="81"/>
      <x:c r="H393" s="81"/>
      <x:c r="I393" s="81"/>
      <x:c r="J393" s="81"/>
      <x:c r="K393" s="81"/>
      <x:c r="L393" s="81"/>
      <x:c r="M393" s="81"/>
      <x:c r="N393" s="81"/>
      <x:c r="O393" s="81"/>
      <x:c r="P393" s="81"/>
      <x:c r="Q393" s="81"/>
      <x:c r="R393" s="81"/>
      <x:c r="S393" s="81"/>
      <x:c r="T393" s="81"/>
      <x:c r="U393" s="81"/>
      <x:c r="V393" s="81"/>
      <x:c r="W393" s="81"/>
      <x:c r="X393" s="81"/>
      <x:c r="Y393" s="81"/>
      <x:c r="Z393" s="81"/>
    </x:row>
    <x:row r="394">
      <x:c r="A394" s="81"/>
      <x:c r="B394" s="81"/>
      <x:c r="C394" s="81"/>
      <x:c r="D394" s="81"/>
      <x:c r="E394" s="81"/>
      <x:c r="F394" s="81"/>
      <x:c r="G394" s="81"/>
      <x:c r="H394" s="81"/>
      <x:c r="I394" s="81"/>
      <x:c r="J394" s="81"/>
      <x:c r="K394" s="81"/>
      <x:c r="L394" s="81"/>
      <x:c r="M394" s="81"/>
      <x:c r="N394" s="81"/>
      <x:c r="O394" s="81"/>
      <x:c r="P394" s="81"/>
      <x:c r="Q394" s="81"/>
      <x:c r="R394" s="81"/>
      <x:c r="S394" s="81"/>
      <x:c r="T394" s="81"/>
      <x:c r="U394" s="81"/>
      <x:c r="V394" s="81"/>
      <x:c r="W394" s="81"/>
      <x:c r="X394" s="81"/>
      <x:c r="Y394" s="81"/>
      <x:c r="Z394" s="81"/>
    </x:row>
    <x:row r="395">
      <x:c r="A395" s="81"/>
      <x:c r="B395" s="81"/>
      <x:c r="C395" s="81"/>
      <x:c r="D395" s="81"/>
      <x:c r="E395" s="81"/>
      <x:c r="F395" s="81"/>
      <x:c r="G395" s="81"/>
      <x:c r="H395" s="81"/>
      <x:c r="I395" s="81"/>
      <x:c r="J395" s="81"/>
      <x:c r="K395" s="81"/>
      <x:c r="L395" s="81"/>
      <x:c r="M395" s="81"/>
      <x:c r="N395" s="81"/>
      <x:c r="O395" s="81"/>
      <x:c r="P395" s="81"/>
      <x:c r="Q395" s="81"/>
      <x:c r="R395" s="81"/>
      <x:c r="S395" s="81"/>
      <x:c r="T395" s="81"/>
      <x:c r="U395" s="81"/>
      <x:c r="V395" s="81"/>
      <x:c r="W395" s="81"/>
      <x:c r="X395" s="81"/>
      <x:c r="Y395" s="81"/>
      <x:c r="Z395" s="81"/>
    </x:row>
    <x:row r="396">
      <x:c r="A396" s="81"/>
      <x:c r="B396" s="81"/>
      <x:c r="C396" s="81"/>
      <x:c r="D396" s="81"/>
      <x:c r="E396" s="81"/>
      <x:c r="F396" s="81"/>
      <x:c r="G396" s="81"/>
      <x:c r="H396" s="81"/>
      <x:c r="I396" s="81"/>
      <x:c r="J396" s="81"/>
      <x:c r="K396" s="81"/>
      <x:c r="L396" s="81"/>
      <x:c r="M396" s="81"/>
      <x:c r="N396" s="81"/>
      <x:c r="O396" s="81"/>
      <x:c r="P396" s="81"/>
      <x:c r="Q396" s="81"/>
      <x:c r="R396" s="81"/>
      <x:c r="S396" s="81"/>
      <x:c r="T396" s="81"/>
      <x:c r="U396" s="81"/>
      <x:c r="V396" s="81"/>
      <x:c r="W396" s="81"/>
      <x:c r="X396" s="81"/>
      <x:c r="Y396" s="81"/>
      <x:c r="Z396" s="81"/>
    </x:row>
    <x:row r="397">
      <x:c r="A397" s="81"/>
      <x:c r="B397" s="81"/>
      <x:c r="C397" s="81"/>
      <x:c r="D397" s="81"/>
      <x:c r="E397" s="81"/>
      <x:c r="F397" s="81"/>
      <x:c r="G397" s="81"/>
      <x:c r="H397" s="81"/>
      <x:c r="I397" s="81"/>
      <x:c r="J397" s="81"/>
      <x:c r="K397" s="81"/>
      <x:c r="L397" s="81"/>
      <x:c r="M397" s="81"/>
      <x:c r="N397" s="81"/>
      <x:c r="O397" s="81"/>
      <x:c r="P397" s="81"/>
      <x:c r="Q397" s="81"/>
      <x:c r="R397" s="81"/>
      <x:c r="S397" s="81"/>
      <x:c r="T397" s="81"/>
      <x:c r="U397" s="81"/>
      <x:c r="V397" s="81"/>
      <x:c r="W397" s="81"/>
      <x:c r="X397" s="81"/>
      <x:c r="Y397" s="81"/>
      <x:c r="Z397" s="81"/>
    </x:row>
    <x:row r="398">
      <x:c r="A398" s="81"/>
      <x:c r="B398" s="81"/>
      <x:c r="C398" s="81"/>
      <x:c r="D398" s="81"/>
      <x:c r="E398" s="81"/>
      <x:c r="F398" s="81"/>
      <x:c r="G398" s="81"/>
      <x:c r="H398" s="81"/>
      <x:c r="I398" s="81"/>
      <x:c r="J398" s="81"/>
      <x:c r="K398" s="81"/>
      <x:c r="L398" s="81"/>
      <x:c r="M398" s="81"/>
      <x:c r="N398" s="81"/>
      <x:c r="O398" s="81"/>
      <x:c r="P398" s="81"/>
      <x:c r="Q398" s="81"/>
      <x:c r="R398" s="81"/>
      <x:c r="S398" s="81"/>
      <x:c r="T398" s="81"/>
      <x:c r="U398" s="81"/>
      <x:c r="V398" s="81"/>
      <x:c r="W398" s="81"/>
      <x:c r="X398" s="81"/>
      <x:c r="Y398" s="81"/>
      <x:c r="Z398" s="81"/>
    </x:row>
    <x:row r="399">
      <x:c r="A399" s="81"/>
      <x:c r="B399" s="81"/>
      <x:c r="C399" s="81"/>
      <x:c r="D399" s="81"/>
      <x:c r="E399" s="81"/>
      <x:c r="F399" s="81"/>
      <x:c r="G399" s="81"/>
      <x:c r="H399" s="81"/>
      <x:c r="I399" s="81"/>
      <x:c r="J399" s="81"/>
      <x:c r="K399" s="81"/>
      <x:c r="L399" s="81"/>
      <x:c r="M399" s="81"/>
      <x:c r="N399" s="81"/>
      <x:c r="O399" s="81"/>
      <x:c r="P399" s="81"/>
      <x:c r="Q399" s="81"/>
      <x:c r="R399" s="81"/>
      <x:c r="S399" s="81"/>
      <x:c r="T399" s="81"/>
      <x:c r="U399" s="81"/>
      <x:c r="V399" s="81"/>
      <x:c r="W399" s="81"/>
      <x:c r="X399" s="81"/>
      <x:c r="Y399" s="81"/>
      <x:c r="Z399" s="81"/>
    </x:row>
    <x:row r="400">
      <x:c r="A400" s="81"/>
      <x:c r="B400" s="81"/>
      <x:c r="C400" s="81"/>
      <x:c r="D400" s="81"/>
      <x:c r="E400" s="81"/>
      <x:c r="F400" s="81"/>
      <x:c r="G400" s="81"/>
      <x:c r="H400" s="81"/>
      <x:c r="I400" s="81"/>
      <x:c r="J400" s="81"/>
      <x:c r="K400" s="81"/>
      <x:c r="L400" s="81"/>
      <x:c r="M400" s="81"/>
      <x:c r="N400" s="81"/>
      <x:c r="O400" s="81"/>
      <x:c r="P400" s="81"/>
      <x:c r="Q400" s="81"/>
      <x:c r="R400" s="81"/>
      <x:c r="S400" s="81"/>
      <x:c r="T400" s="81"/>
      <x:c r="U400" s="81"/>
      <x:c r="V400" s="81"/>
      <x:c r="W400" s="81"/>
      <x:c r="X400" s="81"/>
      <x:c r="Y400" s="81"/>
      <x:c r="Z400" s="81"/>
    </x:row>
    <x:row r="401">
      <x:c r="A401" s="81"/>
      <x:c r="B401" s="81"/>
      <x:c r="C401" s="81"/>
      <x:c r="D401" s="81"/>
      <x:c r="E401" s="81"/>
      <x:c r="F401" s="81"/>
      <x:c r="G401" s="81"/>
      <x:c r="H401" s="81"/>
      <x:c r="I401" s="81"/>
      <x:c r="J401" s="81"/>
      <x:c r="K401" s="81"/>
      <x:c r="L401" s="81"/>
      <x:c r="M401" s="81"/>
      <x:c r="N401" s="81"/>
      <x:c r="O401" s="81"/>
      <x:c r="P401" s="81"/>
      <x:c r="Q401" s="81"/>
      <x:c r="R401" s="81"/>
      <x:c r="S401" s="81"/>
      <x:c r="T401" s="81"/>
      <x:c r="U401" s="81"/>
      <x:c r="V401" s="81"/>
      <x:c r="W401" s="81"/>
      <x:c r="X401" s="81"/>
      <x:c r="Y401" s="81"/>
      <x:c r="Z401" s="81"/>
    </x:row>
    <x:row r="402">
      <x:c r="A402" s="81"/>
      <x:c r="B402" s="81"/>
      <x:c r="C402" s="81"/>
      <x:c r="D402" s="81"/>
      <x:c r="E402" s="81"/>
      <x:c r="F402" s="81"/>
      <x:c r="G402" s="81"/>
      <x:c r="H402" s="81"/>
      <x:c r="I402" s="81"/>
      <x:c r="J402" s="81"/>
      <x:c r="K402" s="81"/>
      <x:c r="L402" s="81"/>
      <x:c r="M402" s="81"/>
      <x:c r="N402" s="81"/>
      <x:c r="O402" s="81"/>
      <x:c r="P402" s="81"/>
      <x:c r="Q402" s="81"/>
      <x:c r="R402" s="81"/>
      <x:c r="S402" s="81"/>
      <x:c r="T402" s="81"/>
      <x:c r="U402" s="81"/>
      <x:c r="V402" s="81"/>
      <x:c r="W402" s="81"/>
      <x:c r="X402" s="81"/>
      <x:c r="Y402" s="81"/>
      <x:c r="Z402" s="81"/>
    </x:row>
    <x:row r="403">
      <x:c r="A403" s="81"/>
      <x:c r="B403" s="81"/>
      <x:c r="C403" s="81"/>
      <x:c r="D403" s="81"/>
      <x:c r="E403" s="81"/>
      <x:c r="F403" s="81"/>
      <x:c r="G403" s="81"/>
      <x:c r="H403" s="81"/>
      <x:c r="I403" s="81"/>
      <x:c r="J403" s="81"/>
      <x:c r="K403" s="81"/>
      <x:c r="L403" s="81"/>
      <x:c r="M403" s="81"/>
      <x:c r="N403" s="81"/>
      <x:c r="O403" s="81"/>
      <x:c r="P403" s="81"/>
      <x:c r="Q403" s="81"/>
      <x:c r="R403" s="81"/>
      <x:c r="S403" s="81"/>
      <x:c r="T403" s="81"/>
      <x:c r="U403" s="81"/>
      <x:c r="V403" s="81"/>
      <x:c r="W403" s="81"/>
      <x:c r="X403" s="81"/>
      <x:c r="Y403" s="81"/>
      <x:c r="Z403" s="81"/>
    </x:row>
    <x:row r="404">
      <x:c r="A404" s="81"/>
      <x:c r="B404" s="81"/>
      <x:c r="C404" s="81"/>
      <x:c r="D404" s="81"/>
      <x:c r="E404" s="81"/>
      <x:c r="F404" s="81"/>
      <x:c r="G404" s="81"/>
      <x:c r="H404" s="81"/>
      <x:c r="I404" s="81"/>
      <x:c r="J404" s="81"/>
      <x:c r="K404" s="81"/>
      <x:c r="L404" s="81"/>
      <x:c r="M404" s="81"/>
      <x:c r="N404" s="81"/>
      <x:c r="O404" s="81"/>
      <x:c r="P404" s="81"/>
      <x:c r="Q404" s="81"/>
      <x:c r="R404" s="81"/>
      <x:c r="S404" s="81"/>
      <x:c r="T404" s="81"/>
      <x:c r="U404" s="81"/>
      <x:c r="V404" s="81"/>
      <x:c r="W404" s="81"/>
      <x:c r="X404" s="81"/>
      <x:c r="Y404" s="81"/>
      <x:c r="Z404" s="81"/>
    </x:row>
    <x:row r="405">
      <x:c r="A405" s="81"/>
      <x:c r="B405" s="81"/>
      <x:c r="C405" s="81"/>
      <x:c r="D405" s="81"/>
      <x:c r="E405" s="81"/>
      <x:c r="F405" s="81"/>
      <x:c r="G405" s="81"/>
      <x:c r="H405" s="81"/>
      <x:c r="I405" s="81"/>
      <x:c r="J405" s="81"/>
      <x:c r="K405" s="81"/>
      <x:c r="L405" s="81"/>
      <x:c r="M405" s="81"/>
      <x:c r="N405" s="81"/>
      <x:c r="O405" s="81"/>
      <x:c r="P405" s="81"/>
      <x:c r="Q405" s="81"/>
      <x:c r="R405" s="81"/>
      <x:c r="S405" s="81"/>
      <x:c r="T405" s="81"/>
      <x:c r="U405" s="81"/>
      <x:c r="V405" s="81"/>
      <x:c r="W405" s="81"/>
      <x:c r="X405" s="81"/>
      <x:c r="Y405" s="81"/>
      <x:c r="Z405" s="81"/>
    </x:row>
    <x:row r="406">
      <x:c r="A406" s="81"/>
      <x:c r="B406" s="81"/>
      <x:c r="C406" s="81"/>
      <x:c r="D406" s="81"/>
      <x:c r="E406" s="81"/>
      <x:c r="F406" s="81"/>
      <x:c r="G406" s="81"/>
      <x:c r="H406" s="81"/>
      <x:c r="I406" s="81"/>
      <x:c r="J406" s="81"/>
      <x:c r="K406" s="81"/>
      <x:c r="L406" s="81"/>
      <x:c r="M406" s="81"/>
      <x:c r="N406" s="81"/>
      <x:c r="O406" s="81"/>
      <x:c r="P406" s="81"/>
      <x:c r="Q406" s="81"/>
      <x:c r="R406" s="81"/>
      <x:c r="S406" s="81"/>
      <x:c r="T406" s="81"/>
      <x:c r="U406" s="81"/>
      <x:c r="V406" s="81"/>
      <x:c r="W406" s="81"/>
      <x:c r="X406" s="81"/>
      <x:c r="Y406" s="81"/>
      <x:c r="Z406" s="81"/>
    </x:row>
    <x:row r="407">
      <x:c r="A407" s="81"/>
      <x:c r="B407" s="81"/>
      <x:c r="C407" s="81"/>
      <x:c r="D407" s="81"/>
      <x:c r="E407" s="81"/>
      <x:c r="F407" s="81"/>
      <x:c r="G407" s="81"/>
      <x:c r="H407" s="81"/>
      <x:c r="I407" s="81"/>
      <x:c r="J407" s="81"/>
      <x:c r="K407" s="81"/>
      <x:c r="L407" s="81"/>
      <x:c r="M407" s="81"/>
      <x:c r="N407" s="81"/>
      <x:c r="O407" s="81"/>
      <x:c r="P407" s="81"/>
      <x:c r="Q407" s="81"/>
      <x:c r="R407" s="81"/>
      <x:c r="S407" s="81"/>
      <x:c r="T407" s="81"/>
      <x:c r="U407" s="81"/>
      <x:c r="V407" s="81"/>
      <x:c r="W407" s="81"/>
      <x:c r="X407" s="81"/>
      <x:c r="Y407" s="81"/>
      <x:c r="Z407" s="81"/>
    </x:row>
    <x:row r="408">
      <x:c r="A408" s="81"/>
      <x:c r="B408" s="81"/>
      <x:c r="C408" s="81"/>
      <x:c r="D408" s="81"/>
      <x:c r="E408" s="81"/>
      <x:c r="F408" s="81"/>
      <x:c r="G408" s="81"/>
      <x:c r="H408" s="81"/>
      <x:c r="I408" s="81"/>
      <x:c r="J408" s="81"/>
      <x:c r="K408" s="81"/>
      <x:c r="L408" s="81"/>
      <x:c r="M408" s="81"/>
      <x:c r="N408" s="81"/>
      <x:c r="O408" s="81"/>
      <x:c r="P408" s="81"/>
      <x:c r="Q408" s="81"/>
      <x:c r="R408" s="81"/>
      <x:c r="S408" s="81"/>
      <x:c r="T408" s="81"/>
      <x:c r="U408" s="81"/>
      <x:c r="V408" s="81"/>
      <x:c r="W408" s="81"/>
      <x:c r="X408" s="81"/>
      <x:c r="Y408" s="81"/>
      <x:c r="Z408" s="81"/>
    </x:row>
    <x:row r="409">
      <x:c r="A409" s="81"/>
      <x:c r="B409" s="81"/>
      <x:c r="C409" s="81"/>
      <x:c r="D409" s="81"/>
      <x:c r="E409" s="81"/>
      <x:c r="F409" s="81"/>
      <x:c r="G409" s="81"/>
      <x:c r="H409" s="81"/>
      <x:c r="I409" s="81"/>
      <x:c r="J409" s="81"/>
      <x:c r="K409" s="81"/>
      <x:c r="L409" s="81"/>
      <x:c r="M409" s="81"/>
      <x:c r="N409" s="81"/>
      <x:c r="O409" s="81"/>
      <x:c r="P409" s="81"/>
      <x:c r="Q409" s="81"/>
      <x:c r="R409" s="81"/>
      <x:c r="S409" s="81"/>
      <x:c r="T409" s="81"/>
      <x:c r="U409" s="81"/>
      <x:c r="V409" s="81"/>
      <x:c r="W409" s="81"/>
      <x:c r="X409" s="81"/>
      <x:c r="Y409" s="81"/>
      <x:c r="Z409" s="81"/>
    </x:row>
    <x:row r="410">
      <x:c r="A410" s="81"/>
      <x:c r="B410" s="81"/>
      <x:c r="C410" s="81"/>
      <x:c r="D410" s="81"/>
      <x:c r="E410" s="81"/>
      <x:c r="F410" s="81"/>
      <x:c r="G410" s="81"/>
      <x:c r="H410" s="81"/>
      <x:c r="I410" s="81"/>
      <x:c r="J410" s="81"/>
      <x:c r="K410" s="81"/>
      <x:c r="L410" s="81"/>
      <x:c r="M410" s="81"/>
      <x:c r="N410" s="81"/>
      <x:c r="O410" s="81"/>
      <x:c r="P410" s="81"/>
      <x:c r="Q410" s="81"/>
      <x:c r="R410" s="81"/>
      <x:c r="S410" s="81"/>
      <x:c r="T410" s="81"/>
      <x:c r="U410" s="81"/>
      <x:c r="V410" s="81"/>
      <x:c r="W410" s="81"/>
      <x:c r="X410" s="81"/>
      <x:c r="Y410" s="81"/>
      <x:c r="Z410" s="81"/>
    </x:row>
    <x:row r="411">
      <x:c r="A411" s="81"/>
      <x:c r="B411" s="81"/>
      <x:c r="C411" s="81"/>
      <x:c r="D411" s="81"/>
      <x:c r="E411" s="81"/>
      <x:c r="F411" s="81"/>
      <x:c r="G411" s="81"/>
      <x:c r="H411" s="81"/>
      <x:c r="I411" s="81"/>
      <x:c r="J411" s="81"/>
      <x:c r="K411" s="81"/>
      <x:c r="L411" s="81"/>
      <x:c r="M411" s="81"/>
      <x:c r="N411" s="81"/>
      <x:c r="O411" s="81"/>
      <x:c r="P411" s="81"/>
      <x:c r="Q411" s="81"/>
      <x:c r="R411" s="81"/>
      <x:c r="S411" s="81"/>
      <x:c r="T411" s="81"/>
      <x:c r="U411" s="81"/>
      <x:c r="V411" s="81"/>
      <x:c r="W411" s="81"/>
      <x:c r="X411" s="81"/>
      <x:c r="Y411" s="81"/>
      <x:c r="Z411" s="81"/>
    </x:row>
    <x:row r="412">
      <x:c r="A412" s="81"/>
      <x:c r="B412" s="81"/>
      <x:c r="C412" s="81"/>
      <x:c r="D412" s="81"/>
      <x:c r="E412" s="81"/>
      <x:c r="F412" s="81"/>
      <x:c r="G412" s="81"/>
      <x:c r="H412" s="81"/>
      <x:c r="I412" s="81"/>
      <x:c r="J412" s="81"/>
      <x:c r="K412" s="81"/>
      <x:c r="L412" s="81"/>
      <x:c r="M412" s="81"/>
      <x:c r="N412" s="81"/>
      <x:c r="O412" s="81"/>
      <x:c r="P412" s="81"/>
      <x:c r="Q412" s="81"/>
      <x:c r="R412" s="81"/>
      <x:c r="S412" s="81"/>
      <x:c r="T412" s="81"/>
      <x:c r="U412" s="81"/>
      <x:c r="V412" s="81"/>
      <x:c r="W412" s="81"/>
      <x:c r="X412" s="81"/>
      <x:c r="Y412" s="81"/>
      <x:c r="Z412" s="81"/>
    </x:row>
    <x:row r="413">
      <x:c r="A413" s="81"/>
      <x:c r="B413" s="81"/>
      <x:c r="C413" s="81"/>
      <x:c r="D413" s="81"/>
      <x:c r="E413" s="81"/>
      <x:c r="F413" s="81"/>
      <x:c r="G413" s="81"/>
      <x:c r="H413" s="81"/>
      <x:c r="I413" s="81"/>
      <x:c r="J413" s="81"/>
      <x:c r="K413" s="81"/>
      <x:c r="L413" s="81"/>
      <x:c r="M413" s="81"/>
      <x:c r="N413" s="81"/>
      <x:c r="O413" s="81"/>
      <x:c r="P413" s="81"/>
      <x:c r="Q413" s="81"/>
      <x:c r="R413" s="81"/>
      <x:c r="S413" s="81"/>
      <x:c r="T413" s="81"/>
      <x:c r="U413" s="81"/>
      <x:c r="V413" s="81"/>
      <x:c r="W413" s="81"/>
      <x:c r="X413" s="81"/>
      <x:c r="Y413" s="81"/>
      <x:c r="Z413" s="81"/>
    </x:row>
    <x:row r="414">
      <x:c r="A414" s="81"/>
      <x:c r="B414" s="81"/>
      <x:c r="C414" s="81"/>
      <x:c r="D414" s="81"/>
      <x:c r="E414" s="81"/>
      <x:c r="F414" s="81"/>
      <x:c r="G414" s="81"/>
      <x:c r="H414" s="81"/>
      <x:c r="I414" s="81"/>
      <x:c r="J414" s="81"/>
      <x:c r="K414" s="81"/>
      <x:c r="L414" s="81"/>
      <x:c r="M414" s="81"/>
      <x:c r="N414" s="81"/>
      <x:c r="O414" s="81"/>
      <x:c r="P414" s="81"/>
      <x:c r="Q414" s="81"/>
      <x:c r="R414" s="81"/>
      <x:c r="S414" s="81"/>
      <x:c r="T414" s="81"/>
      <x:c r="U414" s="81"/>
      <x:c r="V414" s="81"/>
      <x:c r="W414" s="81"/>
      <x:c r="X414" s="81"/>
      <x:c r="Y414" s="81"/>
      <x:c r="Z414" s="81"/>
    </x:row>
    <x:row r="415">
      <x:c r="A415" s="81"/>
      <x:c r="B415" s="81"/>
      <x:c r="C415" s="81"/>
      <x:c r="D415" s="81"/>
      <x:c r="E415" s="81"/>
      <x:c r="F415" s="81"/>
      <x:c r="G415" s="81"/>
      <x:c r="H415" s="81"/>
      <x:c r="I415" s="81"/>
      <x:c r="J415" s="81"/>
      <x:c r="K415" s="81"/>
      <x:c r="L415" s="81"/>
      <x:c r="M415" s="81"/>
      <x:c r="N415" s="81"/>
      <x:c r="O415" s="81"/>
      <x:c r="P415" s="81"/>
      <x:c r="Q415" s="81"/>
      <x:c r="R415" s="81"/>
      <x:c r="S415" s="81"/>
      <x:c r="T415" s="81"/>
      <x:c r="U415" s="81"/>
      <x:c r="V415" s="81"/>
      <x:c r="W415" s="81"/>
      <x:c r="X415" s="81"/>
      <x:c r="Y415" s="81"/>
      <x:c r="Z415" s="81"/>
    </x:row>
    <x:row r="416">
      <x:c r="A416" s="81"/>
      <x:c r="B416" s="81"/>
      <x:c r="C416" s="81"/>
      <x:c r="D416" s="81"/>
      <x:c r="E416" s="81"/>
      <x:c r="F416" s="81"/>
      <x:c r="G416" s="81"/>
      <x:c r="H416" s="81"/>
      <x:c r="I416" s="81"/>
      <x:c r="J416" s="81"/>
      <x:c r="K416" s="81"/>
      <x:c r="L416" s="81"/>
      <x:c r="M416" s="81"/>
      <x:c r="N416" s="81"/>
      <x:c r="O416" s="81"/>
      <x:c r="P416" s="81"/>
      <x:c r="Q416" s="81"/>
      <x:c r="R416" s="81"/>
      <x:c r="S416" s="81"/>
      <x:c r="T416" s="81"/>
      <x:c r="U416" s="81"/>
      <x:c r="V416" s="81"/>
      <x:c r="W416" s="81"/>
      <x:c r="X416" s="81"/>
      <x:c r="Y416" s="81"/>
      <x:c r="Z416" s="81"/>
    </x:row>
    <x:row r="417">
      <x:c r="A417" s="81"/>
      <x:c r="B417" s="81"/>
      <x:c r="C417" s="81"/>
      <x:c r="D417" s="81"/>
      <x:c r="E417" s="81"/>
      <x:c r="F417" s="81"/>
      <x:c r="G417" s="81"/>
      <x:c r="H417" s="81"/>
      <x:c r="I417" s="81"/>
      <x:c r="J417" s="81"/>
      <x:c r="K417" s="81"/>
      <x:c r="L417" s="81"/>
      <x:c r="M417" s="81"/>
      <x:c r="N417" s="81"/>
      <x:c r="O417" s="81"/>
      <x:c r="P417" s="81"/>
      <x:c r="Q417" s="81"/>
      <x:c r="R417" s="81"/>
      <x:c r="S417" s="81"/>
      <x:c r="T417" s="81"/>
      <x:c r="U417" s="81"/>
      <x:c r="V417" s="81"/>
      <x:c r="W417" s="81"/>
      <x:c r="X417" s="81"/>
      <x:c r="Y417" s="81"/>
      <x:c r="Z417" s="81"/>
    </x:row>
    <x:row r="418">
      <x:c r="A418" s="81"/>
      <x:c r="B418" s="81"/>
      <x:c r="C418" s="81"/>
      <x:c r="D418" s="81"/>
      <x:c r="E418" s="81"/>
      <x:c r="F418" s="81"/>
      <x:c r="G418" s="81"/>
      <x:c r="H418" s="81"/>
      <x:c r="I418" s="81"/>
      <x:c r="J418" s="81"/>
      <x:c r="K418" s="81"/>
      <x:c r="L418" s="81"/>
      <x:c r="M418" s="81"/>
      <x:c r="N418" s="81"/>
      <x:c r="O418" s="81"/>
      <x:c r="P418" s="81"/>
      <x:c r="Q418" s="81"/>
      <x:c r="R418" s="81"/>
      <x:c r="S418" s="81"/>
      <x:c r="T418" s="81"/>
      <x:c r="U418" s="81"/>
      <x:c r="V418" s="81"/>
      <x:c r="W418" s="81"/>
      <x:c r="X418" s="81"/>
      <x:c r="Y418" s="81"/>
      <x:c r="Z418" s="81"/>
    </x:row>
    <x:row r="419">
      <x:c r="A419" s="81"/>
      <x:c r="B419" s="81"/>
      <x:c r="C419" s="81"/>
      <x:c r="D419" s="81"/>
      <x:c r="E419" s="81"/>
      <x:c r="F419" s="81"/>
      <x:c r="G419" s="81"/>
      <x:c r="H419" s="81"/>
      <x:c r="I419" s="81"/>
      <x:c r="J419" s="81"/>
      <x:c r="K419" s="81"/>
      <x:c r="L419" s="81"/>
      <x:c r="M419" s="81"/>
      <x:c r="N419" s="81"/>
      <x:c r="O419" s="81"/>
      <x:c r="P419" s="81"/>
      <x:c r="Q419" s="81"/>
      <x:c r="R419" s="81"/>
      <x:c r="S419" s="81"/>
      <x:c r="T419" s="81"/>
      <x:c r="U419" s="81"/>
      <x:c r="V419" s="81"/>
      <x:c r="W419" s="81"/>
      <x:c r="X419" s="81"/>
      <x:c r="Y419" s="81"/>
      <x:c r="Z419" s="81"/>
    </x:row>
    <x:row r="420">
      <x:c r="A420" s="81"/>
      <x:c r="B420" s="81"/>
      <x:c r="C420" s="81"/>
      <x:c r="D420" s="81"/>
      <x:c r="E420" s="81"/>
      <x:c r="F420" s="81"/>
      <x:c r="G420" s="81"/>
      <x:c r="H420" s="81"/>
      <x:c r="I420" s="81"/>
      <x:c r="J420" s="81"/>
      <x:c r="K420" s="81"/>
      <x:c r="L420" s="81"/>
      <x:c r="M420" s="81"/>
      <x:c r="N420" s="81"/>
      <x:c r="O420" s="81"/>
      <x:c r="P420" s="81"/>
      <x:c r="Q420" s="81"/>
      <x:c r="R420" s="81"/>
      <x:c r="S420" s="81"/>
      <x:c r="T420" s="81"/>
      <x:c r="U420" s="81"/>
      <x:c r="V420" s="81"/>
      <x:c r="W420" s="81"/>
      <x:c r="X420" s="81"/>
      <x:c r="Y420" s="81"/>
      <x:c r="Z420" s="81"/>
    </x:row>
    <x:row r="421">
      <x:c r="A421" s="81"/>
      <x:c r="B421" s="81"/>
      <x:c r="C421" s="81"/>
      <x:c r="D421" s="81"/>
      <x:c r="E421" s="81"/>
      <x:c r="F421" s="81"/>
      <x:c r="G421" s="81"/>
      <x:c r="H421" s="81"/>
      <x:c r="I421" s="81"/>
      <x:c r="J421" s="81"/>
      <x:c r="K421" s="81"/>
      <x:c r="L421" s="81"/>
      <x:c r="M421" s="81"/>
      <x:c r="N421" s="81"/>
      <x:c r="O421" s="81"/>
      <x:c r="P421" s="81"/>
      <x:c r="Q421" s="81"/>
      <x:c r="R421" s="81"/>
      <x:c r="S421" s="81"/>
      <x:c r="T421" s="81"/>
      <x:c r="U421" s="81"/>
      <x:c r="V421" s="81"/>
      <x:c r="W421" s="81"/>
      <x:c r="X421" s="81"/>
      <x:c r="Y421" s="81"/>
      <x:c r="Z421" s="81"/>
    </x:row>
    <x:row r="422">
      <x:c r="A422" s="81"/>
      <x:c r="B422" s="81"/>
      <x:c r="C422" s="81"/>
      <x:c r="D422" s="81"/>
      <x:c r="E422" s="81"/>
      <x:c r="F422" s="81"/>
      <x:c r="G422" s="81"/>
      <x:c r="H422" s="81"/>
      <x:c r="I422" s="81"/>
      <x:c r="J422" s="81"/>
      <x:c r="K422" s="81"/>
      <x:c r="L422" s="81"/>
      <x:c r="M422" s="81"/>
      <x:c r="N422" s="81"/>
      <x:c r="O422" s="81"/>
      <x:c r="P422" s="81"/>
      <x:c r="Q422" s="81"/>
      <x:c r="R422" s="81"/>
      <x:c r="S422" s="81"/>
      <x:c r="T422" s="81"/>
      <x:c r="U422" s="81"/>
      <x:c r="V422" s="81"/>
      <x:c r="W422" s="81"/>
      <x:c r="X422" s="81"/>
      <x:c r="Y422" s="81"/>
      <x:c r="Z422" s="81"/>
    </x:row>
    <x:row r="423">
      <x:c r="A423" s="81"/>
      <x:c r="B423" s="81"/>
      <x:c r="C423" s="81"/>
      <x:c r="D423" s="81"/>
      <x:c r="E423" s="81"/>
      <x:c r="F423" s="81"/>
      <x:c r="G423" s="81"/>
      <x:c r="H423" s="81"/>
      <x:c r="I423" s="81"/>
      <x:c r="J423" s="81"/>
      <x:c r="K423" s="81"/>
      <x:c r="L423" s="81"/>
      <x:c r="M423" s="81"/>
      <x:c r="N423" s="81"/>
      <x:c r="O423" s="81"/>
      <x:c r="P423" s="81"/>
      <x:c r="Q423" s="81"/>
      <x:c r="R423" s="81"/>
      <x:c r="S423" s="81"/>
      <x:c r="T423" s="81"/>
      <x:c r="U423" s="81"/>
      <x:c r="V423" s="81"/>
      <x:c r="W423" s="81"/>
      <x:c r="X423" s="81"/>
      <x:c r="Y423" s="81"/>
      <x:c r="Z423" s="81"/>
    </x:row>
    <x:row r="424">
      <x:c r="A424" s="81"/>
      <x:c r="B424" s="81"/>
      <x:c r="C424" s="81"/>
      <x:c r="D424" s="81"/>
      <x:c r="E424" s="81"/>
      <x:c r="F424" s="81"/>
      <x:c r="G424" s="81"/>
      <x:c r="H424" s="81"/>
      <x:c r="I424" s="81"/>
      <x:c r="J424" s="81"/>
      <x:c r="K424" s="81"/>
      <x:c r="L424" s="81"/>
      <x:c r="M424" s="81"/>
      <x:c r="N424" s="81"/>
      <x:c r="O424" s="81"/>
      <x:c r="P424" s="81"/>
      <x:c r="Q424" s="81"/>
      <x:c r="R424" s="81"/>
      <x:c r="S424" s="81"/>
      <x:c r="T424" s="81"/>
      <x:c r="U424" s="81"/>
      <x:c r="V424" s="81"/>
      <x:c r="W424" s="81"/>
      <x:c r="X424" s="81"/>
      <x:c r="Y424" s="81"/>
      <x:c r="Z424" s="81"/>
    </x:row>
    <x:row r="425">
      <x:c r="A425" s="81"/>
      <x:c r="B425" s="81"/>
      <x:c r="C425" s="81"/>
      <x:c r="D425" s="81"/>
      <x:c r="E425" s="81"/>
      <x:c r="F425" s="81"/>
      <x:c r="G425" s="81"/>
      <x:c r="H425" s="81"/>
      <x:c r="I425" s="81"/>
      <x:c r="J425" s="81"/>
      <x:c r="K425" s="81"/>
      <x:c r="L425" s="81"/>
      <x:c r="M425" s="81"/>
      <x:c r="N425" s="81"/>
      <x:c r="O425" s="81"/>
      <x:c r="P425" s="81"/>
      <x:c r="Q425" s="81"/>
      <x:c r="R425" s="81"/>
      <x:c r="S425" s="81"/>
      <x:c r="T425" s="81"/>
      <x:c r="U425" s="81"/>
      <x:c r="V425" s="81"/>
      <x:c r="W425" s="81"/>
      <x:c r="X425" s="81"/>
      <x:c r="Y425" s="81"/>
      <x:c r="Z425" s="81"/>
    </x:row>
    <x:row r="426">
      <x:c r="A426" s="81"/>
      <x:c r="B426" s="81"/>
      <x:c r="C426" s="81"/>
      <x:c r="D426" s="81"/>
      <x:c r="E426" s="81"/>
      <x:c r="F426" s="81"/>
      <x:c r="G426" s="81"/>
      <x:c r="H426" s="81"/>
      <x:c r="I426" s="81"/>
      <x:c r="J426" s="81"/>
      <x:c r="K426" s="81"/>
      <x:c r="L426" s="81"/>
      <x:c r="M426" s="81"/>
      <x:c r="N426" s="81"/>
      <x:c r="O426" s="81"/>
      <x:c r="P426" s="81"/>
      <x:c r="Q426" s="81"/>
      <x:c r="R426" s="81"/>
      <x:c r="S426" s="81"/>
      <x:c r="T426" s="81"/>
      <x:c r="U426" s="81"/>
      <x:c r="V426" s="81"/>
      <x:c r="W426" s="81"/>
      <x:c r="X426" s="81"/>
      <x:c r="Y426" s="81"/>
      <x:c r="Z426" s="81"/>
    </x:row>
    <x:row r="427">
      <x:c r="A427" s="81"/>
      <x:c r="B427" s="81"/>
      <x:c r="C427" s="81"/>
      <x:c r="D427" s="81"/>
      <x:c r="E427" s="81"/>
      <x:c r="F427" s="81"/>
      <x:c r="G427" s="81"/>
      <x:c r="H427" s="81"/>
      <x:c r="I427" s="81"/>
      <x:c r="J427" s="81"/>
      <x:c r="K427" s="81"/>
      <x:c r="L427" s="81"/>
      <x:c r="M427" s="81"/>
      <x:c r="N427" s="81"/>
      <x:c r="O427" s="81"/>
      <x:c r="P427" s="81"/>
      <x:c r="Q427" s="81"/>
      <x:c r="R427" s="81"/>
      <x:c r="S427" s="81"/>
      <x:c r="T427" s="81"/>
      <x:c r="U427" s="81"/>
      <x:c r="V427" s="81"/>
      <x:c r="W427" s="81"/>
      <x:c r="X427" s="81"/>
      <x:c r="Y427" s="81"/>
      <x:c r="Z427" s="81"/>
    </x:row>
    <x:row r="428">
      <x:c r="A428" s="81"/>
      <x:c r="B428" s="81"/>
      <x:c r="C428" s="81"/>
      <x:c r="D428" s="81"/>
      <x:c r="E428" s="81"/>
      <x:c r="F428" s="81"/>
      <x:c r="G428" s="81"/>
      <x:c r="H428" s="81"/>
      <x:c r="I428" s="81"/>
      <x:c r="J428" s="81"/>
      <x:c r="K428" s="81"/>
      <x:c r="L428" s="81"/>
      <x:c r="M428" s="81"/>
      <x:c r="N428" s="81"/>
      <x:c r="O428" s="81"/>
      <x:c r="P428" s="81"/>
      <x:c r="Q428" s="81"/>
      <x:c r="R428" s="81"/>
      <x:c r="S428" s="81"/>
      <x:c r="T428" s="81"/>
      <x:c r="U428" s="81"/>
      <x:c r="V428" s="81"/>
      <x:c r="W428" s="81"/>
      <x:c r="X428" s="81"/>
      <x:c r="Y428" s="81"/>
      <x:c r="Z428" s="81"/>
    </x:row>
    <x:row r="429">
      <x:c r="A429" s="81"/>
      <x:c r="B429" s="81"/>
      <x:c r="C429" s="81"/>
      <x:c r="D429" s="81"/>
      <x:c r="E429" s="81"/>
      <x:c r="F429" s="81"/>
      <x:c r="G429" s="81"/>
      <x:c r="H429" s="81"/>
      <x:c r="I429" s="81"/>
      <x:c r="J429" s="81"/>
      <x:c r="K429" s="81"/>
      <x:c r="L429" s="81"/>
      <x:c r="M429" s="81"/>
      <x:c r="N429" s="81"/>
      <x:c r="O429" s="81"/>
      <x:c r="P429" s="81"/>
      <x:c r="Q429" s="81"/>
      <x:c r="R429" s="81"/>
      <x:c r="S429" s="81"/>
      <x:c r="T429" s="81"/>
      <x:c r="U429" s="81"/>
      <x:c r="V429" s="81"/>
      <x:c r="W429" s="81"/>
      <x:c r="X429" s="81"/>
      <x:c r="Y429" s="81"/>
      <x:c r="Z429" s="81"/>
    </x:row>
    <x:row r="430">
      <x:c r="A430" s="81"/>
      <x:c r="B430" s="81"/>
      <x:c r="C430" s="81"/>
      <x:c r="D430" s="81"/>
      <x:c r="E430" s="81"/>
      <x:c r="F430" s="81"/>
      <x:c r="G430" s="81"/>
      <x:c r="H430" s="81"/>
      <x:c r="I430" s="81"/>
      <x:c r="J430" s="81"/>
      <x:c r="K430" s="81"/>
      <x:c r="L430" s="81"/>
      <x:c r="M430" s="81"/>
      <x:c r="N430" s="81"/>
      <x:c r="O430" s="81"/>
      <x:c r="P430" s="81"/>
      <x:c r="Q430" s="81"/>
      <x:c r="R430" s="81"/>
      <x:c r="S430" s="81"/>
      <x:c r="T430" s="81"/>
      <x:c r="U430" s="81"/>
      <x:c r="V430" s="81"/>
      <x:c r="W430" s="81"/>
      <x:c r="X430" s="81"/>
      <x:c r="Y430" s="81"/>
      <x:c r="Z430" s="81"/>
    </x:row>
    <x:row r="431">
      <x:c r="A431" s="81"/>
      <x:c r="B431" s="81"/>
      <x:c r="C431" s="81"/>
      <x:c r="D431" s="81"/>
      <x:c r="E431" s="81"/>
      <x:c r="F431" s="81"/>
      <x:c r="G431" s="81"/>
      <x:c r="H431" s="81"/>
      <x:c r="I431" s="81"/>
      <x:c r="J431" s="81"/>
      <x:c r="K431" s="81"/>
      <x:c r="L431" s="81"/>
      <x:c r="M431" s="81"/>
      <x:c r="N431" s="81"/>
      <x:c r="O431" s="81"/>
      <x:c r="P431" s="81"/>
      <x:c r="Q431" s="81"/>
      <x:c r="R431" s="81"/>
      <x:c r="S431" s="81"/>
      <x:c r="T431" s="81"/>
      <x:c r="U431" s="81"/>
      <x:c r="V431" s="81"/>
      <x:c r="W431" s="81"/>
      <x:c r="X431" s="81"/>
      <x:c r="Y431" s="81"/>
      <x:c r="Z431" s="81"/>
    </x:row>
    <x:row r="432">
      <x:c r="A432" s="81"/>
      <x:c r="B432" s="81"/>
      <x:c r="C432" s="81"/>
      <x:c r="D432" s="81"/>
      <x:c r="E432" s="81"/>
      <x:c r="F432" s="81"/>
      <x:c r="G432" s="81"/>
      <x:c r="H432" s="81"/>
      <x:c r="I432" s="81"/>
      <x:c r="J432" s="81"/>
      <x:c r="K432" s="81"/>
      <x:c r="L432" s="81"/>
      <x:c r="M432" s="81"/>
      <x:c r="N432" s="81"/>
      <x:c r="O432" s="81"/>
      <x:c r="P432" s="81"/>
      <x:c r="Q432" s="81"/>
      <x:c r="R432" s="81"/>
      <x:c r="S432" s="81"/>
      <x:c r="T432" s="81"/>
      <x:c r="U432" s="81"/>
      <x:c r="V432" s="81"/>
      <x:c r="W432" s="81"/>
      <x:c r="X432" s="81"/>
      <x:c r="Y432" s="81"/>
      <x:c r="Z432" s="81"/>
    </x:row>
    <x:row r="433">
      <x:c r="A433" s="81"/>
      <x:c r="B433" s="81"/>
      <x:c r="C433" s="81"/>
      <x:c r="D433" s="81"/>
      <x:c r="E433" s="81"/>
      <x:c r="F433" s="81"/>
      <x:c r="G433" s="81"/>
      <x:c r="H433" s="81"/>
      <x:c r="I433" s="81"/>
      <x:c r="J433" s="81"/>
      <x:c r="K433" s="81"/>
      <x:c r="L433" s="81"/>
      <x:c r="M433" s="81"/>
      <x:c r="N433" s="81"/>
      <x:c r="O433" s="81"/>
      <x:c r="P433" s="81"/>
      <x:c r="Q433" s="81"/>
      <x:c r="R433" s="81"/>
      <x:c r="S433" s="81"/>
      <x:c r="T433" s="81"/>
      <x:c r="U433" s="81"/>
      <x:c r="V433" s="81"/>
      <x:c r="W433" s="81"/>
      <x:c r="X433" s="81"/>
      <x:c r="Y433" s="81"/>
      <x:c r="Z433" s="81"/>
    </x:row>
    <x:row r="434">
      <x:c r="A434" s="81"/>
      <x:c r="B434" s="81"/>
      <x:c r="C434" s="81"/>
      <x:c r="D434" s="81"/>
      <x:c r="E434" s="81"/>
      <x:c r="F434" s="81"/>
      <x:c r="G434" s="81"/>
      <x:c r="H434" s="81"/>
      <x:c r="I434" s="81"/>
      <x:c r="J434" s="81"/>
      <x:c r="K434" s="81"/>
      <x:c r="L434" s="81"/>
      <x:c r="M434" s="81"/>
      <x:c r="N434" s="81"/>
      <x:c r="O434" s="81"/>
      <x:c r="P434" s="81"/>
      <x:c r="Q434" s="81"/>
      <x:c r="R434" s="81"/>
      <x:c r="S434" s="81"/>
      <x:c r="T434" s="81"/>
      <x:c r="U434" s="81"/>
      <x:c r="V434" s="81"/>
      <x:c r="W434" s="81"/>
      <x:c r="X434" s="81"/>
      <x:c r="Y434" s="81"/>
      <x:c r="Z434" s="81"/>
    </x:row>
    <x:row r="435">
      <x:c r="A435" s="81"/>
      <x:c r="B435" s="81"/>
      <x:c r="C435" s="81"/>
      <x:c r="D435" s="81"/>
      <x:c r="E435" s="81"/>
      <x:c r="F435" s="81"/>
      <x:c r="G435" s="81"/>
      <x:c r="H435" s="81"/>
      <x:c r="I435" s="81"/>
      <x:c r="J435" s="81"/>
      <x:c r="K435" s="81"/>
      <x:c r="L435" s="81"/>
      <x:c r="M435" s="81"/>
      <x:c r="N435" s="81"/>
      <x:c r="O435" s="81"/>
      <x:c r="P435" s="81"/>
      <x:c r="Q435" s="81"/>
      <x:c r="R435" s="81"/>
      <x:c r="S435" s="81"/>
      <x:c r="T435" s="81"/>
      <x:c r="U435" s="81"/>
      <x:c r="V435" s="81"/>
      <x:c r="W435" s="81"/>
      <x:c r="X435" s="81"/>
      <x:c r="Y435" s="81"/>
      <x:c r="Z435" s="81"/>
    </x:row>
    <x:row r="436">
      <x:c r="A436" s="81"/>
      <x:c r="B436" s="81"/>
      <x:c r="C436" s="81"/>
      <x:c r="D436" s="81"/>
      <x:c r="E436" s="81"/>
      <x:c r="F436" s="81"/>
      <x:c r="G436" s="81"/>
      <x:c r="H436" s="81"/>
      <x:c r="I436" s="81"/>
      <x:c r="J436" s="81"/>
      <x:c r="K436" s="81"/>
      <x:c r="L436" s="81"/>
      <x:c r="M436" s="81"/>
      <x:c r="N436" s="81"/>
      <x:c r="O436" s="81"/>
      <x:c r="P436" s="81"/>
      <x:c r="Q436" s="81"/>
      <x:c r="R436" s="81"/>
      <x:c r="S436" s="81"/>
      <x:c r="T436" s="81"/>
      <x:c r="U436" s="81"/>
      <x:c r="V436" s="81"/>
      <x:c r="W436" s="81"/>
      <x:c r="X436" s="81"/>
      <x:c r="Y436" s="81"/>
      <x:c r="Z436" s="81"/>
    </x:row>
    <x:row r="437">
      <x:c r="A437" s="81"/>
      <x:c r="B437" s="81"/>
      <x:c r="C437" s="81"/>
      <x:c r="D437" s="81"/>
      <x:c r="E437" s="81"/>
      <x:c r="F437" s="81"/>
      <x:c r="G437" s="81"/>
      <x:c r="H437" s="81"/>
      <x:c r="I437" s="81"/>
      <x:c r="J437" s="81"/>
      <x:c r="K437" s="81"/>
      <x:c r="L437" s="81"/>
      <x:c r="M437" s="81"/>
      <x:c r="N437" s="81"/>
      <x:c r="O437" s="81"/>
      <x:c r="P437" s="81"/>
      <x:c r="Q437" s="81"/>
      <x:c r="R437" s="81"/>
      <x:c r="S437" s="81"/>
      <x:c r="T437" s="81"/>
      <x:c r="U437" s="81"/>
      <x:c r="V437" s="81"/>
      <x:c r="W437" s="81"/>
      <x:c r="X437" s="81"/>
      <x:c r="Y437" s="81"/>
      <x:c r="Z437" s="81"/>
    </x:row>
    <x:row r="438">
      <x:c r="A438" s="81"/>
      <x:c r="B438" s="81"/>
      <x:c r="C438" s="81"/>
      <x:c r="D438" s="81"/>
      <x:c r="E438" s="81"/>
      <x:c r="F438" s="81"/>
      <x:c r="G438" s="81"/>
      <x:c r="H438" s="81"/>
      <x:c r="I438" s="81"/>
      <x:c r="J438" s="81"/>
      <x:c r="K438" s="81"/>
      <x:c r="L438" s="81"/>
      <x:c r="M438" s="81"/>
      <x:c r="N438" s="81"/>
      <x:c r="O438" s="81"/>
      <x:c r="P438" s="81"/>
      <x:c r="Q438" s="81"/>
      <x:c r="R438" s="81"/>
      <x:c r="S438" s="81"/>
      <x:c r="T438" s="81"/>
      <x:c r="U438" s="81"/>
      <x:c r="V438" s="81"/>
      <x:c r="W438" s="81"/>
      <x:c r="X438" s="81"/>
      <x:c r="Y438" s="81"/>
      <x:c r="Z438" s="81"/>
    </x:row>
    <x:row r="439">
      <x:c r="A439" s="81"/>
      <x:c r="B439" s="81"/>
      <x:c r="C439" s="81"/>
      <x:c r="D439" s="81"/>
      <x:c r="E439" s="81"/>
      <x:c r="F439" s="81"/>
      <x:c r="G439" s="81"/>
      <x:c r="H439" s="81"/>
      <x:c r="I439" s="81"/>
      <x:c r="J439" s="81"/>
      <x:c r="K439" s="81"/>
      <x:c r="L439" s="81"/>
      <x:c r="M439" s="81"/>
      <x:c r="N439" s="81"/>
      <x:c r="O439" s="81"/>
      <x:c r="P439" s="81"/>
      <x:c r="Q439" s="81"/>
      <x:c r="R439" s="81"/>
      <x:c r="S439" s="81"/>
      <x:c r="T439" s="81"/>
      <x:c r="U439" s="81"/>
      <x:c r="V439" s="81"/>
      <x:c r="W439" s="81"/>
      <x:c r="X439" s="81"/>
      <x:c r="Y439" s="81"/>
      <x:c r="Z439" s="81"/>
    </x:row>
    <x:row r="440">
      <x:c r="A440" s="81"/>
      <x:c r="B440" s="81"/>
      <x:c r="C440" s="81"/>
      <x:c r="D440" s="81"/>
      <x:c r="E440" s="81"/>
      <x:c r="F440" s="81"/>
      <x:c r="G440" s="81"/>
      <x:c r="H440" s="81"/>
      <x:c r="I440" s="81"/>
      <x:c r="J440" s="81"/>
      <x:c r="K440" s="81"/>
      <x:c r="L440" s="81"/>
      <x:c r="M440" s="81"/>
      <x:c r="N440" s="81"/>
      <x:c r="O440" s="81"/>
      <x:c r="P440" s="81"/>
      <x:c r="Q440" s="81"/>
      <x:c r="R440" s="81"/>
      <x:c r="S440" s="81"/>
      <x:c r="T440" s="81"/>
      <x:c r="U440" s="81"/>
      <x:c r="V440" s="81"/>
      <x:c r="W440" s="81"/>
      <x:c r="X440" s="81"/>
      <x:c r="Y440" s="81"/>
      <x:c r="Z440" s="81"/>
    </x:row>
    <x:row r="441">
      <x:c r="A441" s="81"/>
      <x:c r="B441" s="81"/>
      <x:c r="C441" s="81"/>
      <x:c r="D441" s="81"/>
      <x:c r="E441" s="81"/>
      <x:c r="F441" s="81"/>
      <x:c r="G441" s="81"/>
      <x:c r="H441" s="81"/>
      <x:c r="I441" s="81"/>
      <x:c r="J441" s="81"/>
      <x:c r="K441" s="81"/>
      <x:c r="L441" s="81"/>
      <x:c r="M441" s="81"/>
      <x:c r="N441" s="81"/>
      <x:c r="O441" s="81"/>
      <x:c r="P441" s="81"/>
      <x:c r="Q441" s="81"/>
      <x:c r="R441" s="81"/>
      <x:c r="S441" s="81"/>
      <x:c r="T441" s="81"/>
      <x:c r="U441" s="81"/>
      <x:c r="V441" s="81"/>
      <x:c r="W441" s="81"/>
      <x:c r="X441" s="81"/>
      <x:c r="Y441" s="81"/>
      <x:c r="Z441" s="81"/>
    </x:row>
    <x:row r="442">
      <x:c r="A442" s="81"/>
      <x:c r="B442" s="81"/>
      <x:c r="C442" s="81"/>
      <x:c r="D442" s="81"/>
      <x:c r="E442" s="81"/>
      <x:c r="F442" s="81"/>
      <x:c r="G442" s="81"/>
      <x:c r="H442" s="81"/>
      <x:c r="I442" s="81"/>
      <x:c r="J442" s="81"/>
      <x:c r="K442" s="81"/>
      <x:c r="L442" s="81"/>
      <x:c r="M442" s="81"/>
      <x:c r="N442" s="81"/>
      <x:c r="O442" s="81"/>
      <x:c r="P442" s="81"/>
      <x:c r="Q442" s="81"/>
      <x:c r="R442" s="81"/>
      <x:c r="S442" s="81"/>
      <x:c r="T442" s="81"/>
      <x:c r="U442" s="81"/>
      <x:c r="V442" s="81"/>
      <x:c r="W442" s="81"/>
      <x:c r="X442" s="81"/>
      <x:c r="Y442" s="81"/>
      <x:c r="Z442" s="81"/>
    </x:row>
    <x:row r="443">
      <x:c r="A443" s="81"/>
      <x:c r="B443" s="81"/>
      <x:c r="C443" s="81"/>
      <x:c r="D443" s="81"/>
      <x:c r="E443" s="81"/>
      <x:c r="F443" s="81"/>
      <x:c r="G443" s="81"/>
      <x:c r="H443" s="81"/>
      <x:c r="I443" s="81"/>
      <x:c r="J443" s="81"/>
      <x:c r="K443" s="81"/>
      <x:c r="L443" s="81"/>
      <x:c r="M443" s="81"/>
      <x:c r="N443" s="81"/>
      <x:c r="O443" s="81"/>
      <x:c r="P443" s="81"/>
      <x:c r="Q443" s="81"/>
      <x:c r="R443" s="81"/>
      <x:c r="S443" s="81"/>
      <x:c r="T443" s="81"/>
      <x:c r="U443" s="81"/>
      <x:c r="V443" s="81"/>
      <x:c r="W443" s="81"/>
      <x:c r="X443" s="81"/>
      <x:c r="Y443" s="81"/>
      <x:c r="Z443" s="81"/>
    </x:row>
    <x:row r="444">
      <x:c r="A444" s="81"/>
      <x:c r="B444" s="81"/>
      <x:c r="C444" s="81"/>
      <x:c r="D444" s="81"/>
      <x:c r="E444" s="81"/>
      <x:c r="F444" s="81"/>
      <x:c r="G444" s="81"/>
      <x:c r="H444" s="81"/>
      <x:c r="I444" s="81"/>
      <x:c r="J444" s="81"/>
      <x:c r="K444" s="81"/>
      <x:c r="L444" s="81"/>
      <x:c r="M444" s="81"/>
      <x:c r="N444" s="81"/>
      <x:c r="O444" s="81"/>
      <x:c r="P444" s="81"/>
      <x:c r="Q444" s="81"/>
      <x:c r="R444" s="81"/>
      <x:c r="S444" s="81"/>
      <x:c r="T444" s="81"/>
      <x:c r="U444" s="81"/>
      <x:c r="V444" s="81"/>
      <x:c r="W444" s="81"/>
      <x:c r="X444" s="81"/>
      <x:c r="Y444" s="81"/>
      <x:c r="Z444" s="81"/>
    </x:row>
    <x:row r="445">
      <x:c r="A445" s="81"/>
      <x:c r="B445" s="81"/>
      <x:c r="C445" s="81"/>
      <x:c r="D445" s="81"/>
      <x:c r="E445" s="81"/>
      <x:c r="F445" s="81"/>
      <x:c r="G445" s="81"/>
      <x:c r="H445" s="81"/>
      <x:c r="I445" s="81"/>
      <x:c r="J445" s="81"/>
      <x:c r="K445" s="81"/>
      <x:c r="L445" s="81"/>
      <x:c r="M445" s="81"/>
      <x:c r="N445" s="81"/>
      <x:c r="O445" s="81"/>
      <x:c r="P445" s="81"/>
      <x:c r="Q445" s="81"/>
      <x:c r="R445" s="81"/>
      <x:c r="S445" s="81"/>
      <x:c r="T445" s="81"/>
      <x:c r="U445" s="81"/>
      <x:c r="V445" s="81"/>
      <x:c r="W445" s="81"/>
      <x:c r="X445" s="81"/>
      <x:c r="Y445" s="81"/>
      <x:c r="Z445" s="81"/>
    </x:row>
    <x:row r="446">
      <x:c r="A446" s="81"/>
      <x:c r="B446" s="81"/>
      <x:c r="C446" s="81"/>
      <x:c r="D446" s="81"/>
      <x:c r="E446" s="81"/>
      <x:c r="F446" s="81"/>
      <x:c r="G446" s="81"/>
      <x:c r="H446" s="81"/>
      <x:c r="I446" s="81"/>
      <x:c r="J446" s="81"/>
      <x:c r="K446" s="81"/>
      <x:c r="L446" s="81"/>
      <x:c r="M446" s="81"/>
      <x:c r="N446" s="81"/>
      <x:c r="O446" s="81"/>
      <x:c r="P446" s="81"/>
      <x:c r="Q446" s="81"/>
      <x:c r="R446" s="81"/>
      <x:c r="S446" s="81"/>
      <x:c r="T446" s="81"/>
      <x:c r="U446" s="81"/>
      <x:c r="V446" s="81"/>
      <x:c r="W446" s="81"/>
      <x:c r="X446" s="81"/>
      <x:c r="Y446" s="81"/>
      <x:c r="Z446" s="81"/>
    </x:row>
    <x:row r="447">
      <x:c r="A447" s="81"/>
      <x:c r="B447" s="81"/>
      <x:c r="C447" s="81"/>
      <x:c r="D447" s="81"/>
      <x:c r="E447" s="81"/>
      <x:c r="F447" s="81"/>
      <x:c r="G447" s="81"/>
      <x:c r="H447" s="81"/>
      <x:c r="I447" s="81"/>
      <x:c r="J447" s="81"/>
      <x:c r="K447" s="81"/>
      <x:c r="L447" s="81"/>
      <x:c r="M447" s="81"/>
      <x:c r="N447" s="81"/>
      <x:c r="O447" s="81"/>
      <x:c r="P447" s="81"/>
      <x:c r="Q447" s="81"/>
      <x:c r="R447" s="81"/>
      <x:c r="S447" s="81"/>
      <x:c r="T447" s="81"/>
      <x:c r="U447" s="81"/>
      <x:c r="V447" s="81"/>
      <x:c r="W447" s="81"/>
      <x:c r="X447" s="81"/>
      <x:c r="Y447" s="81"/>
      <x:c r="Z447" s="81"/>
    </x:row>
    <x:row r="448">
      <x:c r="A448" s="81"/>
      <x:c r="B448" s="81"/>
      <x:c r="C448" s="81"/>
      <x:c r="D448" s="81"/>
      <x:c r="E448" s="81"/>
      <x:c r="F448" s="81"/>
      <x:c r="G448" s="81"/>
      <x:c r="H448" s="81"/>
      <x:c r="I448" s="81"/>
      <x:c r="J448" s="81"/>
      <x:c r="K448" s="81"/>
      <x:c r="L448" s="81"/>
      <x:c r="M448" s="81"/>
      <x:c r="N448" s="81"/>
      <x:c r="O448" s="81"/>
      <x:c r="P448" s="81"/>
      <x:c r="Q448" s="81"/>
      <x:c r="R448" s="81"/>
      <x:c r="S448" s="81"/>
      <x:c r="T448" s="81"/>
      <x:c r="U448" s="81"/>
      <x:c r="V448" s="81"/>
      <x:c r="W448" s="81"/>
      <x:c r="X448" s="81"/>
      <x:c r="Y448" s="81"/>
      <x:c r="Z448" s="81"/>
    </x:row>
    <x:row r="449">
      <x:c r="A449" s="81"/>
      <x:c r="B449" s="81"/>
      <x:c r="C449" s="81"/>
      <x:c r="D449" s="81"/>
      <x:c r="E449" s="81"/>
      <x:c r="F449" s="81"/>
      <x:c r="G449" s="81"/>
      <x:c r="H449" s="81"/>
      <x:c r="I449" s="81"/>
      <x:c r="J449" s="81"/>
      <x:c r="K449" s="81"/>
      <x:c r="L449" s="81"/>
      <x:c r="M449" s="81"/>
      <x:c r="N449" s="81"/>
      <x:c r="O449" s="81"/>
      <x:c r="P449" s="81"/>
      <x:c r="Q449" s="81"/>
      <x:c r="R449" s="81"/>
      <x:c r="S449" s="81"/>
      <x:c r="T449" s="81"/>
      <x:c r="U449" s="81"/>
      <x:c r="V449" s="81"/>
      <x:c r="W449" s="81"/>
      <x:c r="X449" s="81"/>
      <x:c r="Y449" s="81"/>
      <x:c r="Z449" s="81"/>
    </x:row>
    <x:row r="450">
      <x:c r="A450" s="81"/>
      <x:c r="B450" s="81"/>
      <x:c r="C450" s="81"/>
      <x:c r="D450" s="81"/>
      <x:c r="E450" s="81"/>
      <x:c r="F450" s="81"/>
      <x:c r="G450" s="81"/>
      <x:c r="H450" s="81"/>
      <x:c r="I450" s="81"/>
      <x:c r="J450" s="81"/>
      <x:c r="K450" s="81"/>
      <x:c r="L450" s="81"/>
      <x:c r="M450" s="81"/>
      <x:c r="N450" s="81"/>
      <x:c r="O450" s="81"/>
      <x:c r="P450" s="81"/>
      <x:c r="Q450" s="81"/>
      <x:c r="R450" s="81"/>
      <x:c r="S450" s="81"/>
      <x:c r="T450" s="81"/>
      <x:c r="U450" s="81"/>
      <x:c r="V450" s="81"/>
      <x:c r="W450" s="81"/>
      <x:c r="X450" s="81"/>
      <x:c r="Y450" s="81"/>
      <x:c r="Z450" s="81"/>
    </x:row>
    <x:row r="451">
      <x:c r="A451" s="81"/>
      <x:c r="B451" s="81"/>
      <x:c r="C451" s="81"/>
      <x:c r="D451" s="81"/>
      <x:c r="E451" s="81"/>
      <x:c r="F451" s="81"/>
      <x:c r="G451" s="81"/>
      <x:c r="H451" s="81"/>
      <x:c r="I451" s="81"/>
      <x:c r="J451" s="81"/>
      <x:c r="K451" s="81"/>
      <x:c r="L451" s="81"/>
      <x:c r="M451" s="81"/>
      <x:c r="N451" s="81"/>
      <x:c r="O451" s="81"/>
      <x:c r="P451" s="81"/>
      <x:c r="Q451" s="81"/>
      <x:c r="R451" s="81"/>
      <x:c r="S451" s="81"/>
      <x:c r="T451" s="81"/>
      <x:c r="U451" s="81"/>
      <x:c r="V451" s="81"/>
      <x:c r="W451" s="81"/>
      <x:c r="X451" s="81"/>
      <x:c r="Y451" s="81"/>
      <x:c r="Z451" s="81"/>
    </x:row>
    <x:row r="452">
      <x:c r="A452" s="81"/>
      <x:c r="B452" s="81"/>
      <x:c r="C452" s="81"/>
      <x:c r="D452" s="81"/>
      <x:c r="E452" s="81"/>
      <x:c r="F452" s="81"/>
      <x:c r="G452" s="81"/>
      <x:c r="H452" s="81"/>
      <x:c r="I452" s="81"/>
      <x:c r="J452" s="81"/>
      <x:c r="K452" s="81"/>
      <x:c r="L452" s="81"/>
      <x:c r="M452" s="81"/>
      <x:c r="N452" s="81"/>
      <x:c r="O452" s="81"/>
      <x:c r="P452" s="81"/>
      <x:c r="Q452" s="81"/>
      <x:c r="R452" s="81"/>
      <x:c r="S452" s="81"/>
      <x:c r="T452" s="81"/>
      <x:c r="U452" s="81"/>
      <x:c r="V452" s="81"/>
      <x:c r="W452" s="81"/>
      <x:c r="X452" s="81"/>
      <x:c r="Y452" s="81"/>
      <x:c r="Z452" s="81"/>
    </x:row>
    <x:row r="453">
      <x:c r="A453" s="81"/>
      <x:c r="B453" s="81"/>
      <x:c r="C453" s="81"/>
      <x:c r="D453" s="81"/>
      <x:c r="E453" s="81"/>
      <x:c r="F453" s="81"/>
      <x:c r="G453" s="81"/>
      <x:c r="H453" s="81"/>
      <x:c r="I453" s="81"/>
      <x:c r="J453" s="81"/>
      <x:c r="K453" s="81"/>
      <x:c r="L453" s="81"/>
      <x:c r="M453" s="81"/>
      <x:c r="N453" s="81"/>
      <x:c r="O453" s="81"/>
      <x:c r="P453" s="81"/>
      <x:c r="Q453" s="81"/>
      <x:c r="R453" s="81"/>
      <x:c r="S453" s="81"/>
      <x:c r="T453" s="81"/>
      <x:c r="U453" s="81"/>
      <x:c r="V453" s="81"/>
      <x:c r="W453" s="81"/>
      <x:c r="X453" s="81"/>
      <x:c r="Y453" s="81"/>
      <x:c r="Z453" s="81"/>
    </x:row>
    <x:row r="454">
      <x:c r="A454" s="81"/>
      <x:c r="B454" s="81"/>
      <x:c r="C454" s="81"/>
      <x:c r="D454" s="81"/>
      <x:c r="E454" s="81"/>
      <x:c r="F454" s="81"/>
      <x:c r="G454" s="81"/>
      <x:c r="H454" s="81"/>
      <x:c r="I454" s="81"/>
      <x:c r="J454" s="81"/>
      <x:c r="K454" s="81"/>
      <x:c r="L454" s="81"/>
      <x:c r="M454" s="81"/>
      <x:c r="N454" s="81"/>
      <x:c r="O454" s="81"/>
      <x:c r="P454" s="81"/>
      <x:c r="Q454" s="81"/>
      <x:c r="R454" s="81"/>
      <x:c r="S454" s="81"/>
      <x:c r="T454" s="81"/>
      <x:c r="U454" s="81"/>
      <x:c r="V454" s="81"/>
      <x:c r="W454" s="81"/>
      <x:c r="X454" s="81"/>
      <x:c r="Y454" s="81"/>
      <x:c r="Z454" s="81"/>
    </x:row>
    <x:row r="455">
      <x:c r="A455" s="81"/>
      <x:c r="B455" s="81"/>
      <x:c r="C455" s="81"/>
      <x:c r="D455" s="81"/>
      <x:c r="E455" s="81"/>
      <x:c r="F455" s="81"/>
      <x:c r="G455" s="81"/>
      <x:c r="H455" s="81"/>
      <x:c r="I455" s="81"/>
      <x:c r="J455" s="81"/>
      <x:c r="K455" s="81"/>
      <x:c r="L455" s="81"/>
      <x:c r="M455" s="81"/>
      <x:c r="N455" s="81"/>
      <x:c r="O455" s="81"/>
      <x:c r="P455" s="81"/>
      <x:c r="Q455" s="81"/>
      <x:c r="R455" s="81"/>
      <x:c r="S455" s="81"/>
      <x:c r="T455" s="81"/>
      <x:c r="U455" s="81"/>
      <x:c r="V455" s="81"/>
      <x:c r="W455" s="81"/>
      <x:c r="X455" s="81"/>
      <x:c r="Y455" s="81"/>
      <x:c r="Z455" s="81"/>
    </x:row>
    <x:row r="456">
      <x:c r="A456" s="81"/>
      <x:c r="B456" s="81"/>
      <x:c r="C456" s="81"/>
      <x:c r="D456" s="81"/>
      <x:c r="E456" s="81"/>
      <x:c r="F456" s="81"/>
      <x:c r="G456" s="81"/>
      <x:c r="H456" s="81"/>
      <x:c r="I456" s="81"/>
      <x:c r="J456" s="81"/>
      <x:c r="K456" s="81"/>
      <x:c r="L456" s="81"/>
      <x:c r="M456" s="81"/>
      <x:c r="N456" s="81"/>
      <x:c r="O456" s="81"/>
      <x:c r="P456" s="81"/>
      <x:c r="Q456" s="81"/>
      <x:c r="R456" s="81"/>
      <x:c r="S456" s="81"/>
      <x:c r="T456" s="81"/>
      <x:c r="U456" s="81"/>
      <x:c r="V456" s="81"/>
      <x:c r="W456" s="81"/>
      <x:c r="X456" s="81"/>
      <x:c r="Y456" s="81"/>
      <x:c r="Z456" s="81"/>
    </x:row>
    <x:row r="457">
      <x:c r="A457" s="81"/>
      <x:c r="B457" s="81"/>
      <x:c r="C457" s="81"/>
      <x:c r="D457" s="81"/>
      <x:c r="E457" s="81"/>
      <x:c r="F457" s="81"/>
      <x:c r="G457" s="81"/>
      <x:c r="H457" s="81"/>
      <x:c r="I457" s="81"/>
      <x:c r="J457" s="81"/>
      <x:c r="K457" s="81"/>
      <x:c r="L457" s="81"/>
      <x:c r="M457" s="81"/>
      <x:c r="N457" s="81"/>
      <x:c r="O457" s="81"/>
      <x:c r="P457" s="81"/>
      <x:c r="Q457" s="81"/>
      <x:c r="R457" s="81"/>
      <x:c r="S457" s="81"/>
      <x:c r="T457" s="81"/>
      <x:c r="U457" s="81"/>
      <x:c r="V457" s="81"/>
      <x:c r="W457" s="81"/>
      <x:c r="X457" s="81"/>
      <x:c r="Y457" s="81"/>
      <x:c r="Z457" s="81"/>
    </x:row>
    <x:row r="458">
      <x:c r="A458" s="81"/>
      <x:c r="B458" s="81"/>
      <x:c r="C458" s="81"/>
      <x:c r="D458" s="81"/>
      <x:c r="E458" s="81"/>
      <x:c r="F458" s="81"/>
      <x:c r="G458" s="81"/>
      <x:c r="H458" s="81"/>
      <x:c r="I458" s="81"/>
      <x:c r="J458" s="81"/>
      <x:c r="K458" s="81"/>
      <x:c r="L458" s="81"/>
      <x:c r="M458" s="81"/>
      <x:c r="N458" s="81"/>
      <x:c r="O458" s="81"/>
      <x:c r="P458" s="81"/>
      <x:c r="Q458" s="81"/>
      <x:c r="R458" s="81"/>
      <x:c r="S458" s="81"/>
      <x:c r="T458" s="81"/>
      <x:c r="U458" s="81"/>
      <x:c r="V458" s="81"/>
      <x:c r="W458" s="81"/>
      <x:c r="X458" s="81"/>
      <x:c r="Y458" s="81"/>
      <x:c r="Z458" s="81"/>
    </x:row>
    <x:row r="459">
      <x:c r="A459" s="81"/>
      <x:c r="B459" s="81"/>
      <x:c r="C459" s="81"/>
      <x:c r="D459" s="81"/>
      <x:c r="E459" s="81"/>
      <x:c r="F459" s="81"/>
      <x:c r="G459" s="81"/>
      <x:c r="H459" s="81"/>
      <x:c r="I459" s="81"/>
      <x:c r="J459" s="81"/>
      <x:c r="K459" s="81"/>
      <x:c r="L459" s="81"/>
      <x:c r="M459" s="81"/>
      <x:c r="N459" s="81"/>
      <x:c r="O459" s="81"/>
      <x:c r="P459" s="81"/>
      <x:c r="Q459" s="81"/>
      <x:c r="R459" s="81"/>
      <x:c r="S459" s="81"/>
      <x:c r="T459" s="81"/>
      <x:c r="U459" s="81"/>
      <x:c r="V459" s="81"/>
      <x:c r="W459" s="81"/>
      <x:c r="X459" s="81"/>
      <x:c r="Y459" s="81"/>
      <x:c r="Z459" s="81"/>
    </x:row>
    <x:row r="460">
      <x:c r="A460" s="81"/>
      <x:c r="B460" s="81"/>
      <x:c r="C460" s="81"/>
      <x:c r="D460" s="81"/>
      <x:c r="E460" s="81"/>
      <x:c r="F460" s="81"/>
      <x:c r="G460" s="81"/>
      <x:c r="H460" s="81"/>
      <x:c r="I460" s="81"/>
      <x:c r="J460" s="81"/>
      <x:c r="K460" s="81"/>
      <x:c r="L460" s="81"/>
      <x:c r="M460" s="81"/>
      <x:c r="N460" s="81"/>
      <x:c r="O460" s="81"/>
      <x:c r="P460" s="81"/>
      <x:c r="Q460" s="81"/>
      <x:c r="R460" s="81"/>
      <x:c r="S460" s="81"/>
      <x:c r="T460" s="81"/>
      <x:c r="U460" s="81"/>
      <x:c r="V460" s="81"/>
      <x:c r="W460" s="81"/>
      <x:c r="X460" s="81"/>
      <x:c r="Y460" s="81"/>
      <x:c r="Z460" s="81"/>
    </x:row>
    <x:row r="461">
      <x:c r="A461" s="81"/>
      <x:c r="B461" s="81"/>
      <x:c r="C461" s="81"/>
      <x:c r="D461" s="81"/>
      <x:c r="E461" s="81"/>
      <x:c r="F461" s="81"/>
      <x:c r="G461" s="81"/>
      <x:c r="H461" s="81"/>
      <x:c r="I461" s="81"/>
      <x:c r="J461" s="81"/>
      <x:c r="K461" s="81"/>
      <x:c r="L461" s="81"/>
      <x:c r="M461" s="81"/>
      <x:c r="N461" s="81"/>
      <x:c r="O461" s="81"/>
      <x:c r="P461" s="81"/>
      <x:c r="Q461" s="81"/>
      <x:c r="R461" s="81"/>
      <x:c r="S461" s="81"/>
      <x:c r="T461" s="81"/>
      <x:c r="U461" s="81"/>
      <x:c r="V461" s="81"/>
      <x:c r="W461" s="81"/>
      <x:c r="X461" s="81"/>
      <x:c r="Y461" s="81"/>
      <x:c r="Z461" s="81"/>
    </x:row>
    <x:row r="462">
      <x:c r="A462" s="81"/>
      <x:c r="B462" s="81"/>
      <x:c r="C462" s="81"/>
      <x:c r="D462" s="81"/>
      <x:c r="E462" s="81"/>
      <x:c r="F462" s="81"/>
      <x:c r="G462" s="81"/>
      <x:c r="H462" s="81"/>
      <x:c r="I462" s="81"/>
      <x:c r="J462" s="81"/>
      <x:c r="K462" s="81"/>
      <x:c r="L462" s="81"/>
      <x:c r="M462" s="81"/>
      <x:c r="N462" s="81"/>
      <x:c r="O462" s="81"/>
      <x:c r="P462" s="81"/>
      <x:c r="Q462" s="81"/>
      <x:c r="R462" s="81"/>
      <x:c r="S462" s="81"/>
      <x:c r="T462" s="81"/>
      <x:c r="U462" s="81"/>
      <x:c r="V462" s="81"/>
      <x:c r="W462" s="81"/>
      <x:c r="X462" s="81"/>
      <x:c r="Y462" s="81"/>
      <x:c r="Z462" s="81"/>
    </x:row>
    <x:row r="463">
      <x:c r="A463" s="81"/>
      <x:c r="B463" s="81"/>
      <x:c r="C463" s="81"/>
      <x:c r="D463" s="81"/>
      <x:c r="E463" s="81"/>
      <x:c r="F463" s="81"/>
      <x:c r="G463" s="81"/>
      <x:c r="H463" s="81"/>
      <x:c r="I463" s="81"/>
      <x:c r="J463" s="81"/>
      <x:c r="K463" s="81"/>
      <x:c r="L463" s="81"/>
      <x:c r="M463" s="81"/>
      <x:c r="N463" s="81"/>
      <x:c r="O463" s="81"/>
      <x:c r="P463" s="81"/>
      <x:c r="Q463" s="81"/>
      <x:c r="R463" s="81"/>
      <x:c r="S463" s="81"/>
      <x:c r="T463" s="81"/>
      <x:c r="U463" s="81"/>
      <x:c r="V463" s="81"/>
      <x:c r="W463" s="81"/>
      <x:c r="X463" s="81"/>
      <x:c r="Y463" s="81"/>
      <x:c r="Z463" s="81"/>
    </x:row>
    <x:row r="464">
      <x:c r="A464" s="81"/>
      <x:c r="B464" s="81"/>
      <x:c r="C464" s="81"/>
      <x:c r="D464" s="81"/>
      <x:c r="E464" s="81"/>
      <x:c r="F464" s="81"/>
      <x:c r="G464" s="81"/>
      <x:c r="H464" s="81"/>
      <x:c r="I464" s="81"/>
      <x:c r="J464" s="81"/>
      <x:c r="K464" s="81"/>
      <x:c r="L464" s="81"/>
      <x:c r="M464" s="81"/>
      <x:c r="N464" s="81"/>
      <x:c r="O464" s="81"/>
      <x:c r="P464" s="81"/>
      <x:c r="Q464" s="81"/>
      <x:c r="R464" s="81"/>
      <x:c r="S464" s="81"/>
      <x:c r="T464" s="81"/>
      <x:c r="U464" s="81"/>
      <x:c r="V464" s="81"/>
      <x:c r="W464" s="81"/>
      <x:c r="X464" s="81"/>
      <x:c r="Y464" s="81"/>
      <x:c r="Z464" s="81"/>
    </x:row>
    <x:row r="465">
      <x:c r="A465" s="81"/>
      <x:c r="B465" s="81"/>
      <x:c r="C465" s="81"/>
      <x:c r="D465" s="81"/>
      <x:c r="E465" s="81"/>
      <x:c r="F465" s="81"/>
      <x:c r="G465" s="81"/>
      <x:c r="H465" s="81"/>
      <x:c r="I465" s="81"/>
      <x:c r="J465" s="81"/>
      <x:c r="K465" s="81"/>
      <x:c r="L465" s="81"/>
      <x:c r="M465" s="81"/>
      <x:c r="N465" s="81"/>
      <x:c r="O465" s="81"/>
      <x:c r="P465" s="81"/>
      <x:c r="Q465" s="81"/>
      <x:c r="R465" s="81"/>
      <x:c r="S465" s="81"/>
      <x:c r="T465" s="81"/>
      <x:c r="U465" s="81"/>
      <x:c r="V465" s="81"/>
      <x:c r="W465" s="81"/>
      <x:c r="X465" s="81"/>
      <x:c r="Y465" s="81"/>
      <x:c r="Z465" s="81"/>
    </x:row>
    <x:row r="466">
      <x:c r="A466" s="81"/>
      <x:c r="B466" s="81"/>
      <x:c r="C466" s="81"/>
      <x:c r="D466" s="81"/>
      <x:c r="E466" s="81"/>
      <x:c r="F466" s="81"/>
      <x:c r="G466" s="81"/>
      <x:c r="H466" s="81"/>
      <x:c r="I466" s="81"/>
      <x:c r="J466" s="81"/>
      <x:c r="K466" s="81"/>
      <x:c r="L466" s="81"/>
      <x:c r="M466" s="81"/>
      <x:c r="N466" s="81"/>
      <x:c r="O466" s="81"/>
      <x:c r="P466" s="81"/>
      <x:c r="Q466" s="81"/>
      <x:c r="R466" s="81"/>
      <x:c r="S466" s="81"/>
      <x:c r="T466" s="81"/>
      <x:c r="U466" s="81"/>
      <x:c r="V466" s="81"/>
      <x:c r="W466" s="81"/>
      <x:c r="X466" s="81"/>
      <x:c r="Y466" s="81"/>
      <x:c r="Z466" s="81"/>
    </x:row>
    <x:row r="467">
      <x:c r="A467" s="81"/>
      <x:c r="B467" s="81"/>
      <x:c r="C467" s="81"/>
      <x:c r="D467" s="81"/>
      <x:c r="E467" s="81"/>
      <x:c r="F467" s="81"/>
      <x:c r="G467" s="81"/>
      <x:c r="H467" s="81"/>
      <x:c r="I467" s="81"/>
      <x:c r="J467" s="81"/>
      <x:c r="K467" s="81"/>
      <x:c r="L467" s="81"/>
      <x:c r="M467" s="81"/>
      <x:c r="N467" s="81"/>
      <x:c r="O467" s="81"/>
      <x:c r="P467" s="81"/>
      <x:c r="Q467" s="81"/>
      <x:c r="R467" s="81"/>
      <x:c r="S467" s="81"/>
      <x:c r="T467" s="81"/>
      <x:c r="U467" s="81"/>
      <x:c r="V467" s="81"/>
      <x:c r="W467" s="81"/>
      <x:c r="X467" s="81"/>
      <x:c r="Y467" s="81"/>
      <x:c r="Z467" s="81"/>
    </x:row>
    <x:row r="468">
      <x:c r="A468" s="81"/>
      <x:c r="B468" s="81"/>
      <x:c r="C468" s="81"/>
      <x:c r="D468" s="81"/>
      <x:c r="E468" s="81"/>
      <x:c r="F468" s="81"/>
      <x:c r="G468" s="81"/>
      <x:c r="H468" s="81"/>
      <x:c r="I468" s="81"/>
      <x:c r="J468" s="81"/>
      <x:c r="K468" s="81"/>
      <x:c r="L468" s="81"/>
      <x:c r="M468" s="81"/>
      <x:c r="N468" s="81"/>
      <x:c r="O468" s="81"/>
      <x:c r="P468" s="81"/>
      <x:c r="Q468" s="81"/>
      <x:c r="R468" s="81"/>
      <x:c r="S468" s="81"/>
      <x:c r="T468" s="81"/>
      <x:c r="U468" s="81"/>
      <x:c r="V468" s="81"/>
      <x:c r="W468" s="81"/>
      <x:c r="X468" s="81"/>
      <x:c r="Y468" s="81"/>
      <x:c r="Z468" s="81"/>
    </x:row>
    <x:row r="469">
      <x:c r="A469" s="81"/>
      <x:c r="B469" s="81"/>
      <x:c r="C469" s="81"/>
      <x:c r="D469" s="81"/>
      <x:c r="E469" s="81"/>
      <x:c r="F469" s="81"/>
      <x:c r="G469" s="81"/>
      <x:c r="H469" s="81"/>
      <x:c r="I469" s="81"/>
      <x:c r="J469" s="81"/>
      <x:c r="K469" s="81"/>
      <x:c r="L469" s="81"/>
      <x:c r="M469" s="81"/>
      <x:c r="N469" s="81"/>
      <x:c r="O469" s="81"/>
      <x:c r="P469" s="81"/>
      <x:c r="Q469" s="81"/>
      <x:c r="R469" s="81"/>
      <x:c r="S469" s="81"/>
      <x:c r="T469" s="81"/>
      <x:c r="U469" s="81"/>
      <x:c r="V469" s="81"/>
      <x:c r="W469" s="81"/>
      <x:c r="X469" s="81"/>
      <x:c r="Y469" s="81"/>
      <x:c r="Z469" s="81"/>
    </x:row>
    <x:row r="470">
      <x:c r="A470" s="81"/>
      <x:c r="B470" s="81"/>
      <x:c r="C470" s="81"/>
      <x:c r="D470" s="81"/>
      <x:c r="E470" s="81"/>
      <x:c r="F470" s="81"/>
      <x:c r="G470" s="81"/>
      <x:c r="H470" s="81"/>
      <x:c r="I470" s="81"/>
      <x:c r="J470" s="81"/>
      <x:c r="K470" s="81"/>
      <x:c r="L470" s="81"/>
      <x:c r="M470" s="81"/>
      <x:c r="N470" s="81"/>
      <x:c r="O470" s="81"/>
      <x:c r="P470" s="81"/>
      <x:c r="Q470" s="81"/>
      <x:c r="R470" s="81"/>
      <x:c r="S470" s="81"/>
      <x:c r="T470" s="81"/>
      <x:c r="U470" s="81"/>
      <x:c r="V470" s="81"/>
      <x:c r="W470" s="81"/>
      <x:c r="X470" s="81"/>
      <x:c r="Y470" s="81"/>
      <x:c r="Z470" s="81"/>
    </x:row>
    <x:row r="471">
      <x:c r="A471" s="81"/>
      <x:c r="B471" s="81"/>
      <x:c r="C471" s="81"/>
      <x:c r="D471" s="81"/>
      <x:c r="E471" s="81"/>
      <x:c r="F471" s="81"/>
      <x:c r="G471" s="81"/>
      <x:c r="H471" s="81"/>
      <x:c r="I471" s="81"/>
      <x:c r="J471" s="81"/>
      <x:c r="K471" s="81"/>
      <x:c r="L471" s="81"/>
      <x:c r="M471" s="81"/>
      <x:c r="N471" s="81"/>
      <x:c r="O471" s="81"/>
      <x:c r="P471" s="81"/>
      <x:c r="Q471" s="81"/>
      <x:c r="R471" s="81"/>
      <x:c r="S471" s="81"/>
      <x:c r="T471" s="81"/>
      <x:c r="U471" s="81"/>
      <x:c r="V471" s="81"/>
      <x:c r="W471" s="81"/>
      <x:c r="X471" s="81"/>
      <x:c r="Y471" s="81"/>
      <x:c r="Z471" s="81"/>
    </x:row>
    <x:row r="472">
      <x:c r="A472" s="81"/>
      <x:c r="B472" s="81"/>
      <x:c r="C472" s="81"/>
      <x:c r="D472" s="81"/>
      <x:c r="E472" s="81"/>
      <x:c r="F472" s="81"/>
      <x:c r="G472" s="81"/>
      <x:c r="H472" s="81"/>
      <x:c r="I472" s="81"/>
      <x:c r="J472" s="81"/>
      <x:c r="K472" s="81"/>
      <x:c r="L472" s="81"/>
      <x:c r="M472" s="81"/>
      <x:c r="N472" s="81"/>
      <x:c r="O472" s="81"/>
      <x:c r="P472" s="81"/>
      <x:c r="Q472" s="81"/>
      <x:c r="R472" s="81"/>
      <x:c r="S472" s="81"/>
      <x:c r="T472" s="81"/>
      <x:c r="U472" s="81"/>
      <x:c r="V472" s="81"/>
      <x:c r="W472" s="81"/>
      <x:c r="X472" s="81"/>
      <x:c r="Y472" s="81"/>
      <x:c r="Z472" s="81"/>
    </x:row>
    <x:row r="473">
      <x:c r="A473" s="81"/>
      <x:c r="B473" s="81"/>
      <x:c r="C473" s="81"/>
      <x:c r="D473" s="81"/>
      <x:c r="E473" s="81"/>
      <x:c r="F473" s="81"/>
      <x:c r="G473" s="81"/>
      <x:c r="H473" s="81"/>
      <x:c r="I473" s="81"/>
      <x:c r="J473" s="81"/>
      <x:c r="K473" s="81"/>
      <x:c r="L473" s="81"/>
      <x:c r="M473" s="81"/>
      <x:c r="N473" s="81"/>
      <x:c r="O473" s="81"/>
      <x:c r="P473" s="81"/>
      <x:c r="Q473" s="81"/>
      <x:c r="R473" s="81"/>
      <x:c r="S473" s="81"/>
      <x:c r="T473" s="81"/>
      <x:c r="U473" s="81"/>
      <x:c r="V473" s="81"/>
      <x:c r="W473" s="81"/>
      <x:c r="X473" s="81"/>
      <x:c r="Y473" s="81"/>
      <x:c r="Z473" s="81"/>
    </x:row>
    <x:row r="474">
      <x:c r="A474" s="81"/>
      <x:c r="B474" s="81"/>
      <x:c r="C474" s="81"/>
      <x:c r="D474" s="81"/>
      <x:c r="E474" s="81"/>
      <x:c r="F474" s="81"/>
      <x:c r="G474" s="81"/>
      <x:c r="H474" s="81"/>
      <x:c r="I474" s="81"/>
      <x:c r="J474" s="81"/>
      <x:c r="K474" s="81"/>
      <x:c r="L474" s="81"/>
      <x:c r="M474" s="81"/>
      <x:c r="N474" s="81"/>
      <x:c r="O474" s="81"/>
      <x:c r="P474" s="81"/>
      <x:c r="Q474" s="81"/>
      <x:c r="R474" s="81"/>
      <x:c r="S474" s="81"/>
      <x:c r="T474" s="81"/>
      <x:c r="U474" s="81"/>
      <x:c r="V474" s="81"/>
      <x:c r="W474" s="81"/>
      <x:c r="X474" s="81"/>
      <x:c r="Y474" s="81"/>
      <x:c r="Z474" s="81"/>
    </x:row>
    <x:row r="475">
      <x:c r="A475" s="81"/>
      <x:c r="B475" s="81"/>
      <x:c r="C475" s="81"/>
      <x:c r="D475" s="81"/>
      <x:c r="E475" s="81"/>
      <x:c r="F475" s="81"/>
      <x:c r="G475" s="81"/>
      <x:c r="H475" s="81"/>
      <x:c r="I475" s="81"/>
      <x:c r="J475" s="81"/>
      <x:c r="K475" s="81"/>
      <x:c r="L475" s="81"/>
      <x:c r="M475" s="81"/>
      <x:c r="N475" s="81"/>
      <x:c r="O475" s="81"/>
      <x:c r="P475" s="81"/>
      <x:c r="Q475" s="81"/>
      <x:c r="R475" s="81"/>
      <x:c r="S475" s="81"/>
      <x:c r="T475" s="81"/>
      <x:c r="U475" s="81"/>
      <x:c r="V475" s="81"/>
      <x:c r="W475" s="81"/>
      <x:c r="X475" s="81"/>
      <x:c r="Y475" s="81"/>
      <x:c r="Z475" s="81"/>
    </x:row>
    <x:row r="476">
      <x:c r="A476" s="81"/>
      <x:c r="B476" s="81"/>
      <x:c r="C476" s="81"/>
      <x:c r="D476" s="81"/>
      <x:c r="E476" s="81"/>
      <x:c r="F476" s="81"/>
      <x:c r="G476" s="81"/>
      <x:c r="H476" s="81"/>
      <x:c r="I476" s="81"/>
      <x:c r="J476" s="81"/>
      <x:c r="K476" s="81"/>
      <x:c r="L476" s="81"/>
      <x:c r="M476" s="81"/>
      <x:c r="N476" s="81"/>
      <x:c r="O476" s="81"/>
      <x:c r="P476" s="81"/>
      <x:c r="Q476" s="81"/>
      <x:c r="R476" s="81"/>
      <x:c r="S476" s="81"/>
      <x:c r="T476" s="81"/>
      <x:c r="U476" s="81"/>
      <x:c r="V476" s="81"/>
      <x:c r="W476" s="81"/>
      <x:c r="X476" s="81"/>
      <x:c r="Y476" s="81"/>
      <x:c r="Z476" s="81"/>
    </x:row>
    <x:row r="477">
      <x:c r="A477" s="81"/>
      <x:c r="B477" s="81"/>
      <x:c r="C477" s="81"/>
      <x:c r="D477" s="81"/>
      <x:c r="E477" s="81"/>
      <x:c r="F477" s="81"/>
      <x:c r="G477" s="81"/>
      <x:c r="H477" s="81"/>
      <x:c r="I477" s="81"/>
      <x:c r="J477" s="81"/>
      <x:c r="K477" s="81"/>
      <x:c r="L477" s="81"/>
      <x:c r="M477" s="81"/>
      <x:c r="N477" s="81"/>
      <x:c r="O477" s="81"/>
      <x:c r="P477" s="81"/>
      <x:c r="Q477" s="81"/>
      <x:c r="R477" s="81"/>
      <x:c r="S477" s="81"/>
      <x:c r="T477" s="81"/>
      <x:c r="U477" s="81"/>
      <x:c r="V477" s="81"/>
      <x:c r="W477" s="81"/>
      <x:c r="X477" s="81"/>
      <x:c r="Y477" s="81"/>
      <x:c r="Z477" s="81"/>
    </x:row>
    <x:row r="478">
      <x:c r="A478" s="81"/>
      <x:c r="B478" s="81"/>
      <x:c r="C478" s="81"/>
      <x:c r="D478" s="81"/>
      <x:c r="E478" s="81"/>
      <x:c r="F478" s="81"/>
      <x:c r="G478" s="81"/>
      <x:c r="H478" s="81"/>
      <x:c r="I478" s="81"/>
      <x:c r="J478" s="81"/>
      <x:c r="K478" s="81"/>
      <x:c r="L478" s="81"/>
      <x:c r="M478" s="81"/>
      <x:c r="N478" s="81"/>
      <x:c r="O478" s="81"/>
      <x:c r="P478" s="81"/>
      <x:c r="Q478" s="81"/>
      <x:c r="R478" s="81"/>
      <x:c r="S478" s="81"/>
      <x:c r="T478" s="81"/>
      <x:c r="U478" s="81"/>
      <x:c r="V478" s="81"/>
      <x:c r="W478" s="81"/>
      <x:c r="X478" s="81"/>
      <x:c r="Y478" s="81"/>
      <x:c r="Z478" s="81"/>
    </x:row>
    <x:row r="479">
      <x:c r="A479" s="81"/>
      <x:c r="B479" s="81"/>
      <x:c r="C479" s="81"/>
      <x:c r="D479" s="81"/>
      <x:c r="E479" s="81"/>
      <x:c r="F479" s="81"/>
      <x:c r="G479" s="81"/>
      <x:c r="H479" s="81"/>
      <x:c r="I479" s="81"/>
      <x:c r="J479" s="81"/>
      <x:c r="K479" s="81"/>
      <x:c r="L479" s="81"/>
      <x:c r="M479" s="81"/>
      <x:c r="N479" s="81"/>
      <x:c r="O479" s="81"/>
      <x:c r="P479" s="81"/>
      <x:c r="Q479" s="81"/>
      <x:c r="R479" s="81"/>
      <x:c r="S479" s="81"/>
      <x:c r="T479" s="81"/>
      <x:c r="U479" s="81"/>
      <x:c r="V479" s="81"/>
      <x:c r="W479" s="81"/>
      <x:c r="X479" s="81"/>
      <x:c r="Y479" s="81"/>
      <x:c r="Z479" s="81"/>
    </x:row>
    <x:row r="480">
      <x:c r="A480" s="81"/>
      <x:c r="B480" s="81"/>
      <x:c r="C480" s="81"/>
      <x:c r="D480" s="81"/>
      <x:c r="E480" s="81"/>
      <x:c r="F480" s="81"/>
      <x:c r="G480" s="81"/>
      <x:c r="H480" s="81"/>
      <x:c r="I480" s="81"/>
      <x:c r="J480" s="81"/>
      <x:c r="K480" s="81"/>
      <x:c r="L480" s="81"/>
      <x:c r="M480" s="81"/>
      <x:c r="N480" s="81"/>
      <x:c r="O480" s="81"/>
      <x:c r="P480" s="81"/>
      <x:c r="Q480" s="81"/>
      <x:c r="R480" s="81"/>
      <x:c r="S480" s="81"/>
      <x:c r="T480" s="81"/>
      <x:c r="U480" s="81"/>
      <x:c r="V480" s="81"/>
      <x:c r="W480" s="81"/>
      <x:c r="X480" s="81"/>
      <x:c r="Y480" s="81"/>
      <x:c r="Z480" s="81"/>
    </x:row>
    <x:row r="481">
      <x:c r="A481" s="81"/>
      <x:c r="B481" s="81"/>
      <x:c r="C481" s="81"/>
      <x:c r="D481" s="81"/>
      <x:c r="E481" s="81"/>
      <x:c r="F481" s="81"/>
      <x:c r="G481" s="81"/>
      <x:c r="H481" s="81"/>
      <x:c r="I481" s="81"/>
      <x:c r="J481" s="81"/>
      <x:c r="K481" s="81"/>
      <x:c r="L481" s="81"/>
      <x:c r="M481" s="81"/>
      <x:c r="N481" s="81"/>
      <x:c r="O481" s="81"/>
      <x:c r="P481" s="81"/>
      <x:c r="Q481" s="81"/>
      <x:c r="R481" s="81"/>
      <x:c r="S481" s="81"/>
      <x:c r="T481" s="81"/>
      <x:c r="U481" s="81"/>
      <x:c r="V481" s="81"/>
      <x:c r="W481" s="81"/>
      <x:c r="X481" s="81"/>
      <x:c r="Y481" s="81"/>
      <x:c r="Z481" s="81"/>
    </x:row>
    <x:row r="482">
      <x:c r="A482" s="81"/>
      <x:c r="B482" s="81"/>
      <x:c r="C482" s="81"/>
      <x:c r="D482" s="81"/>
      <x:c r="E482" s="81"/>
      <x:c r="F482" s="81"/>
      <x:c r="G482" s="81"/>
      <x:c r="H482" s="81"/>
      <x:c r="I482" s="81"/>
      <x:c r="J482" s="81"/>
      <x:c r="K482" s="81"/>
      <x:c r="L482" s="81"/>
      <x:c r="M482" s="81"/>
      <x:c r="N482" s="81"/>
      <x:c r="O482" s="81"/>
      <x:c r="P482" s="81"/>
      <x:c r="Q482" s="81"/>
      <x:c r="R482" s="81"/>
      <x:c r="S482" s="81"/>
      <x:c r="T482" s="81"/>
      <x:c r="U482" s="81"/>
      <x:c r="V482" s="81"/>
      <x:c r="W482" s="81"/>
      <x:c r="X482" s="81"/>
      <x:c r="Y482" s="81"/>
      <x:c r="Z482" s="81"/>
    </x:row>
    <x:row r="483">
      <x:c r="A483" s="81"/>
      <x:c r="B483" s="81"/>
      <x:c r="C483" s="81"/>
      <x:c r="D483" s="81"/>
      <x:c r="E483" s="81"/>
      <x:c r="F483" s="81"/>
      <x:c r="G483" s="81"/>
      <x:c r="H483" s="81"/>
      <x:c r="I483" s="81"/>
      <x:c r="J483" s="81"/>
      <x:c r="K483" s="81"/>
      <x:c r="L483" s="81"/>
      <x:c r="M483" s="81"/>
      <x:c r="N483" s="81"/>
      <x:c r="O483" s="81"/>
      <x:c r="P483" s="81"/>
      <x:c r="Q483" s="81"/>
      <x:c r="R483" s="81"/>
      <x:c r="S483" s="81"/>
      <x:c r="T483" s="81"/>
      <x:c r="U483" s="81"/>
      <x:c r="V483" s="81"/>
      <x:c r="W483" s="81"/>
      <x:c r="X483" s="81"/>
      <x:c r="Y483" s="81"/>
      <x:c r="Z483" s="81"/>
    </x:row>
    <x:row r="484">
      <x:c r="A484" s="81"/>
      <x:c r="B484" s="81"/>
      <x:c r="C484" s="81"/>
      <x:c r="D484" s="81"/>
      <x:c r="E484" s="81"/>
      <x:c r="F484" s="81"/>
      <x:c r="G484" s="81"/>
      <x:c r="H484" s="81"/>
      <x:c r="I484" s="81"/>
      <x:c r="J484" s="81"/>
      <x:c r="K484" s="81"/>
      <x:c r="L484" s="81"/>
      <x:c r="M484" s="81"/>
      <x:c r="N484" s="81"/>
      <x:c r="O484" s="81"/>
      <x:c r="P484" s="81"/>
      <x:c r="Q484" s="81"/>
      <x:c r="R484" s="81"/>
      <x:c r="S484" s="81"/>
      <x:c r="T484" s="81"/>
      <x:c r="U484" s="81"/>
      <x:c r="V484" s="81"/>
      <x:c r="W484" s="81"/>
      <x:c r="X484" s="81"/>
      <x:c r="Y484" s="81"/>
      <x:c r="Z484" s="81"/>
    </x:row>
    <x:row r="485">
      <x:c r="A485" s="81"/>
      <x:c r="B485" s="81"/>
      <x:c r="C485" s="81"/>
      <x:c r="D485" s="81"/>
      <x:c r="E485" s="81"/>
      <x:c r="F485" s="81"/>
      <x:c r="G485" s="81"/>
      <x:c r="H485" s="81"/>
      <x:c r="I485" s="81"/>
      <x:c r="J485" s="81"/>
      <x:c r="K485" s="81"/>
      <x:c r="L485" s="81"/>
      <x:c r="M485" s="81"/>
      <x:c r="N485" s="81"/>
      <x:c r="O485" s="81"/>
      <x:c r="P485" s="81"/>
      <x:c r="Q485" s="81"/>
      <x:c r="R485" s="81"/>
      <x:c r="S485" s="81"/>
      <x:c r="T485" s="81"/>
      <x:c r="U485" s="81"/>
      <x:c r="V485" s="81"/>
      <x:c r="W485" s="81"/>
      <x:c r="X485" s="81"/>
      <x:c r="Y485" s="81"/>
      <x:c r="Z485" s="81"/>
    </x:row>
    <x:row r="486">
      <x:c r="A486" s="81"/>
      <x:c r="B486" s="81"/>
      <x:c r="C486" s="81"/>
      <x:c r="D486" s="81"/>
      <x:c r="E486" s="81"/>
      <x:c r="F486" s="81"/>
      <x:c r="G486" s="81"/>
      <x:c r="H486" s="81"/>
      <x:c r="I486" s="81"/>
      <x:c r="J486" s="81"/>
      <x:c r="K486" s="81"/>
      <x:c r="L486" s="81"/>
      <x:c r="M486" s="81"/>
      <x:c r="N486" s="81"/>
      <x:c r="O486" s="81"/>
      <x:c r="P486" s="81"/>
      <x:c r="Q486" s="81"/>
      <x:c r="R486" s="81"/>
      <x:c r="S486" s="81"/>
      <x:c r="T486" s="81"/>
      <x:c r="U486" s="81"/>
      <x:c r="V486" s="81"/>
      <x:c r="W486" s="81"/>
      <x:c r="X486" s="81"/>
      <x:c r="Y486" s="81"/>
      <x:c r="Z486" s="81"/>
    </x:row>
    <x:row r="487">
      <x:c r="A487" s="81"/>
      <x:c r="B487" s="81"/>
      <x:c r="C487" s="81"/>
      <x:c r="D487" s="81"/>
      <x:c r="E487" s="81"/>
      <x:c r="F487" s="81"/>
      <x:c r="G487" s="81"/>
      <x:c r="H487" s="81"/>
      <x:c r="I487" s="81"/>
      <x:c r="J487" s="81"/>
      <x:c r="K487" s="81"/>
      <x:c r="L487" s="81"/>
      <x:c r="M487" s="81"/>
      <x:c r="N487" s="81"/>
      <x:c r="O487" s="81"/>
      <x:c r="P487" s="81"/>
      <x:c r="Q487" s="81"/>
      <x:c r="R487" s="81"/>
      <x:c r="S487" s="81"/>
      <x:c r="T487" s="81"/>
      <x:c r="U487" s="81"/>
      <x:c r="V487" s="81"/>
      <x:c r="W487" s="81"/>
      <x:c r="X487" s="81"/>
      <x:c r="Y487" s="81"/>
      <x:c r="Z487" s="81"/>
    </x:row>
    <x:row r="488">
      <x:c r="A488" s="81"/>
      <x:c r="B488" s="81"/>
      <x:c r="C488" s="81"/>
      <x:c r="D488" s="81"/>
      <x:c r="E488" s="81"/>
      <x:c r="F488" s="81"/>
      <x:c r="G488" s="81"/>
      <x:c r="H488" s="81"/>
      <x:c r="I488" s="81"/>
      <x:c r="J488" s="81"/>
      <x:c r="K488" s="81"/>
      <x:c r="L488" s="81"/>
      <x:c r="M488" s="81"/>
      <x:c r="N488" s="81"/>
      <x:c r="O488" s="81"/>
      <x:c r="P488" s="81"/>
      <x:c r="Q488" s="81"/>
      <x:c r="R488" s="81"/>
      <x:c r="S488" s="81"/>
      <x:c r="T488" s="81"/>
      <x:c r="U488" s="81"/>
      <x:c r="V488" s="81"/>
      <x:c r="W488" s="81"/>
      <x:c r="X488" s="81"/>
      <x:c r="Y488" s="81"/>
      <x:c r="Z488" s="81"/>
    </x:row>
    <x:row r="489">
      <x:c r="A489" s="81"/>
      <x:c r="B489" s="81"/>
      <x:c r="C489" s="81"/>
      <x:c r="D489" s="81"/>
      <x:c r="E489" s="81"/>
      <x:c r="F489" s="81"/>
      <x:c r="G489" s="81"/>
      <x:c r="H489" s="81"/>
      <x:c r="I489" s="81"/>
      <x:c r="J489" s="81"/>
      <x:c r="K489" s="81"/>
      <x:c r="L489" s="81"/>
      <x:c r="M489" s="81"/>
      <x:c r="N489" s="81"/>
      <x:c r="O489" s="81"/>
      <x:c r="P489" s="81"/>
      <x:c r="Q489" s="81"/>
      <x:c r="R489" s="81"/>
      <x:c r="S489" s="81"/>
      <x:c r="T489" s="81"/>
      <x:c r="U489" s="81"/>
      <x:c r="V489" s="81"/>
      <x:c r="W489" s="81"/>
      <x:c r="X489" s="81"/>
      <x:c r="Y489" s="81"/>
      <x:c r="Z489" s="81"/>
    </x:row>
    <x:row r="490">
      <x:c r="A490" s="81"/>
      <x:c r="B490" s="81"/>
      <x:c r="C490" s="81"/>
      <x:c r="D490" s="81"/>
      <x:c r="E490" s="81"/>
      <x:c r="F490" s="81"/>
      <x:c r="G490" s="81"/>
      <x:c r="H490" s="81"/>
      <x:c r="I490" s="81"/>
      <x:c r="J490" s="81"/>
      <x:c r="K490" s="81"/>
      <x:c r="L490" s="81"/>
      <x:c r="M490" s="81"/>
      <x:c r="N490" s="81"/>
      <x:c r="O490" s="81"/>
      <x:c r="P490" s="81"/>
      <x:c r="Q490" s="81"/>
      <x:c r="R490" s="81"/>
      <x:c r="S490" s="81"/>
      <x:c r="T490" s="81"/>
      <x:c r="U490" s="81"/>
      <x:c r="V490" s="81"/>
      <x:c r="W490" s="81"/>
      <x:c r="X490" s="81"/>
      <x:c r="Y490" s="81"/>
      <x:c r="Z490" s="81"/>
    </x:row>
    <x:row r="491">
      <x:c r="A491" s="81"/>
      <x:c r="B491" s="81"/>
      <x:c r="C491" s="81"/>
      <x:c r="D491" s="81"/>
      <x:c r="E491" s="81"/>
      <x:c r="F491" s="81"/>
      <x:c r="G491" s="81"/>
      <x:c r="H491" s="81"/>
      <x:c r="I491" s="81"/>
      <x:c r="J491" s="81"/>
      <x:c r="K491" s="81"/>
      <x:c r="L491" s="81"/>
      <x:c r="M491" s="81"/>
      <x:c r="N491" s="81"/>
      <x:c r="O491" s="81"/>
      <x:c r="P491" s="81"/>
      <x:c r="Q491" s="81"/>
      <x:c r="R491" s="81"/>
      <x:c r="S491" s="81"/>
      <x:c r="T491" s="81"/>
      <x:c r="U491" s="81"/>
      <x:c r="V491" s="81"/>
      <x:c r="W491" s="81"/>
      <x:c r="X491" s="81"/>
      <x:c r="Y491" s="81"/>
      <x:c r="Z491" s="81"/>
    </x:row>
    <x:row r="492">
      <x:c r="A492" s="81"/>
      <x:c r="B492" s="81"/>
      <x:c r="C492" s="81"/>
      <x:c r="D492" s="81"/>
      <x:c r="E492" s="81"/>
      <x:c r="F492" s="81"/>
      <x:c r="G492" s="81"/>
      <x:c r="H492" s="81"/>
      <x:c r="I492" s="81"/>
      <x:c r="J492" s="81"/>
      <x:c r="K492" s="81"/>
      <x:c r="L492" s="81"/>
      <x:c r="M492" s="81"/>
      <x:c r="N492" s="81"/>
      <x:c r="O492" s="81"/>
      <x:c r="P492" s="81"/>
      <x:c r="Q492" s="81"/>
      <x:c r="R492" s="81"/>
      <x:c r="S492" s="81"/>
      <x:c r="T492" s="81"/>
      <x:c r="U492" s="81"/>
      <x:c r="V492" s="81"/>
      <x:c r="W492" s="81"/>
      <x:c r="X492" s="81"/>
      <x:c r="Y492" s="81"/>
      <x:c r="Z492" s="81"/>
    </x:row>
    <x:row r="493">
      <x:c r="A493" s="81"/>
      <x:c r="B493" s="81"/>
      <x:c r="C493" s="81"/>
      <x:c r="D493" s="81"/>
      <x:c r="E493" s="81"/>
      <x:c r="F493" s="81"/>
      <x:c r="G493" s="81"/>
      <x:c r="H493" s="81"/>
      <x:c r="I493" s="81"/>
      <x:c r="J493" s="81"/>
      <x:c r="K493" s="81"/>
      <x:c r="L493" s="81"/>
      <x:c r="M493" s="81"/>
      <x:c r="N493" s="81"/>
      <x:c r="O493" s="81"/>
      <x:c r="P493" s="81"/>
      <x:c r="Q493" s="81"/>
      <x:c r="R493" s="81"/>
      <x:c r="S493" s="81"/>
      <x:c r="T493" s="81"/>
      <x:c r="U493" s="81"/>
      <x:c r="V493" s="81"/>
      <x:c r="W493" s="81"/>
      <x:c r="X493" s="81"/>
      <x:c r="Y493" s="81"/>
      <x:c r="Z493" s="81"/>
    </x:row>
    <x:row r="494">
      <x:c r="A494" s="81"/>
      <x:c r="B494" s="81"/>
      <x:c r="C494" s="81"/>
      <x:c r="D494" s="81"/>
      <x:c r="E494" s="81"/>
      <x:c r="F494" s="81"/>
      <x:c r="G494" s="81"/>
      <x:c r="H494" s="81"/>
      <x:c r="I494" s="81"/>
      <x:c r="J494" s="81"/>
      <x:c r="K494" s="81"/>
      <x:c r="L494" s="81"/>
      <x:c r="M494" s="81"/>
      <x:c r="N494" s="81"/>
      <x:c r="O494" s="81"/>
      <x:c r="P494" s="81"/>
      <x:c r="Q494" s="81"/>
      <x:c r="R494" s="81"/>
      <x:c r="S494" s="81"/>
      <x:c r="T494" s="81"/>
      <x:c r="U494" s="81"/>
      <x:c r="V494" s="81"/>
      <x:c r="W494" s="81"/>
      <x:c r="X494" s="81"/>
      <x:c r="Y494" s="81"/>
      <x:c r="Z494" s="81"/>
    </x:row>
    <x:row r="495">
      <x:c r="A495" s="81"/>
      <x:c r="B495" s="81"/>
      <x:c r="C495" s="81"/>
      <x:c r="D495" s="81"/>
      <x:c r="E495" s="81"/>
      <x:c r="F495" s="81"/>
      <x:c r="G495" s="81"/>
      <x:c r="H495" s="81"/>
      <x:c r="I495" s="81"/>
      <x:c r="J495" s="81"/>
      <x:c r="K495" s="81"/>
      <x:c r="L495" s="81"/>
      <x:c r="M495" s="81"/>
      <x:c r="N495" s="81"/>
      <x:c r="O495" s="81"/>
      <x:c r="P495" s="81"/>
      <x:c r="Q495" s="81"/>
      <x:c r="R495" s="81"/>
      <x:c r="S495" s="81"/>
      <x:c r="T495" s="81"/>
      <x:c r="U495" s="81"/>
      <x:c r="V495" s="81"/>
      <x:c r="W495" s="81"/>
      <x:c r="X495" s="81"/>
      <x:c r="Y495" s="81"/>
      <x:c r="Z495" s="81"/>
    </x:row>
    <x:row r="496">
      <x:c r="A496" s="81"/>
      <x:c r="B496" s="81"/>
      <x:c r="C496" s="81"/>
      <x:c r="D496" s="81"/>
      <x:c r="E496" s="81"/>
      <x:c r="F496" s="81"/>
      <x:c r="G496" s="81"/>
      <x:c r="H496" s="81"/>
      <x:c r="I496" s="81"/>
      <x:c r="J496" s="81"/>
      <x:c r="K496" s="81"/>
      <x:c r="L496" s="81"/>
      <x:c r="M496" s="81"/>
      <x:c r="N496" s="81"/>
      <x:c r="O496" s="81"/>
      <x:c r="P496" s="81"/>
      <x:c r="Q496" s="81"/>
      <x:c r="R496" s="81"/>
      <x:c r="S496" s="81"/>
      <x:c r="T496" s="81"/>
      <x:c r="U496" s="81"/>
      <x:c r="V496" s="81"/>
      <x:c r="W496" s="81"/>
      <x:c r="X496" s="81"/>
      <x:c r="Y496" s="81"/>
      <x:c r="Z496" s="81"/>
    </x:row>
    <x:row r="497">
      <x:c r="A497" s="81"/>
      <x:c r="B497" s="81"/>
      <x:c r="C497" s="81"/>
      <x:c r="D497" s="81"/>
      <x:c r="E497" s="81"/>
      <x:c r="F497" s="81"/>
      <x:c r="G497" s="81"/>
      <x:c r="H497" s="81"/>
      <x:c r="I497" s="81"/>
      <x:c r="J497" s="81"/>
      <x:c r="K497" s="81"/>
      <x:c r="L497" s="81"/>
      <x:c r="M497" s="81"/>
      <x:c r="N497" s="81"/>
      <x:c r="O497" s="81"/>
      <x:c r="P497" s="81"/>
      <x:c r="Q497" s="81"/>
      <x:c r="R497" s="81"/>
      <x:c r="S497" s="81"/>
      <x:c r="T497" s="81"/>
      <x:c r="U497" s="81"/>
      <x:c r="V497" s="81"/>
      <x:c r="W497" s="81"/>
      <x:c r="X497" s="81"/>
      <x:c r="Y497" s="81"/>
      <x:c r="Z497" s="81"/>
    </x:row>
    <x:row r="498">
      <x:c r="A498" s="81"/>
      <x:c r="B498" s="81"/>
      <x:c r="C498" s="81"/>
      <x:c r="D498" s="81"/>
      <x:c r="E498" s="81"/>
      <x:c r="F498" s="81"/>
      <x:c r="G498" s="81"/>
      <x:c r="H498" s="81"/>
      <x:c r="I498" s="81"/>
      <x:c r="J498" s="81"/>
      <x:c r="K498" s="81"/>
      <x:c r="L498" s="81"/>
      <x:c r="M498" s="81"/>
      <x:c r="N498" s="81"/>
      <x:c r="O498" s="81"/>
      <x:c r="P498" s="81"/>
      <x:c r="Q498" s="81"/>
      <x:c r="R498" s="81"/>
      <x:c r="S498" s="81"/>
      <x:c r="T498" s="81"/>
      <x:c r="U498" s="81"/>
      <x:c r="V498" s="81"/>
      <x:c r="W498" s="81"/>
      <x:c r="X498" s="81"/>
      <x:c r="Y498" s="81"/>
      <x:c r="Z498" s="81"/>
    </x:row>
    <x:row r="499">
      <x:c r="A499" s="81"/>
      <x:c r="B499" s="81"/>
      <x:c r="C499" s="81"/>
      <x:c r="D499" s="81"/>
      <x:c r="E499" s="81"/>
      <x:c r="F499" s="81"/>
      <x:c r="G499" s="81"/>
      <x:c r="H499" s="81"/>
      <x:c r="I499" s="81"/>
      <x:c r="J499" s="81"/>
      <x:c r="K499" s="81"/>
      <x:c r="L499" s="81"/>
      <x:c r="M499" s="81"/>
      <x:c r="N499" s="81"/>
      <x:c r="O499" s="81"/>
      <x:c r="P499" s="81"/>
      <x:c r="Q499" s="81"/>
      <x:c r="R499" s="81"/>
      <x:c r="S499" s="81"/>
      <x:c r="T499" s="81"/>
      <x:c r="U499" s="81"/>
      <x:c r="V499" s="81"/>
      <x:c r="W499" s="81"/>
      <x:c r="X499" s="81"/>
      <x:c r="Y499" s="81"/>
      <x:c r="Z499" s="81"/>
    </x:row>
    <x:row r="500">
      <x:c r="A500" s="81"/>
      <x:c r="B500" s="81"/>
      <x:c r="C500" s="81"/>
      <x:c r="D500" s="81"/>
      <x:c r="E500" s="81"/>
      <x:c r="F500" s="81"/>
      <x:c r="G500" s="81"/>
      <x:c r="H500" s="81"/>
      <x:c r="I500" s="81"/>
      <x:c r="J500" s="81"/>
      <x:c r="K500" s="81"/>
      <x:c r="L500" s="81"/>
      <x:c r="M500" s="81"/>
      <x:c r="N500" s="81"/>
      <x:c r="O500" s="81"/>
      <x:c r="P500" s="81"/>
      <x:c r="Q500" s="81"/>
      <x:c r="R500" s="81"/>
      <x:c r="S500" s="81"/>
      <x:c r="T500" s="81"/>
      <x:c r="U500" s="81"/>
      <x:c r="V500" s="81"/>
      <x:c r="W500" s="81"/>
      <x:c r="X500" s="81"/>
      <x:c r="Y500" s="81"/>
      <x:c r="Z500" s="8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09999656677246" hidden="0" customWidth="1"/>
    <x:col min="2" max="2" width="9.109999656677246" hidden="0" customWidth="1"/>
    <x:col min="3" max="3" width="13.670000076293945" hidden="0" customWidth="1"/>
    <x:col min="4" max="4" width="7.78000020980835" hidden="0" customWidth="1"/>
    <x:col min="5" max="5" width="8.220000267028809" hidden="0" customWidth="1"/>
  </x:cols>
  <x:sheetData>
    <x:row r="1">
      <x:c r="A1" s="86" t="str">
        <x:v>Date</x:v>
      </x:c>
      <x:c r="B1" s="86" t="str">
        <x:v>Fund_Code</x:v>
      </x:c>
      <x:c r="C1" s="86" t="str">
        <x:v>Net_Flow_VND_bn</x:v>
      </x:c>
      <x:c r="D1" s="86" t="str">
        <x:v>Source_ID</x:v>
      </x:c>
      <x:c r="E1" s="86" t="str">
        <x:v>Status</x:v>
      </x:c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  <x:c r="T1" s="88"/>
      <x:c r="U1" s="88"/>
      <x:c r="V1" s="88"/>
      <x:c r="W1" s="88"/>
      <x:c r="X1" s="88"/>
      <x:c r="Y1" s="88"/>
      <x:c r="Z1" s="88"/>
    </x:row>
    <x:row r="2">
      <x:c r="A2" s="81" t="str">
        <x:v>2025-01-31</x:v>
      </x:c>
      <x:c r="B2" s="81" t="str">
        <x:v>DCDS</x:v>
      </x:c>
      <x:c r="C2" s="81" t="n">
        <x:v>-496.4</x:v>
      </x:c>
      <x:c r="D2" s="81" t="str">
        <x:v>S004</x:v>
      </x:c>
      <x:c r="E2" s="81" t="str">
        <x:v>Assumption</x:v>
      </x:c>
      <x:c r="F2" s="81"/>
      <x:c r="G2" s="81"/>
      <x:c r="H2" s="81"/>
      <x:c r="I2" s="81"/>
      <x:c r="J2" s="81"/>
      <x:c r="K2" s="81"/>
      <x:c r="L2" s="81"/>
      <x:c r="M2" s="81"/>
      <x:c r="N2" s="81"/>
      <x:c r="O2" s="81"/>
      <x:c r="P2" s="81"/>
      <x:c r="Q2" s="81"/>
      <x:c r="R2" s="81"/>
      <x:c r="S2" s="81"/>
      <x:c r="T2" s="81"/>
      <x:c r="U2" s="81"/>
      <x:c r="V2" s="81"/>
      <x:c r="W2" s="81"/>
      <x:c r="X2" s="81"/>
      <x:c r="Y2" s="81"/>
      <x:c r="Z2" s="81"/>
    </x:row>
    <x:row r="3">
      <x:c r="A3" s="81" t="str">
        <x:v>2025-01-31</x:v>
      </x:c>
      <x:c r="B3" s="81" t="str">
        <x:v>DCBF</x:v>
      </x:c>
      <x:c r="C3" s="81" t="n">
        <x:v>-124.9</x:v>
      </x:c>
      <x:c r="D3" s="81" t="str">
        <x:v>S004</x:v>
      </x:c>
      <x:c r="E3" s="81" t="str">
        <x:v>Assumption</x:v>
      </x:c>
      <x:c r="F3" s="81"/>
      <x:c r="G3" s="81"/>
      <x:c r="H3" s="81"/>
      <x:c r="I3" s="81"/>
      <x:c r="J3" s="81"/>
      <x:c r="K3" s="81"/>
      <x:c r="L3" s="81"/>
      <x:c r="M3" s="81"/>
      <x:c r="N3" s="81"/>
      <x:c r="O3" s="81"/>
      <x:c r="P3" s="81"/>
      <x:c r="Q3" s="81"/>
      <x:c r="R3" s="81"/>
      <x:c r="S3" s="81"/>
      <x:c r="T3" s="81"/>
      <x:c r="U3" s="81"/>
      <x:c r="V3" s="81"/>
      <x:c r="W3" s="81"/>
      <x:c r="X3" s="81"/>
      <x:c r="Y3" s="81"/>
      <x:c r="Z3" s="81"/>
    </x:row>
    <x:row r="4">
      <x:c r="A4" s="81" t="str">
        <x:v>2025-01-31</x:v>
      </x:c>
      <x:c r="B4" s="81" t="str">
        <x:v>DCDE</x:v>
      </x:c>
      <x:c r="C4" s="81" t="n">
        <x:v>106.4</x:v>
      </x:c>
      <x:c r="D4" s="81" t="str">
        <x:v>S004</x:v>
      </x:c>
      <x:c r="E4" s="81" t="str">
        <x:v>Assumption</x:v>
      </x:c>
      <x:c r="F4" s="81"/>
      <x:c r="G4" s="81"/>
      <x:c r="H4" s="81"/>
      <x:c r="I4" s="81"/>
      <x:c r="J4" s="81"/>
      <x:c r="K4" s="81"/>
      <x:c r="L4" s="81"/>
      <x:c r="M4" s="81"/>
      <x:c r="N4" s="81"/>
      <x:c r="O4" s="81"/>
      <x:c r="P4" s="81"/>
      <x:c r="Q4" s="81"/>
      <x:c r="R4" s="81"/>
      <x:c r="S4" s="81"/>
      <x:c r="T4" s="81"/>
      <x:c r="U4" s="81"/>
      <x:c r="V4" s="81"/>
      <x:c r="W4" s="81"/>
      <x:c r="X4" s="81"/>
      <x:c r="Y4" s="81"/>
      <x:c r="Z4" s="81"/>
    </x:row>
    <x:row r="5">
      <x:c r="A5" s="81" t="str">
        <x:v>2025-01-31</x:v>
      </x:c>
      <x:c r="B5" s="81" t="str">
        <x:v>E1VFVN30</x:v>
      </x:c>
      <x:c r="C5" s="81" t="n">
        <x:v>-309.2</x:v>
      </x:c>
      <x:c r="D5" s="81" t="str">
        <x:v>S004</x:v>
      </x:c>
      <x:c r="E5" s="81" t="str">
        <x:v>Assumption</x:v>
      </x:c>
      <x:c r="F5" s="81"/>
      <x:c r="G5" s="81"/>
      <x:c r="H5" s="81"/>
      <x:c r="I5" s="81"/>
      <x:c r="J5" s="81"/>
      <x:c r="K5" s="81"/>
      <x:c r="L5" s="81"/>
      <x:c r="M5" s="81"/>
      <x:c r="N5" s="81"/>
      <x:c r="O5" s="81"/>
      <x:c r="P5" s="81"/>
      <x:c r="Q5" s="81"/>
      <x:c r="R5" s="81"/>
      <x:c r="S5" s="81"/>
      <x:c r="T5" s="81"/>
      <x:c r="U5" s="81"/>
      <x:c r="V5" s="81"/>
      <x:c r="W5" s="81"/>
      <x:c r="X5" s="81"/>
      <x:c r="Y5" s="81"/>
      <x:c r="Z5" s="81"/>
    </x:row>
    <x:row r="6">
      <x:c r="A6" s="81" t="str">
        <x:v>2025-01-31</x:v>
      </x:c>
      <x:c r="B6" s="81" t="str">
        <x:v>FUEVFVND</x:v>
      </x:c>
      <x:c r="C6" s="81" t="n">
        <x:v>-446.7</x:v>
      </x:c>
      <x:c r="D6" s="81" t="str">
        <x:v>S004</x:v>
      </x:c>
      <x:c r="E6" s="81" t="str">
        <x:v>Assumption</x:v>
      </x:c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</x:row>
    <x:row r="7">
      <x:c r="A7" s="81" t="str">
        <x:v>2025-01-31</x:v>
      </x:c>
      <x:c r="B7" s="81" t="str">
        <x:v>VEF_LOCAL</x:v>
      </x:c>
      <x:c r="C7" s="81" t="n">
        <x:v>30.4</x:v>
      </x:c>
      <x:c r="D7" s="81" t="str">
        <x:v>S004</x:v>
      </x:c>
      <x:c r="E7" s="81" t="str">
        <x:v>Assumption</x:v>
      </x:c>
      <x:c r="F7" s="81"/>
      <x:c r="G7" s="81"/>
      <x:c r="H7" s="81"/>
      <x:c r="I7" s="81"/>
      <x:c r="J7" s="81"/>
      <x:c r="K7" s="81"/>
      <x:c r="L7" s="81"/>
      <x:c r="M7" s="81"/>
      <x:c r="N7" s="81"/>
      <x:c r="O7" s="81"/>
      <x:c r="P7" s="81"/>
      <x:c r="Q7" s="81"/>
      <x:c r="R7" s="81"/>
      <x:c r="S7" s="81"/>
      <x:c r="T7" s="81"/>
      <x:c r="U7" s="81"/>
      <x:c r="V7" s="81"/>
      <x:c r="W7" s="81"/>
      <x:c r="X7" s="81"/>
      <x:c r="Y7" s="81"/>
      <x:c r="Z7" s="81"/>
    </x:row>
    <x:row r="8">
      <x:c r="A8" s="81" t="str">
        <x:v>2025-02-28</x:v>
      </x:c>
      <x:c r="B8" s="81" t="str">
        <x:v>DCDS</x:v>
      </x:c>
      <x:c r="C8" s="81" t="n">
        <x:v>-291.4</x:v>
      </x:c>
      <x:c r="D8" s="81" t="str">
        <x:v>S004</x:v>
      </x:c>
      <x:c r="E8" s="81" t="str">
        <x:v>Assumption</x:v>
      </x:c>
      <x:c r="F8" s="81"/>
      <x:c r="G8" s="81"/>
      <x:c r="H8" s="81"/>
      <x:c r="I8" s="81"/>
      <x:c r="J8" s="81"/>
      <x:c r="K8" s="81"/>
      <x:c r="L8" s="81"/>
      <x:c r="M8" s="81"/>
      <x:c r="N8" s="81"/>
      <x:c r="O8" s="81"/>
      <x:c r="P8" s="81"/>
      <x:c r="Q8" s="81"/>
      <x:c r="R8" s="81"/>
      <x:c r="S8" s="81"/>
      <x:c r="T8" s="81"/>
      <x:c r="U8" s="81"/>
      <x:c r="V8" s="81"/>
      <x:c r="W8" s="81"/>
      <x:c r="X8" s="81"/>
      <x:c r="Y8" s="81"/>
      <x:c r="Z8" s="81"/>
    </x:row>
    <x:row r="9">
      <x:c r="A9" s="81" t="str">
        <x:v>2025-02-28</x:v>
      </x:c>
      <x:c r="B9" s="81" t="str">
        <x:v>DCBF</x:v>
      </x:c>
      <x:c r="C9" s="81" t="n">
        <x:v>-131.2</x:v>
      </x:c>
      <x:c r="D9" s="81" t="str">
        <x:v>S004</x:v>
      </x:c>
      <x:c r="E9" s="81" t="str">
        <x:v>Assumption</x:v>
      </x:c>
      <x:c r="F9" s="81"/>
      <x:c r="G9" s="81"/>
      <x:c r="H9" s="81"/>
      <x:c r="I9" s="81"/>
      <x:c r="J9" s="81"/>
      <x:c r="K9" s="81"/>
      <x:c r="L9" s="81"/>
      <x:c r="M9" s="81"/>
      <x:c r="N9" s="81"/>
      <x:c r="O9" s="81"/>
      <x:c r="P9" s="81"/>
      <x:c r="Q9" s="81"/>
      <x:c r="R9" s="81"/>
      <x:c r="S9" s="81"/>
      <x:c r="T9" s="81"/>
      <x:c r="U9" s="81"/>
      <x:c r="V9" s="81"/>
      <x:c r="W9" s="81"/>
      <x:c r="X9" s="81"/>
      <x:c r="Y9" s="81"/>
      <x:c r="Z9" s="81"/>
    </x:row>
    <x:row r="10">
      <x:c r="A10" s="81" t="str">
        <x:v>2025-02-28</x:v>
      </x:c>
      <x:c r="B10" s="81" t="str">
        <x:v>DCDE</x:v>
      </x:c>
      <x:c r="C10" s="81" t="n">
        <x:v>-214.1</x:v>
      </x:c>
      <x:c r="D10" s="81" t="str">
        <x:v>S004</x:v>
      </x:c>
      <x:c r="E10" s="81" t="str">
        <x:v>Assumption</x:v>
      </x:c>
      <x:c r="F10" s="81"/>
      <x:c r="G10" s="81"/>
      <x:c r="H10" s="81"/>
      <x:c r="I10" s="81"/>
      <x:c r="J10" s="81"/>
      <x:c r="K10" s="81"/>
      <x:c r="L10" s="81"/>
      <x:c r="M10" s="81"/>
      <x:c r="N10" s="81"/>
      <x:c r="O10" s="81"/>
      <x:c r="P10" s="81"/>
      <x:c r="Q10" s="81"/>
      <x:c r="R10" s="81"/>
      <x:c r="S10" s="81"/>
      <x:c r="T10" s="81"/>
      <x:c r="U10" s="81"/>
      <x:c r="V10" s="81"/>
      <x:c r="W10" s="81"/>
      <x:c r="X10" s="81"/>
      <x:c r="Y10" s="81"/>
      <x:c r="Z10" s="81"/>
    </x:row>
    <x:row r="11">
      <x:c r="A11" s="81" t="str">
        <x:v>2025-02-28</x:v>
      </x:c>
      <x:c r="B11" s="81" t="str">
        <x:v>E1VFVN30</x:v>
      </x:c>
      <x:c r="C11" s="81" t="n">
        <x:v>-94.8</x:v>
      </x:c>
      <x:c r="D11" s="81" t="str">
        <x:v>S004</x:v>
      </x:c>
      <x:c r="E11" s="81" t="str">
        <x:v>Assumption</x:v>
      </x:c>
      <x:c r="F11" s="81"/>
      <x:c r="G11" s="81"/>
      <x:c r="H11" s="81"/>
      <x:c r="I11" s="81"/>
      <x:c r="J11" s="81"/>
      <x:c r="K11" s="81"/>
      <x:c r="L11" s="81"/>
      <x:c r="M11" s="81"/>
      <x:c r="N11" s="81"/>
      <x:c r="O11" s="81"/>
      <x:c r="P11" s="81"/>
      <x:c r="Q11" s="81"/>
      <x:c r="R11" s="81"/>
      <x:c r="S11" s="81"/>
      <x:c r="T11" s="81"/>
      <x:c r="U11" s="81"/>
      <x:c r="V11" s="81"/>
      <x:c r="W11" s="81"/>
      <x:c r="X11" s="81"/>
      <x:c r="Y11" s="81"/>
      <x:c r="Z11" s="81"/>
    </x:row>
    <x:row r="12">
      <x:c r="A12" s="81" t="str">
        <x:v>2025-02-28</x:v>
      </x:c>
      <x:c r="B12" s="81" t="str">
        <x:v>FUEVFVND</x:v>
      </x:c>
      <x:c r="C12" s="81" t="n">
        <x:v>-126.8</x:v>
      </x:c>
      <x:c r="D12" s="81" t="str">
        <x:v>S004</x:v>
      </x:c>
      <x:c r="E12" s="81" t="str">
        <x:v>Assumption</x:v>
      </x:c>
      <x:c r="F12" s="81"/>
      <x:c r="G12" s="81"/>
      <x:c r="H12" s="81"/>
      <x:c r="I12" s="81"/>
      <x:c r="J12" s="81"/>
      <x:c r="K12" s="81"/>
      <x:c r="L12" s="81"/>
      <x:c r="M12" s="81"/>
      <x:c r="N12" s="81"/>
      <x:c r="O12" s="81"/>
      <x:c r="P12" s="81"/>
      <x:c r="Q12" s="81"/>
      <x:c r="R12" s="81"/>
      <x:c r="S12" s="81"/>
      <x:c r="T12" s="81"/>
      <x:c r="U12" s="81"/>
      <x:c r="V12" s="81"/>
      <x:c r="W12" s="81"/>
      <x:c r="X12" s="81"/>
      <x:c r="Y12" s="81"/>
      <x:c r="Z12" s="81"/>
    </x:row>
    <x:row r="13">
      <x:c r="A13" s="81" t="str">
        <x:v>2025-02-28</x:v>
      </x:c>
      <x:c r="B13" s="81" t="str">
        <x:v>VEF_LOCAL</x:v>
      </x:c>
      <x:c r="C13" s="81" t="n">
        <x:v>222.2</x:v>
      </x:c>
      <x:c r="D13" s="81" t="str">
        <x:v>S004</x:v>
      </x:c>
      <x:c r="E13" s="81" t="str">
        <x:v>Assumption</x:v>
      </x:c>
      <x:c r="F13" s="81"/>
      <x:c r="G13" s="81"/>
      <x:c r="H13" s="81"/>
      <x:c r="I13" s="81"/>
      <x:c r="J13" s="81"/>
      <x:c r="K13" s="81"/>
      <x:c r="L13" s="81"/>
      <x:c r="M13" s="81"/>
      <x:c r="N13" s="81"/>
      <x:c r="O13" s="81"/>
      <x:c r="P13" s="81"/>
      <x:c r="Q13" s="81"/>
      <x:c r="R13" s="81"/>
      <x:c r="S13" s="81"/>
      <x:c r="T13" s="81"/>
      <x:c r="U13" s="81"/>
      <x:c r="V13" s="81"/>
      <x:c r="W13" s="81"/>
      <x:c r="X13" s="81"/>
      <x:c r="Y13" s="81"/>
      <x:c r="Z13" s="81"/>
    </x:row>
    <x:row r="14">
      <x:c r="A14" s="81" t="str">
        <x:v>2025-03-31</x:v>
      </x:c>
      <x:c r="B14" s="81" t="str">
        <x:v>DCDS</x:v>
      </x:c>
      <x:c r="C14" s="81" t="n">
        <x:v>345.2</x:v>
      </x:c>
      <x:c r="D14" s="81" t="str">
        <x:v>S004</x:v>
      </x:c>
      <x:c r="E14" s="81" t="str">
        <x:v>Assumption</x:v>
      </x:c>
      <x:c r="F14" s="81"/>
      <x:c r="G14" s="81"/>
      <x:c r="H14" s="81"/>
      <x:c r="I14" s="81"/>
      <x:c r="J14" s="81"/>
      <x:c r="K14" s="81"/>
      <x:c r="L14" s="81"/>
      <x:c r="M14" s="81"/>
      <x:c r="N14" s="81"/>
      <x:c r="O14" s="81"/>
      <x:c r="P14" s="81"/>
      <x:c r="Q14" s="81"/>
      <x:c r="R14" s="81"/>
      <x:c r="S14" s="81"/>
      <x:c r="T14" s="81"/>
      <x:c r="U14" s="81"/>
      <x:c r="V14" s="81"/>
      <x:c r="W14" s="81"/>
      <x:c r="X14" s="81"/>
      <x:c r="Y14" s="81"/>
      <x:c r="Z14" s="81"/>
    </x:row>
    <x:row r="15">
      <x:c r="A15" s="81" t="str">
        <x:v>2025-03-31</x:v>
      </x:c>
      <x:c r="B15" s="81" t="str">
        <x:v>DCBF</x:v>
      </x:c>
      <x:c r="C15" s="81" t="n">
        <x:v>-42.7</x:v>
      </x:c>
      <x:c r="D15" s="81" t="str">
        <x:v>S004</x:v>
      </x:c>
      <x:c r="E15" s="81" t="str">
        <x:v>Assumption</x:v>
      </x:c>
      <x:c r="F15" s="81"/>
      <x:c r="G15" s="81"/>
      <x:c r="H15" s="81"/>
      <x:c r="I15" s="81"/>
      <x:c r="J15" s="81"/>
      <x:c r="K15" s="81"/>
      <x:c r="L15" s="81"/>
      <x:c r="M15" s="81"/>
      <x:c r="N15" s="81"/>
      <x:c r="O15" s="81"/>
      <x:c r="P15" s="81"/>
      <x:c r="Q15" s="81"/>
      <x:c r="R15" s="81"/>
      <x:c r="S15" s="81"/>
      <x:c r="T15" s="81"/>
      <x:c r="U15" s="81"/>
      <x:c r="V15" s="81"/>
      <x:c r="W15" s="81"/>
      <x:c r="X15" s="81"/>
      <x:c r="Y15" s="81"/>
      <x:c r="Z15" s="81"/>
    </x:row>
    <x:row r="16">
      <x:c r="A16" s="81" t="str">
        <x:v>2025-03-31</x:v>
      </x:c>
      <x:c r="B16" s="81" t="str">
        <x:v>DCDE</x:v>
      </x:c>
      <x:c r="C16" s="81" t="n">
        <x:v>83.3</x:v>
      </x:c>
      <x:c r="D16" s="81" t="str">
        <x:v>S004</x:v>
      </x:c>
      <x:c r="E16" s="81" t="str">
        <x:v>Assumption</x:v>
      </x:c>
      <x:c r="F16" s="81"/>
      <x:c r="G16" s="81"/>
      <x:c r="H16" s="81"/>
      <x:c r="I16" s="81"/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81"/>
      <x:c r="W16" s="81"/>
      <x:c r="X16" s="81"/>
      <x:c r="Y16" s="81"/>
      <x:c r="Z16" s="81"/>
    </x:row>
    <x:row r="17">
      <x:c r="A17" s="81" t="str">
        <x:v>2025-03-31</x:v>
      </x:c>
      <x:c r="B17" s="81" t="str">
        <x:v>E1VFVN30</x:v>
      </x:c>
      <x:c r="C17" s="81" t="n">
        <x:v>223.6</x:v>
      </x:c>
      <x:c r="D17" s="81" t="str">
        <x:v>S004</x:v>
      </x:c>
      <x:c r="E17" s="81" t="str">
        <x:v>Assumption</x:v>
      </x:c>
      <x:c r="F17" s="81"/>
      <x:c r="G17" s="81"/>
      <x:c r="H17" s="81"/>
      <x:c r="I17" s="81"/>
      <x:c r="J17" s="81"/>
      <x:c r="K17" s="81"/>
      <x:c r="L17" s="81"/>
      <x:c r="M17" s="81"/>
      <x:c r="N17" s="81"/>
      <x:c r="O17" s="81"/>
      <x:c r="P17" s="81"/>
      <x:c r="Q17" s="81"/>
      <x:c r="R17" s="81"/>
      <x:c r="S17" s="81"/>
      <x:c r="T17" s="81"/>
      <x:c r="U17" s="81"/>
      <x:c r="V17" s="81"/>
      <x:c r="W17" s="81"/>
      <x:c r="X17" s="81"/>
      <x:c r="Y17" s="81"/>
      <x:c r="Z17" s="81"/>
    </x:row>
    <x:row r="18">
      <x:c r="A18" s="81" t="str">
        <x:v>2025-03-31</x:v>
      </x:c>
      <x:c r="B18" s="81" t="str">
        <x:v>FUEVFVND</x:v>
      </x:c>
      <x:c r="C18" s="81" t="n">
        <x:v>-177.1</x:v>
      </x:c>
      <x:c r="D18" s="81" t="str">
        <x:v>S004</x:v>
      </x:c>
      <x:c r="E18" s="81" t="str">
        <x:v>Assumption</x:v>
      </x:c>
      <x:c r="F18" s="81"/>
      <x:c r="G18" s="81"/>
      <x:c r="H18" s="81"/>
      <x:c r="I18" s="81"/>
      <x:c r="J18" s="81"/>
      <x:c r="K18" s="81"/>
      <x:c r="L18" s="81"/>
      <x:c r="M18" s="81"/>
      <x:c r="N18" s="81"/>
      <x:c r="O18" s="81"/>
      <x:c r="P18" s="81"/>
      <x:c r="Q18" s="81"/>
      <x:c r="R18" s="81"/>
      <x:c r="S18" s="81"/>
      <x:c r="T18" s="81"/>
      <x:c r="U18" s="81"/>
      <x:c r="V18" s="81"/>
      <x:c r="W18" s="81"/>
      <x:c r="X18" s="81"/>
      <x:c r="Y18" s="81"/>
      <x:c r="Z18" s="81"/>
    </x:row>
    <x:row r="19">
      <x:c r="A19" s="81" t="str">
        <x:v>2025-03-31</x:v>
      </x:c>
      <x:c r="B19" s="81" t="str">
        <x:v>VEF_LOCAL</x:v>
      </x:c>
      <x:c r="C19" s="81" t="n">
        <x:v>-200.9</x:v>
      </x:c>
      <x:c r="D19" s="81" t="str">
        <x:v>S004</x:v>
      </x:c>
      <x:c r="E19" s="81" t="str">
        <x:v>Assumption</x:v>
      </x:c>
      <x:c r="F19" s="81"/>
      <x:c r="G19" s="81"/>
      <x:c r="H19" s="81"/>
      <x:c r="I19" s="81"/>
      <x:c r="J19" s="81"/>
      <x:c r="K19" s="81"/>
      <x:c r="L19" s="81"/>
      <x:c r="M19" s="81"/>
      <x:c r="N19" s="81"/>
      <x:c r="O19" s="81"/>
      <x:c r="P19" s="81"/>
      <x:c r="Q19" s="81"/>
      <x:c r="R19" s="81"/>
      <x:c r="S19" s="81"/>
      <x:c r="T19" s="81"/>
      <x:c r="U19" s="81"/>
      <x:c r="V19" s="81"/>
      <x:c r="W19" s="81"/>
      <x:c r="X19" s="81"/>
      <x:c r="Y19" s="81"/>
      <x:c r="Z19" s="81"/>
    </x:row>
    <x:row r="20">
      <x:c r="A20" s="81" t="str">
        <x:v>2025-04-30</x:v>
      </x:c>
      <x:c r="B20" s="81" t="str">
        <x:v>DCDS</x:v>
      </x:c>
      <x:c r="C20" s="81" t="n">
        <x:v>-106.3</x:v>
      </x:c>
      <x:c r="D20" s="81" t="str">
        <x:v>S004</x:v>
      </x:c>
      <x:c r="E20" s="81" t="str">
        <x:v>Assumption</x:v>
      </x:c>
      <x:c r="F20" s="81"/>
      <x:c r="G20" s="81"/>
      <x:c r="H20" s="81"/>
      <x:c r="I20" s="81"/>
      <x:c r="J20" s="81"/>
      <x:c r="K20" s="81"/>
      <x:c r="L20" s="81"/>
      <x:c r="M20" s="81"/>
      <x:c r="N20" s="81"/>
      <x:c r="O20" s="81"/>
      <x:c r="P20" s="81"/>
      <x:c r="Q20" s="81"/>
      <x:c r="R20" s="81"/>
      <x:c r="S20" s="81"/>
      <x:c r="T20" s="81"/>
      <x:c r="U20" s="81"/>
      <x:c r="V20" s="81"/>
      <x:c r="W20" s="81"/>
      <x:c r="X20" s="81"/>
      <x:c r="Y20" s="81"/>
      <x:c r="Z20" s="81"/>
    </x:row>
    <x:row r="21">
      <x:c r="A21" s="81" t="str">
        <x:v>2025-04-30</x:v>
      </x:c>
      <x:c r="B21" s="81" t="str">
        <x:v>DCBF</x:v>
      </x:c>
      <x:c r="C21" s="81" t="n">
        <x:v>-107.3</x:v>
      </x:c>
      <x:c r="D21" s="81" t="str">
        <x:v>S004</x:v>
      </x:c>
      <x:c r="E21" s="81" t="str">
        <x:v>Assumption</x:v>
      </x:c>
      <x:c r="F21" s="81"/>
      <x:c r="G21" s="81"/>
      <x:c r="H21" s="81"/>
      <x:c r="I21" s="81"/>
      <x:c r="J21" s="81"/>
      <x:c r="K21" s="81"/>
      <x:c r="L21" s="81"/>
      <x:c r="M21" s="81"/>
      <x:c r="N21" s="81"/>
      <x:c r="O21" s="81"/>
      <x:c r="P21" s="81"/>
      <x:c r="Q21" s="81"/>
      <x:c r="R21" s="81"/>
      <x:c r="S21" s="81"/>
      <x:c r="T21" s="81"/>
      <x:c r="U21" s="81"/>
      <x:c r="V21" s="81"/>
      <x:c r="W21" s="81"/>
      <x:c r="X21" s="81"/>
      <x:c r="Y21" s="81"/>
      <x:c r="Z21" s="81"/>
    </x:row>
    <x:row r="22">
      <x:c r="A22" s="81" t="str">
        <x:v>2025-04-30</x:v>
      </x:c>
      <x:c r="B22" s="81" t="str">
        <x:v>DCDE</x:v>
      </x:c>
      <x:c r="C22" s="81" t="n">
        <x:v>79.5</x:v>
      </x:c>
      <x:c r="D22" s="81" t="str">
        <x:v>S004</x:v>
      </x:c>
      <x:c r="E22" s="81" t="str">
        <x:v>Assumption</x:v>
      </x:c>
      <x:c r="F22" s="81"/>
      <x:c r="G22" s="81"/>
      <x:c r="H22" s="81"/>
      <x:c r="I22" s="81"/>
      <x:c r="J22" s="81"/>
      <x:c r="K22" s="81"/>
      <x:c r="L22" s="81"/>
      <x:c r="M22" s="81"/>
      <x:c r="N22" s="81"/>
      <x:c r="O22" s="81"/>
      <x:c r="P22" s="81"/>
      <x:c r="Q22" s="81"/>
      <x:c r="R22" s="81"/>
      <x:c r="S22" s="81"/>
      <x:c r="T22" s="81"/>
      <x:c r="U22" s="81"/>
      <x:c r="V22" s="81"/>
      <x:c r="W22" s="81"/>
      <x:c r="X22" s="81"/>
      <x:c r="Y22" s="81"/>
      <x:c r="Z22" s="81"/>
    </x:row>
    <x:row r="23">
      <x:c r="A23" s="81" t="str">
        <x:v>2025-04-30</x:v>
      </x:c>
      <x:c r="B23" s="81" t="str">
        <x:v>E1VFVN30</x:v>
      </x:c>
      <x:c r="C23" s="81" t="n">
        <x:v>-258.7</x:v>
      </x:c>
      <x:c r="D23" s="81" t="str">
        <x:v>S004</x:v>
      </x:c>
      <x:c r="E23" s="81" t="str">
        <x:v>Assumption</x:v>
      </x:c>
      <x:c r="F23" s="81"/>
      <x:c r="G23" s="81"/>
      <x:c r="H23" s="81"/>
      <x:c r="I23" s="81"/>
      <x:c r="J23" s="81"/>
      <x:c r="K23" s="81"/>
      <x:c r="L23" s="81"/>
      <x:c r="M23" s="81"/>
      <x:c r="N23" s="81"/>
      <x:c r="O23" s="81"/>
      <x:c r="P23" s="81"/>
      <x:c r="Q23" s="81"/>
      <x:c r="R23" s="81"/>
      <x:c r="S23" s="81"/>
      <x:c r="T23" s="81"/>
      <x:c r="U23" s="81"/>
      <x:c r="V23" s="81"/>
      <x:c r="W23" s="81"/>
      <x:c r="X23" s="81"/>
      <x:c r="Y23" s="81"/>
      <x:c r="Z23" s="81"/>
    </x:row>
    <x:row r="24">
      <x:c r="A24" s="81" t="str">
        <x:v>2025-04-30</x:v>
      </x:c>
      <x:c r="B24" s="81" t="str">
        <x:v>FUEVFVND</x:v>
      </x:c>
      <x:c r="C24" s="81" t="n">
        <x:v>222</x:v>
      </x:c>
      <x:c r="D24" s="81" t="str">
        <x:v>S004</x:v>
      </x:c>
      <x:c r="E24" s="81" t="str">
        <x:v>Assumption</x:v>
      </x:c>
      <x:c r="F24" s="81"/>
      <x:c r="G24" s="81"/>
      <x:c r="H24" s="81"/>
      <x:c r="I24" s="81"/>
      <x:c r="J24" s="81"/>
      <x:c r="K24" s="81"/>
      <x:c r="L24" s="81"/>
      <x:c r="M24" s="81"/>
      <x:c r="N24" s="81"/>
      <x:c r="O24" s="81"/>
      <x:c r="P24" s="81"/>
      <x:c r="Q24" s="81"/>
      <x:c r="R24" s="81"/>
      <x:c r="S24" s="81"/>
      <x:c r="T24" s="81"/>
      <x:c r="U24" s="81"/>
      <x:c r="V24" s="81"/>
      <x:c r="W24" s="81"/>
      <x:c r="X24" s="81"/>
      <x:c r="Y24" s="81"/>
      <x:c r="Z24" s="81"/>
    </x:row>
    <x:row r="25">
      <x:c r="A25" s="81" t="str">
        <x:v>2025-04-30</x:v>
      </x:c>
      <x:c r="B25" s="81" t="str">
        <x:v>VEF_LOCAL</x:v>
      </x:c>
      <x:c r="C25" s="81" t="n">
        <x:v>235.9</x:v>
      </x:c>
      <x:c r="D25" s="81" t="str">
        <x:v>S004</x:v>
      </x:c>
      <x:c r="E25" s="81" t="str">
        <x:v>Assumption</x:v>
      </x:c>
      <x:c r="F25" s="81"/>
      <x:c r="G25" s="81"/>
      <x:c r="H25" s="81"/>
      <x:c r="I25" s="81"/>
      <x:c r="J25" s="81"/>
      <x:c r="K25" s="81"/>
      <x:c r="L25" s="81"/>
      <x:c r="M25" s="81"/>
      <x:c r="N25" s="81"/>
      <x:c r="O25" s="81"/>
      <x:c r="P25" s="81"/>
      <x:c r="Q25" s="81"/>
      <x:c r="R25" s="81"/>
      <x:c r="S25" s="81"/>
      <x:c r="T25" s="81"/>
      <x:c r="U25" s="81"/>
      <x:c r="V25" s="81"/>
      <x:c r="W25" s="81"/>
      <x:c r="X25" s="81"/>
      <x:c r="Y25" s="81"/>
      <x:c r="Z25" s="81"/>
    </x:row>
    <x:row r="26">
      <x:c r="A26" s="81" t="str">
        <x:v>2025-05-31</x:v>
      </x:c>
      <x:c r="B26" s="81" t="str">
        <x:v>DCDS</x:v>
      </x:c>
      <x:c r="C26" s="81" t="n">
        <x:v>-519.3</x:v>
      </x:c>
      <x:c r="D26" s="81" t="str">
        <x:v>S004</x:v>
      </x:c>
      <x:c r="E26" s="81" t="str">
        <x:v>Assumption</x:v>
      </x:c>
      <x:c r="F26" s="81"/>
      <x:c r="G26" s="81"/>
      <x:c r="H26" s="81"/>
      <x:c r="I26" s="81"/>
      <x:c r="J26" s="81"/>
      <x:c r="K26" s="81"/>
      <x:c r="L26" s="81"/>
      <x:c r="M26" s="81"/>
      <x:c r="N26" s="81"/>
      <x:c r="O26" s="81"/>
      <x:c r="P26" s="81"/>
      <x:c r="Q26" s="81"/>
      <x:c r="R26" s="81"/>
      <x:c r="S26" s="81"/>
      <x:c r="T26" s="81"/>
      <x:c r="U26" s="81"/>
      <x:c r="V26" s="81"/>
      <x:c r="W26" s="81"/>
      <x:c r="X26" s="81"/>
      <x:c r="Y26" s="81"/>
      <x:c r="Z26" s="81"/>
    </x:row>
    <x:row r="27">
      <x:c r="A27" s="81" t="str">
        <x:v>2025-05-31</x:v>
      </x:c>
      <x:c r="B27" s="81" t="str">
        <x:v>DCBF</x:v>
      </x:c>
      <x:c r="C27" s="81" t="n">
        <x:v>-142.9</x:v>
      </x:c>
      <x:c r="D27" s="81" t="str">
        <x:v>S004</x:v>
      </x:c>
      <x:c r="E27" s="81" t="str">
        <x:v>Assumption</x:v>
      </x:c>
      <x:c r="F27" s="81"/>
      <x:c r="G27" s="81"/>
      <x:c r="H27" s="81"/>
      <x:c r="I27" s="81"/>
      <x:c r="J27" s="81"/>
      <x:c r="K27" s="81"/>
      <x:c r="L27" s="81"/>
      <x:c r="M27" s="81"/>
      <x:c r="N27" s="81"/>
      <x:c r="O27" s="81"/>
      <x:c r="P27" s="81"/>
      <x:c r="Q27" s="81"/>
      <x:c r="R27" s="81"/>
      <x:c r="S27" s="81"/>
      <x:c r="T27" s="81"/>
      <x:c r="U27" s="81"/>
      <x:c r="V27" s="81"/>
      <x:c r="W27" s="81"/>
      <x:c r="X27" s="81"/>
      <x:c r="Y27" s="81"/>
      <x:c r="Z27" s="81"/>
    </x:row>
    <x:row r="28">
      <x:c r="A28" s="81" t="str">
        <x:v>2025-05-31</x:v>
      </x:c>
      <x:c r="B28" s="81" t="str">
        <x:v>DCDE</x:v>
      </x:c>
      <x:c r="C28" s="81" t="n">
        <x:v>-69.5</x:v>
      </x:c>
      <x:c r="D28" s="81" t="str">
        <x:v>S004</x:v>
      </x:c>
      <x:c r="E28" s="81" t="str">
        <x:v>Assumption</x:v>
      </x:c>
      <x:c r="F28" s="81"/>
      <x:c r="G28" s="81"/>
      <x:c r="H28" s="81"/>
      <x:c r="I28" s="81"/>
      <x:c r="J28" s="81"/>
      <x:c r="K28" s="81"/>
      <x:c r="L28" s="81"/>
      <x:c r="M28" s="81"/>
      <x:c r="N28" s="81"/>
      <x:c r="O28" s="81"/>
      <x:c r="P28" s="81"/>
      <x:c r="Q28" s="81"/>
      <x:c r="R28" s="81"/>
      <x:c r="S28" s="81"/>
      <x:c r="T28" s="81"/>
      <x:c r="U28" s="81"/>
      <x:c r="V28" s="81"/>
      <x:c r="W28" s="81"/>
      <x:c r="X28" s="81"/>
      <x:c r="Y28" s="81"/>
      <x:c r="Z28" s="81"/>
    </x:row>
    <x:row r="29">
      <x:c r="A29" s="81" t="str">
        <x:v>2025-05-31</x:v>
      </x:c>
      <x:c r="B29" s="81" t="str">
        <x:v>E1VFVN30</x:v>
      </x:c>
      <x:c r="C29" s="81" t="n">
        <x:v>419.2</x:v>
      </x:c>
      <x:c r="D29" s="81" t="str">
        <x:v>S004</x:v>
      </x:c>
      <x:c r="E29" s="81" t="str">
        <x:v>Assumption</x:v>
      </x:c>
      <x:c r="F29" s="81"/>
      <x:c r="G29" s="81"/>
      <x:c r="H29" s="81"/>
      <x:c r="I29" s="81"/>
      <x:c r="J29" s="81"/>
      <x:c r="K29" s="81"/>
      <x:c r="L29" s="81"/>
      <x:c r="M29" s="81"/>
      <x:c r="N29" s="81"/>
      <x:c r="O29" s="81"/>
      <x:c r="P29" s="81"/>
      <x:c r="Q29" s="81"/>
      <x:c r="R29" s="81"/>
      <x:c r="S29" s="81"/>
      <x:c r="T29" s="81"/>
      <x:c r="U29" s="81"/>
      <x:c r="V29" s="81"/>
      <x:c r="W29" s="81"/>
      <x:c r="X29" s="81"/>
      <x:c r="Y29" s="81"/>
      <x:c r="Z29" s="81"/>
    </x:row>
    <x:row r="30">
      <x:c r="A30" s="81" t="str">
        <x:v>2025-05-31</x:v>
      </x:c>
      <x:c r="B30" s="81" t="str">
        <x:v>FUEVFVND</x:v>
      </x:c>
      <x:c r="C30" s="81" t="n">
        <x:v>-232.9</x:v>
      </x:c>
      <x:c r="D30" s="81" t="str">
        <x:v>S004</x:v>
      </x:c>
      <x:c r="E30" s="81" t="str">
        <x:v>Assumption</x:v>
      </x:c>
      <x:c r="F30" s="81"/>
      <x:c r="G30" s="81"/>
      <x:c r="H30" s="81"/>
      <x:c r="I30" s="81"/>
      <x:c r="J30" s="81"/>
      <x:c r="K30" s="81"/>
      <x:c r="L30" s="81"/>
      <x:c r="M30" s="81"/>
      <x:c r="N30" s="81"/>
      <x:c r="O30" s="81"/>
      <x:c r="P30" s="81"/>
      <x:c r="Q30" s="81"/>
      <x:c r="R30" s="81"/>
      <x:c r="S30" s="81"/>
      <x:c r="T30" s="81"/>
      <x:c r="U30" s="81"/>
      <x:c r="V30" s="81"/>
      <x:c r="W30" s="81"/>
      <x:c r="X30" s="81"/>
      <x:c r="Y30" s="81"/>
      <x:c r="Z30" s="81"/>
    </x:row>
    <x:row r="31">
      <x:c r="A31" s="81" t="str">
        <x:v>2025-05-31</x:v>
      </x:c>
      <x:c r="B31" s="81" t="str">
        <x:v>VEF_LOCAL</x:v>
      </x:c>
      <x:c r="C31" s="81" t="n">
        <x:v>80.4</x:v>
      </x:c>
      <x:c r="D31" s="81" t="str">
        <x:v>S004</x:v>
      </x:c>
      <x:c r="E31" s="81" t="str">
        <x:v>Assumption</x:v>
      </x:c>
      <x:c r="F31" s="81"/>
      <x:c r="G31" s="81"/>
      <x:c r="H31" s="81"/>
      <x:c r="I31" s="81"/>
      <x:c r="J31" s="81"/>
      <x:c r="K31" s="81"/>
      <x:c r="L31" s="81"/>
      <x:c r="M31" s="81"/>
      <x:c r="N31" s="81"/>
      <x:c r="O31" s="81"/>
      <x:c r="P31" s="81"/>
      <x:c r="Q31" s="81"/>
      <x:c r="R31" s="81"/>
      <x:c r="S31" s="81"/>
      <x:c r="T31" s="81"/>
      <x:c r="U31" s="81"/>
      <x:c r="V31" s="81"/>
      <x:c r="W31" s="81"/>
      <x:c r="X31" s="81"/>
      <x:c r="Y31" s="81"/>
      <x:c r="Z31" s="81"/>
    </x:row>
    <x:row r="32">
      <x:c r="A32" s="81" t="str">
        <x:v>2025-06-30</x:v>
      </x:c>
      <x:c r="B32" s="81" t="str">
        <x:v>DCDS</x:v>
      </x:c>
      <x:c r="C32" s="81" t="n">
        <x:v>-292.8</x:v>
      </x:c>
      <x:c r="D32" s="81" t="str">
        <x:v>S004</x:v>
      </x:c>
      <x:c r="E32" s="81" t="str">
        <x:v>Assumption</x:v>
      </x:c>
      <x:c r="F32" s="81"/>
      <x:c r="G32" s="81"/>
      <x:c r="H32" s="81"/>
      <x:c r="I32" s="81"/>
      <x:c r="J32" s="81"/>
      <x:c r="K32" s="81"/>
      <x:c r="L32" s="81"/>
      <x:c r="M32" s="81"/>
      <x:c r="N32" s="81"/>
      <x:c r="O32" s="81"/>
      <x:c r="P32" s="81"/>
      <x:c r="Q32" s="81"/>
      <x:c r="R32" s="81"/>
      <x:c r="S32" s="81"/>
      <x:c r="T32" s="81"/>
      <x:c r="U32" s="81"/>
      <x:c r="V32" s="81"/>
      <x:c r="W32" s="81"/>
      <x:c r="X32" s="81"/>
      <x:c r="Y32" s="81"/>
      <x:c r="Z32" s="81"/>
    </x:row>
    <x:row r="33">
      <x:c r="A33" s="81" t="str">
        <x:v>2025-06-30</x:v>
      </x:c>
      <x:c r="B33" s="81" t="str">
        <x:v>DCBF</x:v>
      </x:c>
      <x:c r="C33" s="81" t="n">
        <x:v>-220</x:v>
      </x:c>
      <x:c r="D33" s="81" t="str">
        <x:v>S004</x:v>
      </x:c>
      <x:c r="E33" s="81" t="str">
        <x:v>Assumption</x:v>
      </x:c>
      <x:c r="F33" s="81"/>
      <x:c r="G33" s="81"/>
      <x:c r="H33" s="81"/>
      <x:c r="I33" s="81"/>
      <x:c r="J33" s="81"/>
      <x:c r="K33" s="81"/>
      <x:c r="L33" s="81"/>
      <x:c r="M33" s="81"/>
      <x:c r="N33" s="81"/>
      <x:c r="O33" s="81"/>
      <x:c r="P33" s="81"/>
      <x:c r="Q33" s="81"/>
      <x:c r="R33" s="81"/>
      <x:c r="S33" s="81"/>
      <x:c r="T33" s="81"/>
      <x:c r="U33" s="81"/>
      <x:c r="V33" s="81"/>
      <x:c r="W33" s="81"/>
      <x:c r="X33" s="81"/>
      <x:c r="Y33" s="81"/>
      <x:c r="Z33" s="81"/>
    </x:row>
    <x:row r="34">
      <x:c r="A34" s="81" t="str">
        <x:v>2025-06-30</x:v>
      </x:c>
      <x:c r="B34" s="81" t="str">
        <x:v>DCDE</x:v>
      </x:c>
      <x:c r="C34" s="81" t="n">
        <x:v>88.8</x:v>
      </x:c>
      <x:c r="D34" s="81" t="str">
        <x:v>S004</x:v>
      </x:c>
      <x:c r="E34" s="81" t="str">
        <x:v>Assumption</x:v>
      </x:c>
      <x:c r="F34" s="81"/>
      <x:c r="G34" s="81"/>
      <x:c r="H34" s="81"/>
      <x:c r="I34" s="81"/>
      <x:c r="J34" s="81"/>
      <x:c r="K34" s="81"/>
      <x:c r="L34" s="81"/>
      <x:c r="M34" s="81"/>
      <x:c r="N34" s="81"/>
      <x:c r="O34" s="81"/>
      <x:c r="P34" s="81"/>
      <x:c r="Q34" s="81"/>
      <x:c r="R34" s="81"/>
      <x:c r="S34" s="81"/>
      <x:c r="T34" s="81"/>
      <x:c r="U34" s="81"/>
      <x:c r="V34" s="81"/>
      <x:c r="W34" s="81"/>
      <x:c r="X34" s="81"/>
      <x:c r="Y34" s="81"/>
      <x:c r="Z34" s="81"/>
    </x:row>
    <x:row r="35">
      <x:c r="A35" s="81" t="str">
        <x:v>2025-06-30</x:v>
      </x:c>
      <x:c r="B35" s="81" t="str">
        <x:v>E1VFVN30</x:v>
      </x:c>
      <x:c r="C35" s="81" t="n">
        <x:v>-353.6</x:v>
      </x:c>
      <x:c r="D35" s="81" t="str">
        <x:v>S004</x:v>
      </x:c>
      <x:c r="E35" s="81" t="str">
        <x:v>Assumption</x:v>
      </x:c>
      <x:c r="F35" s="81"/>
      <x:c r="G35" s="81"/>
      <x:c r="H35" s="81"/>
      <x:c r="I35" s="81"/>
      <x:c r="J35" s="81"/>
      <x:c r="K35" s="81"/>
      <x:c r="L35" s="81"/>
      <x:c r="M35" s="81"/>
      <x:c r="N35" s="81"/>
      <x:c r="O35" s="81"/>
      <x:c r="P35" s="81"/>
      <x:c r="Q35" s="81"/>
      <x:c r="R35" s="81"/>
      <x:c r="S35" s="81"/>
      <x:c r="T35" s="81"/>
      <x:c r="U35" s="81"/>
      <x:c r="V35" s="81"/>
      <x:c r="W35" s="81"/>
      <x:c r="X35" s="81"/>
      <x:c r="Y35" s="81"/>
      <x:c r="Z35" s="81"/>
    </x:row>
    <x:row r="36">
      <x:c r="A36" s="81" t="str">
        <x:v>2025-06-30</x:v>
      </x:c>
      <x:c r="B36" s="81" t="str">
        <x:v>FUEVFVND</x:v>
      </x:c>
      <x:c r="C36" s="81" t="n">
        <x:v>95.2</x:v>
      </x:c>
      <x:c r="D36" s="81" t="str">
        <x:v>S004</x:v>
      </x:c>
      <x:c r="E36" s="81" t="str">
        <x:v>Assumption</x:v>
      </x:c>
      <x:c r="F36" s="81"/>
      <x:c r="G36" s="81"/>
      <x:c r="H36" s="81"/>
      <x:c r="I36" s="81"/>
      <x:c r="J36" s="81"/>
      <x:c r="K36" s="81"/>
      <x:c r="L36" s="81"/>
      <x:c r="M36" s="81"/>
      <x:c r="N36" s="81"/>
      <x:c r="O36" s="81"/>
      <x:c r="P36" s="81"/>
      <x:c r="Q36" s="81"/>
      <x:c r="R36" s="81"/>
      <x:c r="S36" s="81"/>
      <x:c r="T36" s="81"/>
      <x:c r="U36" s="81"/>
      <x:c r="V36" s="81"/>
      <x:c r="W36" s="81"/>
      <x:c r="X36" s="81"/>
      <x:c r="Y36" s="81"/>
      <x:c r="Z36" s="81"/>
    </x:row>
    <x:row r="37">
      <x:c r="A37" s="81" t="str">
        <x:v>2025-06-30</x:v>
      </x:c>
      <x:c r="B37" s="81" t="str">
        <x:v>VEF_LOCAL</x:v>
      </x:c>
      <x:c r="C37" s="81" t="n">
        <x:v>-273.4</x:v>
      </x:c>
      <x:c r="D37" s="81" t="str">
        <x:v>S004</x:v>
      </x:c>
      <x:c r="E37" s="81" t="str">
        <x:v>Assumption</x:v>
      </x:c>
      <x:c r="F37" s="81"/>
      <x:c r="G37" s="81"/>
      <x:c r="H37" s="81"/>
      <x:c r="I37" s="81"/>
      <x:c r="J37" s="81"/>
      <x:c r="K37" s="81"/>
      <x:c r="L37" s="81"/>
      <x:c r="M37" s="81"/>
      <x:c r="N37" s="81"/>
      <x:c r="O37" s="81"/>
      <x:c r="P37" s="81"/>
      <x:c r="Q37" s="81"/>
      <x:c r="R37" s="81"/>
      <x:c r="S37" s="81"/>
      <x:c r="T37" s="81"/>
      <x:c r="U37" s="81"/>
      <x:c r="V37" s="81"/>
      <x:c r="W37" s="81"/>
      <x:c r="X37" s="81"/>
      <x:c r="Y37" s="81"/>
      <x:c r="Z37" s="81"/>
    </x:row>
    <x:row r="38">
      <x:c r="A38" s="81" t="str">
        <x:v>2025-07-31</x:v>
      </x:c>
      <x:c r="B38" s="81" t="str">
        <x:v>DCDS</x:v>
      </x:c>
      <x:c r="C38" s="81" t="n">
        <x:v>113</x:v>
      </x:c>
      <x:c r="D38" s="81" t="str">
        <x:v>S004</x:v>
      </x:c>
      <x:c r="E38" s="81" t="str">
        <x:v>Assumption</x:v>
      </x:c>
      <x:c r="F38" s="81"/>
      <x:c r="G38" s="81"/>
      <x:c r="H38" s="81"/>
      <x:c r="I38" s="81"/>
      <x:c r="J38" s="81"/>
      <x:c r="K38" s="81"/>
      <x:c r="L38" s="81"/>
      <x:c r="M38" s="81"/>
      <x:c r="N38" s="81"/>
      <x:c r="O38" s="81"/>
      <x:c r="P38" s="81"/>
      <x:c r="Q38" s="81"/>
      <x:c r="R38" s="81"/>
      <x:c r="S38" s="81"/>
      <x:c r="T38" s="81"/>
      <x:c r="U38" s="81"/>
      <x:c r="V38" s="81"/>
      <x:c r="W38" s="81"/>
      <x:c r="X38" s="81"/>
      <x:c r="Y38" s="81"/>
      <x:c r="Z38" s="81"/>
    </x:row>
    <x:row r="39">
      <x:c r="A39" s="81" t="str">
        <x:v>2025-07-31</x:v>
      </x:c>
      <x:c r="B39" s="81" t="str">
        <x:v>DCBF</x:v>
      </x:c>
      <x:c r="C39" s="81" t="n">
        <x:v>-210.6</x:v>
      </x:c>
      <x:c r="D39" s="81" t="str">
        <x:v>S004</x:v>
      </x:c>
      <x:c r="E39" s="81" t="str">
        <x:v>Assumption</x:v>
      </x:c>
      <x:c r="F39" s="81"/>
      <x:c r="G39" s="81"/>
      <x:c r="H39" s="81"/>
      <x:c r="I39" s="81"/>
      <x:c r="J39" s="81"/>
      <x:c r="K39" s="81"/>
      <x:c r="L39" s="81"/>
      <x:c r="M39" s="81"/>
      <x:c r="N39" s="81"/>
      <x:c r="O39" s="81"/>
      <x:c r="P39" s="81"/>
      <x:c r="Q39" s="81"/>
      <x:c r="R39" s="81"/>
      <x:c r="S39" s="81"/>
      <x:c r="T39" s="81"/>
      <x:c r="U39" s="81"/>
      <x:c r="V39" s="81"/>
      <x:c r="W39" s="81"/>
      <x:c r="X39" s="81"/>
      <x:c r="Y39" s="81"/>
      <x:c r="Z39" s="81"/>
    </x:row>
    <x:row r="40">
      <x:c r="A40" s="81" t="str">
        <x:v>2025-07-31</x:v>
      </x:c>
      <x:c r="B40" s="81" t="str">
        <x:v>DCDE</x:v>
      </x:c>
      <x:c r="C40" s="81" t="n">
        <x:v>258.8</x:v>
      </x:c>
      <x:c r="D40" s="81" t="str">
        <x:v>S004</x:v>
      </x:c>
      <x:c r="E40" s="81" t="str">
        <x:v>Assumption</x:v>
      </x:c>
      <x:c r="F40" s="81"/>
      <x:c r="G40" s="81"/>
      <x:c r="H40" s="81"/>
      <x:c r="I40" s="81"/>
      <x:c r="J40" s="81"/>
      <x:c r="K40" s="81"/>
      <x:c r="L40" s="81"/>
      <x:c r="M40" s="81"/>
      <x:c r="N40" s="81"/>
      <x:c r="O40" s="81"/>
      <x:c r="P40" s="81"/>
      <x:c r="Q40" s="81"/>
      <x:c r="R40" s="81"/>
      <x:c r="S40" s="81"/>
      <x:c r="T40" s="81"/>
      <x:c r="U40" s="81"/>
      <x:c r="V40" s="81"/>
      <x:c r="W40" s="81"/>
      <x:c r="X40" s="81"/>
      <x:c r="Y40" s="81"/>
      <x:c r="Z40" s="81"/>
    </x:row>
    <x:row r="41">
      <x:c r="A41" s="81" t="str">
        <x:v>2025-07-31</x:v>
      </x:c>
      <x:c r="B41" s="81" t="str">
        <x:v>E1VFVN30</x:v>
      </x:c>
      <x:c r="C41" s="81" t="n">
        <x:v>46.3</x:v>
      </x:c>
      <x:c r="D41" s="81" t="str">
        <x:v>S004</x:v>
      </x:c>
      <x:c r="E41" s="81" t="str">
        <x:v>Assumption</x:v>
      </x:c>
      <x:c r="F41" s="81"/>
      <x:c r="G41" s="81"/>
      <x:c r="H41" s="81"/>
      <x:c r="I41" s="81"/>
      <x:c r="J41" s="81"/>
      <x:c r="K41" s="81"/>
      <x:c r="L41" s="81"/>
      <x:c r="M41" s="81"/>
      <x:c r="N41" s="81"/>
      <x:c r="O41" s="81"/>
      <x:c r="P41" s="81"/>
      <x:c r="Q41" s="81"/>
      <x:c r="R41" s="81"/>
      <x:c r="S41" s="81"/>
      <x:c r="T41" s="81"/>
      <x:c r="U41" s="81"/>
      <x:c r="V41" s="81"/>
      <x:c r="W41" s="81"/>
      <x:c r="X41" s="81"/>
      <x:c r="Y41" s="81"/>
      <x:c r="Z41" s="81"/>
    </x:row>
    <x:row r="42">
      <x:c r="A42" s="81" t="str">
        <x:v>2025-07-31</x:v>
      </x:c>
      <x:c r="B42" s="81" t="str">
        <x:v>FUEVFVND</x:v>
      </x:c>
      <x:c r="C42" s="81" t="n">
        <x:v>508.3</x:v>
      </x:c>
      <x:c r="D42" s="81" t="str">
        <x:v>S004</x:v>
      </x:c>
      <x:c r="E42" s="81" t="str">
        <x:v>Assumption</x:v>
      </x:c>
      <x:c r="F42" s="81"/>
      <x:c r="G42" s="81"/>
      <x:c r="H42" s="81"/>
      <x:c r="I42" s="81"/>
      <x:c r="J42" s="81"/>
      <x:c r="K42" s="81"/>
      <x:c r="L42" s="81"/>
      <x:c r="M42" s="81"/>
      <x:c r="N42" s="81"/>
      <x:c r="O42" s="81"/>
      <x:c r="P42" s="81"/>
      <x:c r="Q42" s="81"/>
      <x:c r="R42" s="81"/>
      <x:c r="S42" s="81"/>
      <x:c r="T42" s="81"/>
      <x:c r="U42" s="81"/>
      <x:c r="V42" s="81"/>
      <x:c r="W42" s="81"/>
      <x:c r="X42" s="81"/>
      <x:c r="Y42" s="81"/>
      <x:c r="Z42" s="81"/>
    </x:row>
    <x:row r="43">
      <x:c r="A43" s="81" t="str">
        <x:v>2025-07-31</x:v>
      </x:c>
      <x:c r="B43" s="81" t="str">
        <x:v>VEF_LOCAL</x:v>
      </x:c>
      <x:c r="C43" s="81" t="n">
        <x:v>98.9</x:v>
      </x:c>
      <x:c r="D43" s="81" t="str">
        <x:v>S004</x:v>
      </x:c>
      <x:c r="E43" s="81" t="str">
        <x:v>Assumption</x:v>
      </x:c>
      <x:c r="F43" s="81"/>
      <x:c r="G43" s="81"/>
      <x:c r="H43" s="81"/>
      <x:c r="I43" s="81"/>
      <x:c r="J43" s="81"/>
      <x:c r="K43" s="81"/>
      <x:c r="L43" s="81"/>
      <x:c r="M43" s="81"/>
      <x:c r="N43" s="81"/>
      <x:c r="O43" s="81"/>
      <x:c r="P43" s="81"/>
      <x:c r="Q43" s="81"/>
      <x:c r="R43" s="81"/>
      <x:c r="S43" s="81"/>
      <x:c r="T43" s="81"/>
      <x:c r="U43" s="81"/>
      <x:c r="V43" s="81"/>
      <x:c r="W43" s="81"/>
      <x:c r="X43" s="81"/>
      <x:c r="Y43" s="81"/>
      <x:c r="Z43" s="81"/>
    </x:row>
    <x:row r="44">
      <x:c r="A44" s="81" t="str">
        <x:v>2025-08-31</x:v>
      </x:c>
      <x:c r="B44" s="81" t="str">
        <x:v>DCDS</x:v>
      </x:c>
      <x:c r="C44" s="81" t="n">
        <x:v>117.3</x:v>
      </x:c>
      <x:c r="D44" s="81" t="str">
        <x:v>S004</x:v>
      </x:c>
      <x:c r="E44" s="81" t="str">
        <x:v>Assumption</x:v>
      </x:c>
      <x:c r="F44" s="81"/>
      <x:c r="G44" s="81"/>
      <x:c r="H44" s="81"/>
      <x:c r="I44" s="81"/>
      <x:c r="J44" s="81"/>
      <x:c r="K44" s="81"/>
      <x:c r="L44" s="81"/>
      <x:c r="M44" s="81"/>
      <x:c r="N44" s="81"/>
      <x:c r="O44" s="81"/>
      <x:c r="P44" s="81"/>
      <x:c r="Q44" s="81"/>
      <x:c r="R44" s="81"/>
      <x:c r="S44" s="81"/>
      <x:c r="T44" s="81"/>
      <x:c r="U44" s="81"/>
      <x:c r="V44" s="81"/>
      <x:c r="W44" s="81"/>
      <x:c r="X44" s="81"/>
      <x:c r="Y44" s="81"/>
      <x:c r="Z44" s="81"/>
    </x:row>
    <x:row r="45">
      <x:c r="A45" s="81" t="str">
        <x:v>2025-08-31</x:v>
      </x:c>
      <x:c r="B45" s="81" t="str">
        <x:v>DCBF</x:v>
      </x:c>
      <x:c r="C45" s="81" t="n">
        <x:v>-279.8</x:v>
      </x:c>
      <x:c r="D45" s="81" t="str">
        <x:v>S004</x:v>
      </x:c>
      <x:c r="E45" s="81" t="str">
        <x:v>Assumption</x:v>
      </x:c>
      <x:c r="F45" s="81"/>
      <x:c r="G45" s="81"/>
      <x:c r="H45" s="81"/>
      <x:c r="I45" s="81"/>
      <x:c r="J45" s="81"/>
      <x:c r="K45" s="81"/>
      <x:c r="L45" s="81"/>
      <x:c r="M45" s="81"/>
      <x:c r="N45" s="81"/>
      <x:c r="O45" s="81"/>
      <x:c r="P45" s="81"/>
      <x:c r="Q45" s="81"/>
      <x:c r="R45" s="81"/>
      <x:c r="S45" s="81"/>
      <x:c r="T45" s="81"/>
      <x:c r="U45" s="81"/>
      <x:c r="V45" s="81"/>
      <x:c r="W45" s="81"/>
      <x:c r="X45" s="81"/>
      <x:c r="Y45" s="81"/>
      <x:c r="Z45" s="81"/>
    </x:row>
    <x:row r="46">
      <x:c r="A46" s="81" t="str">
        <x:v>2025-08-31</x:v>
      </x:c>
      <x:c r="B46" s="81" t="str">
        <x:v>DCDE</x:v>
      </x:c>
      <x:c r="C46" s="81" t="n">
        <x:v>242.2</x:v>
      </x:c>
      <x:c r="D46" s="81" t="str">
        <x:v>S004</x:v>
      </x:c>
      <x:c r="E46" s="81" t="str">
        <x:v>Assumption</x:v>
      </x:c>
      <x:c r="F46" s="81"/>
      <x:c r="G46" s="81"/>
      <x:c r="H46" s="81"/>
      <x:c r="I46" s="81"/>
      <x:c r="J46" s="81"/>
      <x:c r="K46" s="81"/>
      <x:c r="L46" s="81"/>
      <x:c r="M46" s="81"/>
      <x:c r="N46" s="81"/>
      <x:c r="O46" s="81"/>
      <x:c r="P46" s="81"/>
      <x:c r="Q46" s="81"/>
      <x:c r="R46" s="81"/>
      <x:c r="S46" s="81"/>
      <x:c r="T46" s="81"/>
      <x:c r="U46" s="81"/>
      <x:c r="V46" s="81"/>
      <x:c r="W46" s="81"/>
      <x:c r="X46" s="81"/>
      <x:c r="Y46" s="81"/>
      <x:c r="Z46" s="81"/>
    </x:row>
    <x:row r="47">
      <x:c r="A47" s="81" t="str">
        <x:v>2025-08-31</x:v>
      </x:c>
      <x:c r="B47" s="81" t="str">
        <x:v>E1VFVN30</x:v>
      </x:c>
      <x:c r="C47" s="81" t="n">
        <x:v>-135</x:v>
      </x:c>
      <x:c r="D47" s="81" t="str">
        <x:v>S004</x:v>
      </x:c>
      <x:c r="E47" s="81" t="str">
        <x:v>Assumption</x:v>
      </x:c>
      <x:c r="F47" s="81"/>
      <x:c r="G47" s="81"/>
      <x:c r="H47" s="81"/>
      <x:c r="I47" s="81"/>
      <x:c r="J47" s="81"/>
      <x:c r="K47" s="81"/>
      <x:c r="L47" s="81"/>
      <x:c r="M47" s="81"/>
      <x:c r="N47" s="81"/>
      <x:c r="O47" s="81"/>
      <x:c r="P47" s="81"/>
      <x:c r="Q47" s="81"/>
      <x:c r="R47" s="81"/>
      <x:c r="S47" s="81"/>
      <x:c r="T47" s="81"/>
      <x:c r="U47" s="81"/>
      <x:c r="V47" s="81"/>
      <x:c r="W47" s="81"/>
      <x:c r="X47" s="81"/>
      <x:c r="Y47" s="81"/>
      <x:c r="Z47" s="81"/>
    </x:row>
    <x:row r="48">
      <x:c r="A48" s="81" t="str">
        <x:v>2025-08-31</x:v>
      </x:c>
      <x:c r="B48" s="81" t="str">
        <x:v>FUEVFVND</x:v>
      </x:c>
      <x:c r="C48" s="81" t="n">
        <x:v>603.2</x:v>
      </x:c>
      <x:c r="D48" s="81" t="str">
        <x:v>S004</x:v>
      </x:c>
      <x:c r="E48" s="81" t="str">
        <x:v>Assumption</x:v>
      </x:c>
      <x:c r="F48" s="81"/>
      <x:c r="G48" s="81"/>
      <x:c r="H48" s="81"/>
      <x:c r="I48" s="81"/>
      <x:c r="J48" s="81"/>
      <x:c r="K48" s="81"/>
      <x:c r="L48" s="81"/>
      <x:c r="M48" s="81"/>
      <x:c r="N48" s="81"/>
      <x:c r="O48" s="81"/>
      <x:c r="P48" s="81"/>
      <x:c r="Q48" s="81"/>
      <x:c r="R48" s="81"/>
      <x:c r="S48" s="81"/>
      <x:c r="T48" s="81"/>
      <x:c r="U48" s="81"/>
      <x:c r="V48" s="81"/>
      <x:c r="W48" s="81"/>
      <x:c r="X48" s="81"/>
      <x:c r="Y48" s="81"/>
      <x:c r="Z48" s="81"/>
    </x:row>
    <x:row r="49">
      <x:c r="A49" s="81" t="str">
        <x:v>2025-08-31</x:v>
      </x:c>
      <x:c r="B49" s="81" t="str">
        <x:v>VEF_LOCAL</x:v>
      </x:c>
      <x:c r="C49" s="81" t="n">
        <x:v>-236.5</x:v>
      </x:c>
      <x:c r="D49" s="81" t="str">
        <x:v>S004</x:v>
      </x:c>
      <x:c r="E49" s="81" t="str">
        <x:v>Assumption</x:v>
      </x:c>
      <x:c r="F49" s="81"/>
      <x:c r="G49" s="81"/>
      <x:c r="H49" s="81"/>
      <x:c r="I49" s="81"/>
      <x:c r="J49" s="81"/>
      <x:c r="K49" s="81"/>
      <x:c r="L49" s="81"/>
      <x:c r="M49" s="81"/>
      <x:c r="N49" s="81"/>
      <x:c r="O49" s="81"/>
      <x:c r="P49" s="81"/>
      <x:c r="Q49" s="81"/>
      <x:c r="R49" s="81"/>
      <x:c r="S49" s="81"/>
      <x:c r="T49" s="81"/>
      <x:c r="U49" s="81"/>
      <x:c r="V49" s="81"/>
      <x:c r="W49" s="81"/>
      <x:c r="X49" s="81"/>
      <x:c r="Y49" s="81"/>
      <x:c r="Z49" s="81"/>
    </x:row>
    <x:row r="50">
      <x:c r="A50" s="81" t="str">
        <x:v>2025-09-30</x:v>
      </x:c>
      <x:c r="B50" s="81" t="str">
        <x:v>DCDS</x:v>
      </x:c>
      <x:c r="C50" s="81" t="n">
        <x:v>-423.4</x:v>
      </x:c>
      <x:c r="D50" s="81" t="str">
        <x:v>S004</x:v>
      </x:c>
      <x:c r="E50" s="81" t="str">
        <x:v>Assumption</x:v>
      </x:c>
      <x:c r="F50" s="81"/>
      <x:c r="G50" s="81"/>
      <x:c r="H50" s="81"/>
      <x:c r="I50" s="81"/>
      <x:c r="J50" s="81"/>
      <x:c r="K50" s="81"/>
      <x:c r="L50" s="81"/>
      <x:c r="M50" s="81"/>
      <x:c r="N50" s="81"/>
      <x:c r="O50" s="81"/>
      <x:c r="P50" s="81"/>
      <x:c r="Q50" s="81"/>
      <x:c r="R50" s="81"/>
      <x:c r="S50" s="81"/>
      <x:c r="T50" s="81"/>
      <x:c r="U50" s="81"/>
      <x:c r="V50" s="81"/>
      <x:c r="W50" s="81"/>
      <x:c r="X50" s="81"/>
      <x:c r="Y50" s="81"/>
      <x:c r="Z50" s="81"/>
    </x:row>
    <x:row r="51">
      <x:c r="A51" s="81" t="str">
        <x:v>2025-09-30</x:v>
      </x:c>
      <x:c r="B51" s="81" t="str">
        <x:v>DCBF</x:v>
      </x:c>
      <x:c r="C51" s="81" t="n">
        <x:v>-115.6</x:v>
      </x:c>
      <x:c r="D51" s="81" t="str">
        <x:v>S004</x:v>
      </x:c>
      <x:c r="E51" s="81" t="str">
        <x:v>Assumption</x:v>
      </x:c>
      <x:c r="F51" s="81"/>
      <x:c r="G51" s="81"/>
      <x:c r="H51" s="81"/>
      <x:c r="I51" s="81"/>
      <x:c r="J51" s="81"/>
      <x:c r="K51" s="81"/>
      <x:c r="L51" s="81"/>
      <x:c r="M51" s="81"/>
      <x:c r="N51" s="81"/>
      <x:c r="O51" s="81"/>
      <x:c r="P51" s="81"/>
      <x:c r="Q51" s="81"/>
      <x:c r="R51" s="81"/>
      <x:c r="S51" s="81"/>
      <x:c r="T51" s="81"/>
      <x:c r="U51" s="81"/>
      <x:c r="V51" s="81"/>
      <x:c r="W51" s="81"/>
      <x:c r="X51" s="81"/>
      <x:c r="Y51" s="81"/>
      <x:c r="Z51" s="81"/>
    </x:row>
    <x:row r="52">
      <x:c r="A52" s="81" t="str">
        <x:v>2025-09-30</x:v>
      </x:c>
      <x:c r="B52" s="81" t="str">
        <x:v>DCDE</x:v>
      </x:c>
      <x:c r="C52" s="81" t="n">
        <x:v>-123.3</x:v>
      </x:c>
      <x:c r="D52" s="81" t="str">
        <x:v>S004</x:v>
      </x:c>
      <x:c r="E52" s="81" t="str">
        <x:v>Assumption</x:v>
      </x:c>
      <x:c r="F52" s="81"/>
      <x:c r="G52" s="81"/>
      <x:c r="H52" s="81"/>
      <x:c r="I52" s="81"/>
      <x:c r="J52" s="81"/>
      <x:c r="K52" s="81"/>
      <x:c r="L52" s="81"/>
      <x:c r="M52" s="81"/>
      <x:c r="N52" s="81"/>
      <x:c r="O52" s="81"/>
      <x:c r="P52" s="81"/>
      <x:c r="Q52" s="81"/>
      <x:c r="R52" s="81"/>
      <x:c r="S52" s="81"/>
      <x:c r="T52" s="81"/>
      <x:c r="U52" s="81"/>
      <x:c r="V52" s="81"/>
      <x:c r="W52" s="81"/>
      <x:c r="X52" s="81"/>
      <x:c r="Y52" s="81"/>
      <x:c r="Z52" s="81"/>
    </x:row>
    <x:row r="53">
      <x:c r="A53" s="81" t="str">
        <x:v>2025-09-30</x:v>
      </x:c>
      <x:c r="B53" s="81" t="str">
        <x:v>E1VFVN30</x:v>
      </x:c>
      <x:c r="C53" s="81" t="n">
        <x:v>-235.5</x:v>
      </x:c>
      <x:c r="D53" s="81" t="str">
        <x:v>S004</x:v>
      </x:c>
      <x:c r="E53" s="81" t="str">
        <x:v>Assumption</x:v>
      </x:c>
      <x:c r="F53" s="81"/>
      <x:c r="G53" s="81"/>
      <x:c r="H53" s="81"/>
      <x:c r="I53" s="81"/>
      <x:c r="J53" s="81"/>
      <x:c r="K53" s="81"/>
      <x:c r="L53" s="81"/>
      <x:c r="M53" s="81"/>
      <x:c r="N53" s="81"/>
      <x:c r="O53" s="81"/>
      <x:c r="P53" s="81"/>
      <x:c r="Q53" s="81"/>
      <x:c r="R53" s="81"/>
      <x:c r="S53" s="81"/>
      <x:c r="T53" s="81"/>
      <x:c r="U53" s="81"/>
      <x:c r="V53" s="81"/>
      <x:c r="W53" s="81"/>
      <x:c r="X53" s="81"/>
      <x:c r="Y53" s="81"/>
      <x:c r="Z53" s="81"/>
    </x:row>
    <x:row r="54">
      <x:c r="A54" s="81" t="str">
        <x:v>2025-09-30</x:v>
      </x:c>
      <x:c r="B54" s="81" t="str">
        <x:v>FUEVFVND</x:v>
      </x:c>
      <x:c r="C54" s="81" t="n">
        <x:v>244.8</x:v>
      </x:c>
      <x:c r="D54" s="81" t="str">
        <x:v>S004</x:v>
      </x:c>
      <x:c r="E54" s="81" t="str">
        <x:v>Assumption</x:v>
      </x:c>
      <x:c r="F54" s="81"/>
      <x:c r="G54" s="81"/>
      <x:c r="H54" s="81"/>
      <x:c r="I54" s="81"/>
      <x:c r="J54" s="81"/>
      <x:c r="K54" s="81"/>
      <x:c r="L54" s="81"/>
      <x:c r="M54" s="81"/>
      <x:c r="N54" s="81"/>
      <x:c r="O54" s="81"/>
      <x:c r="P54" s="81"/>
      <x:c r="Q54" s="81"/>
      <x:c r="R54" s="81"/>
      <x:c r="S54" s="81"/>
      <x:c r="T54" s="81"/>
      <x:c r="U54" s="81"/>
      <x:c r="V54" s="81"/>
      <x:c r="W54" s="81"/>
      <x:c r="X54" s="81"/>
      <x:c r="Y54" s="81"/>
      <x:c r="Z54" s="81"/>
    </x:row>
    <x:row r="55">
      <x:c r="A55" s="81" t="str">
        <x:v>2025-09-30</x:v>
      </x:c>
      <x:c r="B55" s="81" t="str">
        <x:v>VEF_LOCAL</x:v>
      </x:c>
      <x:c r="C55" s="81" t="n">
        <x:v>-205.3</x:v>
      </x:c>
      <x:c r="D55" s="81" t="str">
        <x:v>S004</x:v>
      </x:c>
      <x:c r="E55" s="81" t="str">
        <x:v>Assumption</x:v>
      </x:c>
      <x:c r="F55" s="81"/>
      <x:c r="G55" s="81"/>
      <x:c r="H55" s="81"/>
      <x:c r="I55" s="81"/>
      <x:c r="J55" s="81"/>
      <x:c r="K55" s="81"/>
      <x:c r="L55" s="81"/>
      <x:c r="M55" s="81"/>
      <x:c r="N55" s="81"/>
      <x:c r="O55" s="81"/>
      <x:c r="P55" s="81"/>
      <x:c r="Q55" s="81"/>
      <x:c r="R55" s="81"/>
      <x:c r="S55" s="81"/>
      <x:c r="T55" s="81"/>
      <x:c r="U55" s="81"/>
      <x:c r="V55" s="81"/>
      <x:c r="W55" s="81"/>
      <x:c r="X55" s="81"/>
      <x:c r="Y55" s="81"/>
      <x:c r="Z55" s="81"/>
    </x:row>
    <x:row r="56">
      <x:c r="A56" s="81" t="str">
        <x:v>2025-10-31</x:v>
      </x:c>
      <x:c r="B56" s="81" t="str">
        <x:v>DCDS</x:v>
      </x:c>
      <x:c r="C56" s="81" t="n">
        <x:v>178.5</x:v>
      </x:c>
      <x:c r="D56" s="81" t="str">
        <x:v>S004</x:v>
      </x:c>
      <x:c r="E56" s="81" t="str">
        <x:v>Assumption</x:v>
      </x:c>
      <x:c r="F56" s="81"/>
      <x:c r="G56" s="81"/>
      <x:c r="H56" s="81"/>
      <x:c r="I56" s="81"/>
      <x:c r="J56" s="81"/>
      <x:c r="K56" s="81"/>
      <x:c r="L56" s="81"/>
      <x:c r="M56" s="81"/>
      <x:c r="N56" s="81"/>
      <x:c r="O56" s="81"/>
      <x:c r="P56" s="81"/>
      <x:c r="Q56" s="81"/>
      <x:c r="R56" s="81"/>
      <x:c r="S56" s="81"/>
      <x:c r="T56" s="81"/>
      <x:c r="U56" s="81"/>
      <x:c r="V56" s="81"/>
      <x:c r="W56" s="81"/>
      <x:c r="X56" s="81"/>
      <x:c r="Y56" s="81"/>
      <x:c r="Z56" s="81"/>
    </x:row>
    <x:row r="57">
      <x:c r="A57" s="81" t="str">
        <x:v>2025-10-31</x:v>
      </x:c>
      <x:c r="B57" s="81" t="str">
        <x:v>DCBF</x:v>
      </x:c>
      <x:c r="C57" s="81" t="n">
        <x:v>-233.5</x:v>
      </x:c>
      <x:c r="D57" s="81" t="str">
        <x:v>S004</x:v>
      </x:c>
      <x:c r="E57" s="81" t="str">
        <x:v>Assumption</x:v>
      </x:c>
      <x:c r="F57" s="81"/>
      <x:c r="G57" s="81"/>
      <x:c r="H57" s="81"/>
      <x:c r="I57" s="81"/>
      <x:c r="J57" s="81"/>
      <x:c r="K57" s="81"/>
      <x:c r="L57" s="81"/>
      <x:c r="M57" s="81"/>
      <x:c r="N57" s="81"/>
      <x:c r="O57" s="81"/>
      <x:c r="P57" s="81"/>
      <x:c r="Q57" s="81"/>
      <x:c r="R57" s="81"/>
      <x:c r="S57" s="81"/>
      <x:c r="T57" s="81"/>
      <x:c r="U57" s="81"/>
      <x:c r="V57" s="81"/>
      <x:c r="W57" s="81"/>
      <x:c r="X57" s="81"/>
      <x:c r="Y57" s="81"/>
      <x:c r="Z57" s="81"/>
    </x:row>
    <x:row r="58">
      <x:c r="A58" s="81" t="str">
        <x:v>2025-10-31</x:v>
      </x:c>
      <x:c r="B58" s="81" t="str">
        <x:v>DCDE</x:v>
      </x:c>
      <x:c r="C58" s="81" t="n">
        <x:v>233.9</x:v>
      </x:c>
      <x:c r="D58" s="81" t="str">
        <x:v>S004</x:v>
      </x:c>
      <x:c r="E58" s="81" t="str">
        <x:v>Assumption</x:v>
      </x:c>
      <x:c r="F58" s="81"/>
      <x:c r="G58" s="81"/>
      <x:c r="H58" s="81"/>
      <x:c r="I58" s="81"/>
      <x:c r="J58" s="81"/>
      <x:c r="K58" s="81"/>
      <x:c r="L58" s="81"/>
      <x:c r="M58" s="81"/>
      <x:c r="N58" s="81"/>
      <x:c r="O58" s="81"/>
      <x:c r="P58" s="81"/>
      <x:c r="Q58" s="81"/>
      <x:c r="R58" s="81"/>
      <x:c r="S58" s="81"/>
      <x:c r="T58" s="81"/>
      <x:c r="U58" s="81"/>
      <x:c r="V58" s="81"/>
      <x:c r="W58" s="81"/>
      <x:c r="X58" s="81"/>
      <x:c r="Y58" s="81"/>
      <x:c r="Z58" s="81"/>
    </x:row>
    <x:row r="59">
      <x:c r="A59" s="81" t="str">
        <x:v>2025-10-31</x:v>
      </x:c>
      <x:c r="B59" s="81" t="str">
        <x:v>E1VFVN30</x:v>
      </x:c>
      <x:c r="C59" s="81" t="n">
        <x:v>-194.4</x:v>
      </x:c>
      <x:c r="D59" s="81" t="str">
        <x:v>S004</x:v>
      </x:c>
      <x:c r="E59" s="81" t="str">
        <x:v>Assumption</x:v>
      </x:c>
      <x:c r="F59" s="81"/>
      <x:c r="G59" s="81"/>
      <x:c r="H59" s="81"/>
      <x:c r="I59" s="81"/>
      <x:c r="J59" s="81"/>
      <x:c r="K59" s="81"/>
      <x:c r="L59" s="81"/>
      <x:c r="M59" s="81"/>
      <x:c r="N59" s="81"/>
      <x:c r="O59" s="81"/>
      <x:c r="P59" s="81"/>
      <x:c r="Q59" s="81"/>
      <x:c r="R59" s="81"/>
      <x:c r="S59" s="81"/>
      <x:c r="T59" s="81"/>
      <x:c r="U59" s="81"/>
      <x:c r="V59" s="81"/>
      <x:c r="W59" s="81"/>
      <x:c r="X59" s="81"/>
      <x:c r="Y59" s="81"/>
      <x:c r="Z59" s="81"/>
    </x:row>
    <x:row r="60">
      <x:c r="A60" s="81" t="str">
        <x:v>2025-10-31</x:v>
      </x:c>
      <x:c r="B60" s="81" t="str">
        <x:v>FUEVFVND</x:v>
      </x:c>
      <x:c r="C60" s="81" t="n">
        <x:v>-374.9</x:v>
      </x:c>
      <x:c r="D60" s="81" t="str">
        <x:v>S004</x:v>
      </x:c>
      <x:c r="E60" s="81" t="str">
        <x:v>Assumption</x:v>
      </x:c>
      <x:c r="F60" s="81"/>
      <x:c r="G60" s="81"/>
      <x:c r="H60" s="81"/>
      <x:c r="I60" s="81"/>
      <x:c r="J60" s="81"/>
      <x:c r="K60" s="81"/>
      <x:c r="L60" s="81"/>
      <x:c r="M60" s="81"/>
      <x:c r="N60" s="81"/>
      <x:c r="O60" s="81"/>
      <x:c r="P60" s="81"/>
      <x:c r="Q60" s="81"/>
      <x:c r="R60" s="81"/>
      <x:c r="S60" s="81"/>
      <x:c r="T60" s="81"/>
      <x:c r="U60" s="81"/>
      <x:c r="V60" s="81"/>
      <x:c r="W60" s="81"/>
      <x:c r="X60" s="81"/>
      <x:c r="Y60" s="81"/>
      <x:c r="Z60" s="81"/>
    </x:row>
    <x:row r="61">
      <x:c r="A61" s="81" t="str">
        <x:v>2025-10-31</x:v>
      </x:c>
      <x:c r="B61" s="81" t="str">
        <x:v>VEF_LOCAL</x:v>
      </x:c>
      <x:c r="C61" s="81" t="n">
        <x:v>14.2</x:v>
      </x:c>
      <x:c r="D61" s="81" t="str">
        <x:v>S004</x:v>
      </x:c>
      <x:c r="E61" s="81" t="str">
        <x:v>Assumption</x:v>
      </x:c>
      <x:c r="F61" s="81"/>
      <x:c r="G61" s="81"/>
      <x:c r="H61" s="81"/>
      <x:c r="I61" s="81"/>
      <x:c r="J61" s="81"/>
      <x:c r="K61" s="81"/>
      <x:c r="L61" s="81"/>
      <x:c r="M61" s="81"/>
      <x:c r="N61" s="81"/>
      <x:c r="O61" s="81"/>
      <x:c r="P61" s="81"/>
      <x:c r="Q61" s="81"/>
      <x:c r="R61" s="81"/>
      <x:c r="S61" s="81"/>
      <x:c r="T61" s="81"/>
      <x:c r="U61" s="81"/>
      <x:c r="V61" s="81"/>
      <x:c r="W61" s="81"/>
      <x:c r="X61" s="81"/>
      <x:c r="Y61" s="81"/>
      <x:c r="Z61" s="81"/>
    </x:row>
    <x:row r="62">
      <x:c r="A62" s="81" t="str">
        <x:v>2025-11-30</x:v>
      </x:c>
      <x:c r="B62" s="81" t="str">
        <x:v>DCDS</x:v>
      </x:c>
      <x:c r="C62" s="81" t="n">
        <x:v>-343.5</x:v>
      </x:c>
      <x:c r="D62" s="81" t="str">
        <x:v>S004</x:v>
      </x:c>
      <x:c r="E62" s="81" t="str">
        <x:v>Assumption</x:v>
      </x:c>
      <x:c r="F62" s="81"/>
      <x:c r="G62" s="81"/>
      <x:c r="H62" s="81"/>
      <x:c r="I62" s="81"/>
      <x:c r="J62" s="81"/>
      <x:c r="K62" s="81"/>
      <x:c r="L62" s="81"/>
      <x:c r="M62" s="81"/>
      <x:c r="N62" s="81"/>
      <x:c r="O62" s="81"/>
      <x:c r="P62" s="81"/>
      <x:c r="Q62" s="81"/>
      <x:c r="R62" s="81"/>
      <x:c r="S62" s="81"/>
      <x:c r="T62" s="81"/>
      <x:c r="U62" s="81"/>
      <x:c r="V62" s="81"/>
      <x:c r="W62" s="81"/>
      <x:c r="X62" s="81"/>
      <x:c r="Y62" s="81"/>
      <x:c r="Z62" s="81"/>
    </x:row>
    <x:row r="63">
      <x:c r="A63" s="81" t="str">
        <x:v>2025-11-30</x:v>
      </x:c>
      <x:c r="B63" s="81" t="str">
        <x:v>DCBF</x:v>
      </x:c>
      <x:c r="C63" s="81" t="n">
        <x:v>-16.5</x:v>
      </x:c>
      <x:c r="D63" s="81" t="str">
        <x:v>S004</x:v>
      </x:c>
      <x:c r="E63" s="81" t="str">
        <x:v>Assumption</x:v>
      </x:c>
      <x:c r="F63" s="81"/>
      <x:c r="G63" s="81"/>
      <x:c r="H63" s="81"/>
      <x:c r="I63" s="81"/>
      <x:c r="J63" s="81"/>
      <x:c r="K63" s="81"/>
      <x:c r="L63" s="81"/>
      <x:c r="M63" s="81"/>
      <x:c r="N63" s="81"/>
      <x:c r="O63" s="81"/>
      <x:c r="P63" s="81"/>
      <x:c r="Q63" s="81"/>
      <x:c r="R63" s="81"/>
      <x:c r="S63" s="81"/>
      <x:c r="T63" s="81"/>
      <x:c r="U63" s="81"/>
      <x:c r="V63" s="81"/>
      <x:c r="W63" s="81"/>
      <x:c r="X63" s="81"/>
      <x:c r="Y63" s="81"/>
      <x:c r="Z63" s="81"/>
    </x:row>
    <x:row r="64">
      <x:c r="A64" s="81" t="str">
        <x:v>2025-11-30</x:v>
      </x:c>
      <x:c r="B64" s="81" t="str">
        <x:v>DCDE</x:v>
      </x:c>
      <x:c r="C64" s="81" t="n">
        <x:v>117.8</x:v>
      </x:c>
      <x:c r="D64" s="81" t="str">
        <x:v>S004</x:v>
      </x:c>
      <x:c r="E64" s="81" t="str">
        <x:v>Assumption</x:v>
      </x:c>
      <x:c r="F64" s="81"/>
      <x:c r="G64" s="81"/>
      <x:c r="H64" s="81"/>
      <x:c r="I64" s="81"/>
      <x:c r="J64" s="81"/>
      <x:c r="K64" s="81"/>
      <x:c r="L64" s="81"/>
      <x:c r="M64" s="81"/>
      <x:c r="N64" s="81"/>
      <x:c r="O64" s="81"/>
      <x:c r="P64" s="81"/>
      <x:c r="Q64" s="81"/>
      <x:c r="R64" s="81"/>
      <x:c r="S64" s="81"/>
      <x:c r="T64" s="81"/>
      <x:c r="U64" s="81"/>
      <x:c r="V64" s="81"/>
      <x:c r="W64" s="81"/>
      <x:c r="X64" s="81"/>
      <x:c r="Y64" s="81"/>
      <x:c r="Z64" s="81"/>
    </x:row>
    <x:row r="65">
      <x:c r="A65" s="81" t="str">
        <x:v>2025-11-30</x:v>
      </x:c>
      <x:c r="B65" s="81" t="str">
        <x:v>E1VFVN30</x:v>
      </x:c>
      <x:c r="C65" s="81" t="n">
        <x:v>-43.6</x:v>
      </x:c>
      <x:c r="D65" s="81" t="str">
        <x:v>S004</x:v>
      </x:c>
      <x:c r="E65" s="81" t="str">
        <x:v>Assumption</x:v>
      </x:c>
      <x:c r="F65" s="81"/>
      <x:c r="G65" s="81"/>
      <x:c r="H65" s="81"/>
      <x:c r="I65" s="81"/>
      <x:c r="J65" s="81"/>
      <x:c r="K65" s="81"/>
      <x:c r="L65" s="81"/>
      <x:c r="M65" s="81"/>
      <x:c r="N65" s="81"/>
      <x:c r="O65" s="81"/>
      <x:c r="P65" s="81"/>
      <x:c r="Q65" s="81"/>
      <x:c r="R65" s="81"/>
      <x:c r="S65" s="81"/>
      <x:c r="T65" s="81"/>
      <x:c r="U65" s="81"/>
      <x:c r="V65" s="81"/>
      <x:c r="W65" s="81"/>
      <x:c r="X65" s="81"/>
      <x:c r="Y65" s="81"/>
      <x:c r="Z65" s="81"/>
    </x:row>
    <x:row r="66">
      <x:c r="A66" s="81" t="str">
        <x:v>2025-11-30</x:v>
      </x:c>
      <x:c r="B66" s="81" t="str">
        <x:v>FUEVFVND</x:v>
      </x:c>
      <x:c r="C66" s="81" t="n">
        <x:v>-245.7</x:v>
      </x:c>
      <x:c r="D66" s="81" t="str">
        <x:v>S004</x:v>
      </x:c>
      <x:c r="E66" s="81" t="str">
        <x:v>Assumption</x:v>
      </x:c>
      <x:c r="F66" s="81"/>
      <x:c r="G66" s="81"/>
      <x:c r="H66" s="81"/>
      <x:c r="I66" s="81"/>
      <x:c r="J66" s="81"/>
      <x:c r="K66" s="81"/>
      <x:c r="L66" s="81"/>
      <x:c r="M66" s="81"/>
      <x:c r="N66" s="81"/>
      <x:c r="O66" s="81"/>
      <x:c r="P66" s="81"/>
      <x:c r="Q66" s="81"/>
      <x:c r="R66" s="81"/>
      <x:c r="S66" s="81"/>
      <x:c r="T66" s="81"/>
      <x:c r="U66" s="81"/>
      <x:c r="V66" s="81"/>
      <x:c r="W66" s="81"/>
      <x:c r="X66" s="81"/>
      <x:c r="Y66" s="81"/>
      <x:c r="Z66" s="81"/>
    </x:row>
    <x:row r="67">
      <x:c r="A67" s="81" t="str">
        <x:v>2025-11-30</x:v>
      </x:c>
      <x:c r="B67" s="81" t="str">
        <x:v>VEF_LOCAL</x:v>
      </x:c>
      <x:c r="C67" s="81" t="n">
        <x:v>-17.5</x:v>
      </x:c>
      <x:c r="D67" s="81" t="str">
        <x:v>S004</x:v>
      </x:c>
      <x:c r="E67" s="81" t="str">
        <x:v>Assumption</x:v>
      </x:c>
      <x:c r="F67" s="81"/>
      <x:c r="G67" s="81"/>
      <x:c r="H67" s="81"/>
      <x:c r="I67" s="81"/>
      <x:c r="J67" s="81"/>
      <x:c r="K67" s="81"/>
      <x:c r="L67" s="81"/>
      <x:c r="M67" s="81"/>
      <x:c r="N67" s="81"/>
      <x:c r="O67" s="81"/>
      <x:c r="P67" s="81"/>
      <x:c r="Q67" s="81"/>
      <x:c r="R67" s="81"/>
      <x:c r="S67" s="81"/>
      <x:c r="T67" s="81"/>
      <x:c r="U67" s="81"/>
      <x:c r="V67" s="81"/>
      <x:c r="W67" s="81"/>
      <x:c r="X67" s="81"/>
      <x:c r="Y67" s="81"/>
      <x:c r="Z67" s="81"/>
    </x:row>
    <x:row r="68">
      <x:c r="A68" s="81" t="str">
        <x:v>2025-12-31</x:v>
      </x:c>
      <x:c r="B68" s="81" t="str">
        <x:v>DCDS</x:v>
      </x:c>
      <x:c r="C68" s="81" t="n">
        <x:v>610.1</x:v>
      </x:c>
      <x:c r="D68" s="81" t="str">
        <x:v>S004</x:v>
      </x:c>
      <x:c r="E68" s="81" t="str">
        <x:v>Assumption</x:v>
      </x:c>
      <x:c r="F68" s="81"/>
      <x:c r="G68" s="81"/>
      <x:c r="H68" s="81"/>
      <x:c r="I68" s="81"/>
      <x:c r="J68" s="81"/>
      <x:c r="K68" s="81"/>
      <x:c r="L68" s="81"/>
      <x:c r="M68" s="81"/>
      <x:c r="N68" s="81"/>
      <x:c r="O68" s="81"/>
      <x:c r="P68" s="81"/>
      <x:c r="Q68" s="81"/>
      <x:c r="R68" s="81"/>
      <x:c r="S68" s="81"/>
      <x:c r="T68" s="81"/>
      <x:c r="U68" s="81"/>
      <x:c r="V68" s="81"/>
      <x:c r="W68" s="81"/>
      <x:c r="X68" s="81"/>
      <x:c r="Y68" s="81"/>
      <x:c r="Z68" s="81"/>
    </x:row>
    <x:row r="69">
      <x:c r="A69" s="81" t="str">
        <x:v>2025-12-31</x:v>
      </x:c>
      <x:c r="B69" s="81" t="str">
        <x:v>DCBF</x:v>
      </x:c>
      <x:c r="C69" s="81" t="n">
        <x:v>64</x:v>
      </x:c>
      <x:c r="D69" s="81" t="str">
        <x:v>S004</x:v>
      </x:c>
      <x:c r="E69" s="81" t="str">
        <x:v>Assumption</x:v>
      </x:c>
      <x:c r="F69" s="81"/>
      <x:c r="G69" s="81"/>
      <x:c r="H69" s="81"/>
      <x:c r="I69" s="81"/>
      <x:c r="J69" s="81"/>
      <x:c r="K69" s="81"/>
      <x:c r="L69" s="81"/>
      <x:c r="M69" s="81"/>
      <x:c r="N69" s="81"/>
      <x:c r="O69" s="81"/>
      <x:c r="P69" s="81"/>
      <x:c r="Q69" s="81"/>
      <x:c r="R69" s="81"/>
      <x:c r="S69" s="81"/>
      <x:c r="T69" s="81"/>
      <x:c r="U69" s="81"/>
      <x:c r="V69" s="81"/>
      <x:c r="W69" s="81"/>
      <x:c r="X69" s="81"/>
      <x:c r="Y69" s="81"/>
      <x:c r="Z69" s="81"/>
    </x:row>
    <x:row r="70">
      <x:c r="A70" s="81" t="str">
        <x:v>2025-12-31</x:v>
      </x:c>
      <x:c r="B70" s="81" t="str">
        <x:v>DCDE</x:v>
      </x:c>
      <x:c r="C70" s="81" t="n">
        <x:v>206.6</x:v>
      </x:c>
      <x:c r="D70" s="81" t="str">
        <x:v>S004</x:v>
      </x:c>
      <x:c r="E70" s="81" t="str">
        <x:v>Assumption</x:v>
      </x:c>
      <x:c r="F70" s="81"/>
      <x:c r="G70" s="81"/>
      <x:c r="H70" s="81"/>
      <x:c r="I70" s="81"/>
      <x:c r="J70" s="81"/>
      <x:c r="K70" s="81"/>
      <x:c r="L70" s="81"/>
      <x:c r="M70" s="81"/>
      <x:c r="N70" s="81"/>
      <x:c r="O70" s="81"/>
      <x:c r="P70" s="81"/>
      <x:c r="Q70" s="81"/>
      <x:c r="R70" s="81"/>
      <x:c r="S70" s="81"/>
      <x:c r="T70" s="81"/>
      <x:c r="U70" s="81"/>
      <x:c r="V70" s="81"/>
      <x:c r="W70" s="81"/>
      <x:c r="X70" s="81"/>
      <x:c r="Y70" s="81"/>
      <x:c r="Z70" s="81"/>
    </x:row>
    <x:row r="71">
      <x:c r="A71" s="81" t="str">
        <x:v>2025-12-31</x:v>
      </x:c>
      <x:c r="B71" s="81" t="str">
        <x:v>E1VFVN30</x:v>
      </x:c>
      <x:c r="C71" s="81" t="n">
        <x:v>382.8</x:v>
      </x:c>
      <x:c r="D71" s="81" t="str">
        <x:v>S004</x:v>
      </x:c>
      <x:c r="E71" s="81" t="str">
        <x:v>Assumption</x:v>
      </x:c>
      <x:c r="F71" s="81"/>
      <x:c r="G71" s="81"/>
      <x:c r="H71" s="81"/>
      <x:c r="I71" s="81"/>
      <x:c r="J71" s="81"/>
      <x:c r="K71" s="81"/>
      <x:c r="L71" s="81"/>
      <x:c r="M71" s="81"/>
      <x:c r="N71" s="81"/>
      <x:c r="O71" s="81"/>
      <x:c r="P71" s="81"/>
      <x:c r="Q71" s="81"/>
      <x:c r="R71" s="81"/>
      <x:c r="S71" s="81"/>
      <x:c r="T71" s="81"/>
      <x:c r="U71" s="81"/>
      <x:c r="V71" s="81"/>
      <x:c r="W71" s="81"/>
      <x:c r="X71" s="81"/>
      <x:c r="Y71" s="81"/>
      <x:c r="Z71" s="81"/>
    </x:row>
    <x:row r="72">
      <x:c r="A72" s="81" t="str">
        <x:v>2025-12-31</x:v>
      </x:c>
      <x:c r="B72" s="81" t="str">
        <x:v>FUEVFVND</x:v>
      </x:c>
      <x:c r="C72" s="81" t="n">
        <x:v>-283.6</x:v>
      </x:c>
      <x:c r="D72" s="81" t="str">
        <x:v>S004</x:v>
      </x:c>
      <x:c r="E72" s="81" t="str">
        <x:v>Assumption</x:v>
      </x:c>
      <x:c r="F72" s="81"/>
      <x:c r="G72" s="81"/>
      <x:c r="H72" s="81"/>
      <x:c r="I72" s="81"/>
      <x:c r="J72" s="81"/>
      <x:c r="K72" s="81"/>
      <x:c r="L72" s="81"/>
      <x:c r="M72" s="81"/>
      <x:c r="N72" s="81"/>
      <x:c r="O72" s="81"/>
      <x:c r="P72" s="81"/>
      <x:c r="Q72" s="81"/>
      <x:c r="R72" s="81"/>
      <x:c r="S72" s="81"/>
      <x:c r="T72" s="81"/>
      <x:c r="U72" s="81"/>
      <x:c r="V72" s="81"/>
      <x:c r="W72" s="81"/>
      <x:c r="X72" s="81"/>
      <x:c r="Y72" s="81"/>
      <x:c r="Z72" s="81"/>
    </x:row>
    <x:row r="73">
      <x:c r="A73" s="81" t="str">
        <x:v>2025-12-31</x:v>
      </x:c>
      <x:c r="B73" s="81" t="str">
        <x:v>VEF_LOCAL</x:v>
      </x:c>
      <x:c r="C73" s="81" t="n">
        <x:v>-43.5</x:v>
      </x:c>
      <x:c r="D73" s="81" t="str">
        <x:v>S004</x:v>
      </x:c>
      <x:c r="E73" s="81" t="str">
        <x:v>Assumption</x:v>
      </x:c>
      <x:c r="F73" s="81"/>
      <x:c r="G73" s="81"/>
      <x:c r="H73" s="81"/>
      <x:c r="I73" s="81"/>
      <x:c r="J73" s="81"/>
      <x:c r="K73" s="81"/>
      <x:c r="L73" s="81"/>
      <x:c r="M73" s="81"/>
      <x:c r="N73" s="81"/>
      <x:c r="O73" s="81"/>
      <x:c r="P73" s="81"/>
      <x:c r="Q73" s="81"/>
      <x:c r="R73" s="81"/>
      <x:c r="S73" s="81"/>
      <x:c r="T73" s="81"/>
      <x:c r="U73" s="81"/>
      <x:c r="V73" s="81"/>
      <x:c r="W73" s="81"/>
      <x:c r="X73" s="81"/>
      <x:c r="Y73" s="81"/>
      <x:c r="Z73" s="81"/>
    </x:row>
    <x:row r="74">
      <x:c r="A74" s="81" t="str">
        <x:v>2026-01-31</x:v>
      </x:c>
      <x:c r="B74" s="81" t="str">
        <x:v>DCDS</x:v>
      </x:c>
      <x:c r="C74" s="81" t="n">
        <x:v>432.6</x:v>
      </x:c>
      <x:c r="D74" s="81" t="str">
        <x:v>S004</x:v>
      </x:c>
      <x:c r="E74" s="81" t="str">
        <x:v>Assumption</x:v>
      </x:c>
      <x:c r="F74" s="81"/>
      <x:c r="G74" s="81"/>
      <x:c r="H74" s="81"/>
      <x:c r="I74" s="81"/>
      <x:c r="J74" s="81"/>
      <x:c r="K74" s="81"/>
      <x:c r="L74" s="81"/>
      <x:c r="M74" s="81"/>
      <x:c r="N74" s="81"/>
      <x:c r="O74" s="81"/>
      <x:c r="P74" s="81"/>
      <x:c r="Q74" s="81"/>
      <x:c r="R74" s="81"/>
      <x:c r="S74" s="81"/>
      <x:c r="T74" s="81"/>
      <x:c r="U74" s="81"/>
      <x:c r="V74" s="81"/>
      <x:c r="W74" s="81"/>
      <x:c r="X74" s="81"/>
      <x:c r="Y74" s="81"/>
      <x:c r="Z74" s="81"/>
    </x:row>
    <x:row r="75">
      <x:c r="A75" s="81" t="str">
        <x:v>2026-01-31</x:v>
      </x:c>
      <x:c r="B75" s="81" t="str">
        <x:v>DCBF</x:v>
      </x:c>
      <x:c r="C75" s="81" t="n">
        <x:v>317.8</x:v>
      </x:c>
      <x:c r="D75" s="81" t="str">
        <x:v>S004</x:v>
      </x:c>
      <x:c r="E75" s="81" t="str">
        <x:v>Assumption</x:v>
      </x:c>
      <x:c r="F75" s="81"/>
      <x:c r="G75" s="81"/>
      <x:c r="H75" s="81"/>
      <x:c r="I75" s="81"/>
      <x:c r="J75" s="81"/>
      <x:c r="K75" s="81"/>
      <x:c r="L75" s="81"/>
      <x:c r="M75" s="81"/>
      <x:c r="N75" s="81"/>
      <x:c r="O75" s="81"/>
      <x:c r="P75" s="81"/>
      <x:c r="Q75" s="81"/>
      <x:c r="R75" s="81"/>
      <x:c r="S75" s="81"/>
      <x:c r="T75" s="81"/>
      <x:c r="U75" s="81"/>
      <x:c r="V75" s="81"/>
      <x:c r="W75" s="81"/>
      <x:c r="X75" s="81"/>
      <x:c r="Y75" s="81"/>
      <x:c r="Z75" s="81"/>
    </x:row>
    <x:row r="76">
      <x:c r="A76" s="81" t="str">
        <x:v>2026-01-31</x:v>
      </x:c>
      <x:c r="B76" s="81" t="str">
        <x:v>DCDE</x:v>
      </x:c>
      <x:c r="C76" s="81" t="n">
        <x:v>141.1</x:v>
      </x:c>
      <x:c r="D76" s="81" t="str">
        <x:v>S004</x:v>
      </x:c>
      <x:c r="E76" s="81" t="str">
        <x:v>Assumption</x:v>
      </x:c>
      <x:c r="F76" s="81"/>
      <x:c r="G76" s="81"/>
      <x:c r="H76" s="81"/>
      <x:c r="I76" s="81"/>
      <x:c r="J76" s="81"/>
      <x:c r="K76" s="81"/>
      <x:c r="L76" s="81"/>
      <x:c r="M76" s="81"/>
      <x:c r="N76" s="81"/>
      <x:c r="O76" s="81"/>
      <x:c r="P76" s="81"/>
      <x:c r="Q76" s="81"/>
      <x:c r="R76" s="81"/>
      <x:c r="S76" s="81"/>
      <x:c r="T76" s="81"/>
      <x:c r="U76" s="81"/>
      <x:c r="V76" s="81"/>
      <x:c r="W76" s="81"/>
      <x:c r="X76" s="81"/>
      <x:c r="Y76" s="81"/>
      <x:c r="Z76" s="81"/>
    </x:row>
    <x:row r="77">
      <x:c r="A77" s="81" t="str">
        <x:v>2026-01-31</x:v>
      </x:c>
      <x:c r="B77" s="81" t="str">
        <x:v>E1VFVN30</x:v>
      </x:c>
      <x:c r="C77" s="81" t="n">
        <x:v>484.4</x:v>
      </x:c>
      <x:c r="D77" s="81" t="str">
        <x:v>S004</x:v>
      </x:c>
      <x:c r="E77" s="81" t="str">
        <x:v>Assumption</x:v>
      </x:c>
      <x:c r="F77" s="81"/>
      <x:c r="G77" s="81"/>
      <x:c r="H77" s="81"/>
      <x:c r="I77" s="81"/>
      <x:c r="J77" s="81"/>
      <x:c r="K77" s="81"/>
      <x:c r="L77" s="81"/>
      <x:c r="M77" s="81"/>
      <x:c r="N77" s="81"/>
      <x:c r="O77" s="81"/>
      <x:c r="P77" s="81"/>
      <x:c r="Q77" s="81"/>
      <x:c r="R77" s="81"/>
      <x:c r="S77" s="81"/>
      <x:c r="T77" s="81"/>
      <x:c r="U77" s="81"/>
      <x:c r="V77" s="81"/>
      <x:c r="W77" s="81"/>
      <x:c r="X77" s="81"/>
      <x:c r="Y77" s="81"/>
      <x:c r="Z77" s="81"/>
    </x:row>
    <x:row r="78">
      <x:c r="A78" s="81" t="str">
        <x:v>2026-01-31</x:v>
      </x:c>
      <x:c r="B78" s="81" t="str">
        <x:v>FUEVFVND</x:v>
      </x:c>
      <x:c r="C78" s="81" t="n">
        <x:v>359.9</x:v>
      </x:c>
      <x:c r="D78" s="81" t="str">
        <x:v>S004</x:v>
      </x:c>
      <x:c r="E78" s="81" t="str">
        <x:v>Assumption</x:v>
      </x:c>
      <x:c r="F78" s="81"/>
      <x:c r="G78" s="81"/>
      <x:c r="H78" s="81"/>
      <x:c r="I78" s="81"/>
      <x:c r="J78" s="81"/>
      <x:c r="K78" s="81"/>
      <x:c r="L78" s="81"/>
      <x:c r="M78" s="81"/>
      <x:c r="N78" s="81"/>
      <x:c r="O78" s="81"/>
      <x:c r="P78" s="81"/>
      <x:c r="Q78" s="81"/>
      <x:c r="R78" s="81"/>
      <x:c r="S78" s="81"/>
      <x:c r="T78" s="81"/>
      <x:c r="U78" s="81"/>
      <x:c r="V78" s="81"/>
      <x:c r="W78" s="81"/>
      <x:c r="X78" s="81"/>
      <x:c r="Y78" s="81"/>
      <x:c r="Z78" s="81"/>
    </x:row>
    <x:row r="79">
      <x:c r="A79" s="81" t="str">
        <x:v>2026-01-31</x:v>
      </x:c>
      <x:c r="B79" s="81" t="str">
        <x:v>VEF_LOCAL</x:v>
      </x:c>
      <x:c r="C79" s="81" t="n">
        <x:v>33.4</x:v>
      </x:c>
      <x:c r="D79" s="81" t="str">
        <x:v>S004</x:v>
      </x:c>
      <x:c r="E79" s="81" t="str">
        <x:v>Assumption</x:v>
      </x:c>
      <x:c r="F79" s="81"/>
      <x:c r="G79" s="81"/>
      <x:c r="H79" s="81"/>
      <x:c r="I79" s="81"/>
      <x:c r="J79" s="81"/>
      <x:c r="K79" s="81"/>
      <x:c r="L79" s="81"/>
      <x:c r="M79" s="81"/>
      <x:c r="N79" s="81"/>
      <x:c r="O79" s="81"/>
      <x:c r="P79" s="81"/>
      <x:c r="Q79" s="81"/>
      <x:c r="R79" s="81"/>
      <x:c r="S79" s="81"/>
      <x:c r="T79" s="81"/>
      <x:c r="U79" s="81"/>
      <x:c r="V79" s="81"/>
      <x:c r="W79" s="81"/>
      <x:c r="X79" s="81"/>
      <x:c r="Y79" s="81"/>
      <x:c r="Z79" s="81"/>
    </x:row>
    <x:row r="80">
      <x:c r="A80" s="81" t="str">
        <x:v>2026-02-28</x:v>
      </x:c>
      <x:c r="B80" s="81" t="str">
        <x:v>DCDS</x:v>
      </x:c>
      <x:c r="C80" s="81" t="n">
        <x:v>661.8</x:v>
      </x:c>
      <x:c r="D80" s="81" t="str">
        <x:v>S004</x:v>
      </x:c>
      <x:c r="E80" s="81" t="str">
        <x:v>Assumption</x:v>
      </x:c>
      <x:c r="F80" s="81"/>
      <x:c r="G80" s="81"/>
      <x:c r="H80" s="81"/>
      <x:c r="I80" s="81"/>
      <x:c r="J80" s="81"/>
      <x:c r="K80" s="81"/>
      <x:c r="L80" s="81"/>
      <x:c r="M80" s="81"/>
      <x:c r="N80" s="81"/>
      <x:c r="O80" s="81"/>
      <x:c r="P80" s="81"/>
      <x:c r="Q80" s="81"/>
      <x:c r="R80" s="81"/>
      <x:c r="S80" s="81"/>
      <x:c r="T80" s="81"/>
      <x:c r="U80" s="81"/>
      <x:c r="V80" s="81"/>
      <x:c r="W80" s="81"/>
      <x:c r="X80" s="81"/>
      <x:c r="Y80" s="81"/>
      <x:c r="Z80" s="81"/>
    </x:row>
    <x:row r="81">
      <x:c r="A81" s="81" t="str">
        <x:v>2026-02-28</x:v>
      </x:c>
      <x:c r="B81" s="81" t="str">
        <x:v>DCBF</x:v>
      </x:c>
      <x:c r="C81" s="81" t="n">
        <x:v>90.3</x:v>
      </x:c>
      <x:c r="D81" s="81" t="str">
        <x:v>S004</x:v>
      </x:c>
      <x:c r="E81" s="81" t="str">
        <x:v>Assumption</x:v>
      </x:c>
      <x:c r="F81" s="81"/>
      <x:c r="G81" s="81"/>
      <x:c r="H81" s="81"/>
      <x:c r="I81" s="81"/>
      <x:c r="J81" s="81"/>
      <x:c r="K81" s="81"/>
      <x:c r="L81" s="81"/>
      <x:c r="M81" s="81"/>
      <x:c r="N81" s="81"/>
      <x:c r="O81" s="81"/>
      <x:c r="P81" s="81"/>
      <x:c r="Q81" s="81"/>
      <x:c r="R81" s="81"/>
      <x:c r="S81" s="81"/>
      <x:c r="T81" s="81"/>
      <x:c r="U81" s="81"/>
      <x:c r="V81" s="81"/>
      <x:c r="W81" s="81"/>
      <x:c r="X81" s="81"/>
      <x:c r="Y81" s="81"/>
      <x:c r="Z81" s="81"/>
    </x:row>
    <x:row r="82">
      <x:c r="A82" s="81" t="str">
        <x:v>2026-02-28</x:v>
      </x:c>
      <x:c r="B82" s="81" t="str">
        <x:v>DCDE</x:v>
      </x:c>
      <x:c r="C82" s="81" t="n">
        <x:v>-171.8</x:v>
      </x:c>
      <x:c r="D82" s="81" t="str">
        <x:v>S004</x:v>
      </x:c>
      <x:c r="E82" s="81" t="str">
        <x:v>Assumption</x:v>
      </x:c>
      <x:c r="F82" s="81"/>
      <x:c r="G82" s="81"/>
      <x:c r="H82" s="81"/>
      <x:c r="I82" s="81"/>
      <x:c r="J82" s="81"/>
      <x:c r="K82" s="81"/>
      <x:c r="L82" s="81"/>
      <x:c r="M82" s="81"/>
      <x:c r="N82" s="81"/>
      <x:c r="O82" s="81"/>
      <x:c r="P82" s="81"/>
      <x:c r="Q82" s="81"/>
      <x:c r="R82" s="81"/>
      <x:c r="S82" s="81"/>
      <x:c r="T82" s="81"/>
      <x:c r="U82" s="81"/>
      <x:c r="V82" s="81"/>
      <x:c r="W82" s="81"/>
      <x:c r="X82" s="81"/>
      <x:c r="Y82" s="81"/>
      <x:c r="Z82" s="81"/>
    </x:row>
    <x:row r="83">
      <x:c r="A83" s="81" t="str">
        <x:v>2026-02-28</x:v>
      </x:c>
      <x:c r="B83" s="81" t="str">
        <x:v>E1VFVN30</x:v>
      </x:c>
      <x:c r="C83" s="81" t="n">
        <x:v>115.5</x:v>
      </x:c>
      <x:c r="D83" s="81" t="str">
        <x:v>S004</x:v>
      </x:c>
      <x:c r="E83" s="81" t="str">
        <x:v>Assumption</x:v>
      </x:c>
      <x:c r="F83" s="81"/>
      <x:c r="G83" s="81"/>
      <x:c r="H83" s="81"/>
      <x:c r="I83" s="81"/>
      <x:c r="J83" s="81"/>
      <x:c r="K83" s="81"/>
      <x:c r="L83" s="81"/>
      <x:c r="M83" s="81"/>
      <x:c r="N83" s="81"/>
      <x:c r="O83" s="81"/>
      <x:c r="P83" s="81"/>
      <x:c r="Q83" s="81"/>
      <x:c r="R83" s="81"/>
      <x:c r="S83" s="81"/>
      <x:c r="T83" s="81"/>
      <x:c r="U83" s="81"/>
      <x:c r="V83" s="81"/>
      <x:c r="W83" s="81"/>
      <x:c r="X83" s="81"/>
      <x:c r="Y83" s="81"/>
      <x:c r="Z83" s="81"/>
    </x:row>
    <x:row r="84">
      <x:c r="A84" s="81" t="str">
        <x:v>2026-02-28</x:v>
      </x:c>
      <x:c r="B84" s="81" t="str">
        <x:v>FUEVFVND</x:v>
      </x:c>
      <x:c r="C84" s="81" t="n">
        <x:v>235.5</x:v>
      </x:c>
      <x:c r="D84" s="81" t="str">
        <x:v>S004</x:v>
      </x:c>
      <x:c r="E84" s="81" t="str">
        <x:v>Assumption</x:v>
      </x:c>
      <x:c r="F84" s="81"/>
      <x:c r="G84" s="81"/>
      <x:c r="H84" s="81"/>
      <x:c r="I84" s="81"/>
      <x:c r="J84" s="81"/>
      <x:c r="K84" s="81"/>
      <x:c r="L84" s="81"/>
      <x:c r="M84" s="81"/>
      <x:c r="N84" s="81"/>
      <x:c r="O84" s="81"/>
      <x:c r="P84" s="81"/>
      <x:c r="Q84" s="81"/>
      <x:c r="R84" s="81"/>
      <x:c r="S84" s="81"/>
      <x:c r="T84" s="81"/>
      <x:c r="U84" s="81"/>
      <x:c r="V84" s="81"/>
      <x:c r="W84" s="81"/>
      <x:c r="X84" s="81"/>
      <x:c r="Y84" s="81"/>
      <x:c r="Z84" s="81"/>
    </x:row>
    <x:row r="85">
      <x:c r="A85" s="81" t="str">
        <x:v>2026-02-28</x:v>
      </x:c>
      <x:c r="B85" s="81" t="str">
        <x:v>VEF_LOCAL</x:v>
      </x:c>
      <x:c r="C85" s="81" t="n">
        <x:v>-135.2</x:v>
      </x:c>
      <x:c r="D85" s="81" t="str">
        <x:v>S004</x:v>
      </x:c>
      <x:c r="E85" s="81" t="str">
        <x:v>Assumption</x:v>
      </x:c>
      <x:c r="F85" s="81"/>
      <x:c r="G85" s="81"/>
      <x:c r="H85" s="81"/>
      <x:c r="I85" s="81"/>
      <x:c r="J85" s="81"/>
      <x:c r="K85" s="81"/>
      <x:c r="L85" s="81"/>
      <x:c r="M85" s="81"/>
      <x:c r="N85" s="81"/>
      <x:c r="O85" s="81"/>
      <x:c r="P85" s="81"/>
      <x:c r="Q85" s="81"/>
      <x:c r="R85" s="81"/>
      <x:c r="S85" s="81"/>
      <x:c r="T85" s="81"/>
      <x:c r="U85" s="81"/>
      <x:c r="V85" s="81"/>
      <x:c r="W85" s="81"/>
      <x:c r="X85" s="81"/>
      <x:c r="Y85" s="81"/>
      <x:c r="Z85" s="81"/>
    </x:row>
    <x:row r="86">
      <x:c r="A86" s="81" t="str">
        <x:v>2026-03-31</x:v>
      </x:c>
      <x:c r="B86" s="81" t="str">
        <x:v>DCDS</x:v>
      </x:c>
      <x:c r="C86" s="81" t="n">
        <x:v>-201.3</x:v>
      </x:c>
      <x:c r="D86" s="81" t="str">
        <x:v>S004</x:v>
      </x:c>
      <x:c r="E86" s="81" t="str">
        <x:v>Assumption</x:v>
      </x:c>
      <x:c r="F86" s="81"/>
      <x:c r="G86" s="81"/>
      <x:c r="H86" s="81"/>
      <x:c r="I86" s="81"/>
      <x:c r="J86" s="81"/>
      <x:c r="K86" s="81"/>
      <x:c r="L86" s="81"/>
      <x:c r="M86" s="81"/>
      <x:c r="N86" s="81"/>
      <x:c r="O86" s="81"/>
      <x:c r="P86" s="81"/>
      <x:c r="Q86" s="81"/>
      <x:c r="R86" s="81"/>
      <x:c r="S86" s="81"/>
      <x:c r="T86" s="81"/>
      <x:c r="U86" s="81"/>
      <x:c r="V86" s="81"/>
      <x:c r="W86" s="81"/>
      <x:c r="X86" s="81"/>
      <x:c r="Y86" s="81"/>
      <x:c r="Z86" s="81"/>
    </x:row>
    <x:row r="87">
      <x:c r="A87" s="81" t="str">
        <x:v>2026-03-31</x:v>
      </x:c>
      <x:c r="B87" s="81" t="str">
        <x:v>DCBF</x:v>
      </x:c>
      <x:c r="C87" s="81" t="n">
        <x:v>-244.1</x:v>
      </x:c>
      <x:c r="D87" s="81" t="str">
        <x:v>S004</x:v>
      </x:c>
      <x:c r="E87" s="81" t="str">
        <x:v>Assumption</x:v>
      </x:c>
      <x:c r="F87" s="81"/>
      <x:c r="G87" s="81"/>
      <x:c r="H87" s="81"/>
      <x:c r="I87" s="81"/>
      <x:c r="J87" s="81"/>
      <x:c r="K87" s="81"/>
      <x:c r="L87" s="81"/>
      <x:c r="M87" s="81"/>
      <x:c r="N87" s="81"/>
      <x:c r="O87" s="81"/>
      <x:c r="P87" s="81"/>
      <x:c r="Q87" s="81"/>
      <x:c r="R87" s="81"/>
      <x:c r="S87" s="81"/>
      <x:c r="T87" s="81"/>
      <x:c r="U87" s="81"/>
      <x:c r="V87" s="81"/>
      <x:c r="W87" s="81"/>
      <x:c r="X87" s="81"/>
      <x:c r="Y87" s="81"/>
      <x:c r="Z87" s="81"/>
    </x:row>
    <x:row r="88">
      <x:c r="A88" s="81" t="str">
        <x:v>2026-03-31</x:v>
      </x:c>
      <x:c r="B88" s="81" t="str">
        <x:v>DCDE</x:v>
      </x:c>
      <x:c r="C88" s="81" t="n">
        <x:v>297.9</x:v>
      </x:c>
      <x:c r="D88" s="81" t="str">
        <x:v>S004</x:v>
      </x:c>
      <x:c r="E88" s="81" t="str">
        <x:v>Assumption</x:v>
      </x:c>
      <x:c r="F88" s="81"/>
      <x:c r="G88" s="81"/>
      <x:c r="H88" s="81"/>
      <x:c r="I88" s="81"/>
      <x:c r="J88" s="81"/>
      <x:c r="K88" s="81"/>
      <x:c r="L88" s="81"/>
      <x:c r="M88" s="81"/>
      <x:c r="N88" s="81"/>
      <x:c r="O88" s="81"/>
      <x:c r="P88" s="81"/>
      <x:c r="Q88" s="81"/>
      <x:c r="R88" s="81"/>
      <x:c r="S88" s="81"/>
      <x:c r="T88" s="81"/>
      <x:c r="U88" s="81"/>
      <x:c r="V88" s="81"/>
      <x:c r="W88" s="81"/>
      <x:c r="X88" s="81"/>
      <x:c r="Y88" s="81"/>
      <x:c r="Z88" s="81"/>
    </x:row>
    <x:row r="89">
      <x:c r="A89" s="81" t="str">
        <x:v>2026-03-31</x:v>
      </x:c>
      <x:c r="B89" s="81" t="str">
        <x:v>E1VFVN30</x:v>
      </x:c>
      <x:c r="C89" s="81" t="n">
        <x:v>-61.2</x:v>
      </x:c>
      <x:c r="D89" s="81" t="str">
        <x:v>S004</x:v>
      </x:c>
      <x:c r="E89" s="81" t="str">
        <x:v>Assumption</x:v>
      </x:c>
      <x:c r="F89" s="81"/>
      <x:c r="G89" s="81"/>
      <x:c r="H89" s="81"/>
      <x:c r="I89" s="81"/>
      <x:c r="J89" s="81"/>
      <x:c r="K89" s="81"/>
      <x:c r="L89" s="81"/>
      <x:c r="M89" s="81"/>
      <x:c r="N89" s="81"/>
      <x:c r="O89" s="81"/>
      <x:c r="P89" s="81"/>
      <x:c r="Q89" s="81"/>
      <x:c r="R89" s="81"/>
      <x:c r="S89" s="81"/>
      <x:c r="T89" s="81"/>
      <x:c r="U89" s="81"/>
      <x:c r="V89" s="81"/>
      <x:c r="W89" s="81"/>
      <x:c r="X89" s="81"/>
      <x:c r="Y89" s="81"/>
      <x:c r="Z89" s="81"/>
    </x:row>
    <x:row r="90">
      <x:c r="A90" s="81" t="str">
        <x:v>2026-03-31</x:v>
      </x:c>
      <x:c r="B90" s="81" t="str">
        <x:v>FUEVFVND</x:v>
      </x:c>
      <x:c r="C90" s="81" t="n">
        <x:v>-386</x:v>
      </x:c>
      <x:c r="D90" s="81" t="str">
        <x:v>S004</x:v>
      </x:c>
      <x:c r="E90" s="81" t="str">
        <x:v>Assumption</x:v>
      </x:c>
      <x:c r="F90" s="81"/>
      <x:c r="G90" s="81"/>
      <x:c r="H90" s="81"/>
      <x:c r="I90" s="81"/>
      <x:c r="J90" s="81"/>
      <x:c r="K90" s="81"/>
      <x:c r="L90" s="81"/>
      <x:c r="M90" s="81"/>
      <x:c r="N90" s="81"/>
      <x:c r="O90" s="81"/>
      <x:c r="P90" s="81"/>
      <x:c r="Q90" s="81"/>
      <x:c r="R90" s="81"/>
      <x:c r="S90" s="81"/>
      <x:c r="T90" s="81"/>
      <x:c r="U90" s="81"/>
      <x:c r="V90" s="81"/>
      <x:c r="W90" s="81"/>
      <x:c r="X90" s="81"/>
      <x:c r="Y90" s="81"/>
      <x:c r="Z90" s="81"/>
    </x:row>
    <x:row r="91">
      <x:c r="A91" s="81" t="str">
        <x:v>2026-03-31</x:v>
      </x:c>
      <x:c r="B91" s="81" t="str">
        <x:v>VEF_LOCAL</x:v>
      </x:c>
      <x:c r="C91" s="81" t="n">
        <x:v>104.3</x:v>
      </x:c>
      <x:c r="D91" s="81" t="str">
        <x:v>S004</x:v>
      </x:c>
      <x:c r="E91" s="81" t="str">
        <x:v>Assumption</x:v>
      </x:c>
      <x:c r="F91" s="81"/>
      <x:c r="G91" s="81"/>
      <x:c r="H91" s="81"/>
      <x:c r="I91" s="81"/>
      <x:c r="J91" s="81"/>
      <x:c r="K91" s="81"/>
      <x:c r="L91" s="81"/>
      <x:c r="M91" s="81"/>
      <x:c r="N91" s="81"/>
      <x:c r="O91" s="81"/>
      <x:c r="P91" s="81"/>
      <x:c r="Q91" s="81"/>
      <x:c r="R91" s="81"/>
      <x:c r="S91" s="81"/>
      <x:c r="T91" s="81"/>
      <x:c r="U91" s="81"/>
      <x:c r="V91" s="81"/>
      <x:c r="W91" s="81"/>
      <x:c r="X91" s="81"/>
      <x:c r="Y91" s="81"/>
      <x:c r="Z91" s="81"/>
    </x:row>
    <x:row r="92">
      <x:c r="A92" s="81" t="str">
        <x:v>2026-04-30</x:v>
      </x:c>
      <x:c r="B92" s="81" t="str">
        <x:v>DCDS</x:v>
      </x:c>
      <x:c r="C92" s="81" t="n">
        <x:v>-600.3</x:v>
      </x:c>
      <x:c r="D92" s="81" t="str">
        <x:v>S004</x:v>
      </x:c>
      <x:c r="E92" s="81" t="str">
        <x:v>Assumption</x:v>
      </x:c>
      <x:c r="F92" s="81"/>
      <x:c r="G92" s="81"/>
      <x:c r="H92" s="81"/>
      <x:c r="I92" s="81"/>
      <x:c r="J92" s="81"/>
      <x:c r="K92" s="81"/>
      <x:c r="L92" s="81"/>
      <x:c r="M92" s="81"/>
      <x:c r="N92" s="81"/>
      <x:c r="O92" s="81"/>
      <x:c r="P92" s="81"/>
      <x:c r="Q92" s="81"/>
      <x:c r="R92" s="81"/>
      <x:c r="S92" s="81"/>
      <x:c r="T92" s="81"/>
      <x:c r="U92" s="81"/>
      <x:c r="V92" s="81"/>
      <x:c r="W92" s="81"/>
      <x:c r="X92" s="81"/>
      <x:c r="Y92" s="81"/>
      <x:c r="Z92" s="81"/>
    </x:row>
    <x:row r="93">
      <x:c r="A93" s="81" t="str">
        <x:v>2026-04-30</x:v>
      </x:c>
      <x:c r="B93" s="81" t="str">
        <x:v>DCBF</x:v>
      </x:c>
      <x:c r="C93" s="81" t="n">
        <x:v>136.6</x:v>
      </x:c>
      <x:c r="D93" s="81" t="str">
        <x:v>S004</x:v>
      </x:c>
      <x:c r="E93" s="81" t="str">
        <x:v>Assumption</x:v>
      </x:c>
      <x:c r="F93" s="81"/>
      <x:c r="G93" s="81"/>
      <x:c r="H93" s="81"/>
      <x:c r="I93" s="81"/>
      <x:c r="J93" s="81"/>
      <x:c r="K93" s="81"/>
      <x:c r="L93" s="81"/>
      <x:c r="M93" s="81"/>
      <x:c r="N93" s="81"/>
      <x:c r="O93" s="81"/>
      <x:c r="P93" s="81"/>
      <x:c r="Q93" s="81"/>
      <x:c r="R93" s="81"/>
      <x:c r="S93" s="81"/>
      <x:c r="T93" s="81"/>
      <x:c r="U93" s="81"/>
      <x:c r="V93" s="81"/>
      <x:c r="W93" s="81"/>
      <x:c r="X93" s="81"/>
      <x:c r="Y93" s="81"/>
      <x:c r="Z93" s="81"/>
    </x:row>
    <x:row r="94">
      <x:c r="A94" s="81" t="str">
        <x:v>2026-04-30</x:v>
      </x:c>
      <x:c r="B94" s="81" t="str">
        <x:v>DCDE</x:v>
      </x:c>
      <x:c r="C94" s="81" t="n">
        <x:v>-177</x:v>
      </x:c>
      <x:c r="D94" s="81" t="str">
        <x:v>S004</x:v>
      </x:c>
      <x:c r="E94" s="81" t="str">
        <x:v>Assumption</x:v>
      </x:c>
      <x:c r="F94" s="81"/>
      <x:c r="G94" s="81"/>
      <x:c r="H94" s="81"/>
      <x:c r="I94" s="81"/>
      <x:c r="J94" s="81"/>
      <x:c r="K94" s="81"/>
      <x:c r="L94" s="81"/>
      <x:c r="M94" s="81"/>
      <x:c r="N94" s="81"/>
      <x:c r="O94" s="81"/>
      <x:c r="P94" s="81"/>
      <x:c r="Q94" s="81"/>
      <x:c r="R94" s="81"/>
      <x:c r="S94" s="81"/>
      <x:c r="T94" s="81"/>
      <x:c r="U94" s="81"/>
      <x:c r="V94" s="81"/>
      <x:c r="W94" s="81"/>
      <x:c r="X94" s="81"/>
      <x:c r="Y94" s="81"/>
      <x:c r="Z94" s="81"/>
    </x:row>
    <x:row r="95">
      <x:c r="A95" s="81" t="str">
        <x:v>2026-04-30</x:v>
      </x:c>
      <x:c r="B95" s="81" t="str">
        <x:v>E1VFVN30</x:v>
      </x:c>
      <x:c r="C95" s="81" t="n">
        <x:v>-199.9</x:v>
      </x:c>
      <x:c r="D95" s="81" t="str">
        <x:v>S004</x:v>
      </x:c>
      <x:c r="E95" s="81" t="str">
        <x:v>Assumption</x:v>
      </x:c>
      <x:c r="F95" s="81"/>
      <x:c r="G95" s="81"/>
      <x:c r="H95" s="81"/>
      <x:c r="I95" s="81"/>
      <x:c r="J95" s="81"/>
      <x:c r="K95" s="81"/>
      <x:c r="L95" s="81"/>
      <x:c r="M95" s="81"/>
      <x:c r="N95" s="81"/>
      <x:c r="O95" s="81"/>
      <x:c r="P95" s="81"/>
      <x:c r="Q95" s="81"/>
      <x:c r="R95" s="81"/>
      <x:c r="S95" s="81"/>
      <x:c r="T95" s="81"/>
      <x:c r="U95" s="81"/>
      <x:c r="V95" s="81"/>
      <x:c r="W95" s="81"/>
      <x:c r="X95" s="81"/>
      <x:c r="Y95" s="81"/>
      <x:c r="Z95" s="81"/>
    </x:row>
    <x:row r="96">
      <x:c r="A96" s="81" t="str">
        <x:v>2026-04-30</x:v>
      </x:c>
      <x:c r="B96" s="81" t="str">
        <x:v>FUEVFVND</x:v>
      </x:c>
      <x:c r="C96" s="81" t="n">
        <x:v>3.7</x:v>
      </x:c>
      <x:c r="D96" s="81" t="str">
        <x:v>S004</x:v>
      </x:c>
      <x:c r="E96" s="81" t="str">
        <x:v>Assumption</x:v>
      </x:c>
      <x:c r="F96" s="81"/>
      <x:c r="G96" s="81"/>
      <x:c r="H96" s="81"/>
      <x:c r="I96" s="81"/>
      <x:c r="J96" s="81"/>
      <x:c r="K96" s="81"/>
      <x:c r="L96" s="81"/>
      <x:c r="M96" s="81"/>
      <x:c r="N96" s="81"/>
      <x:c r="O96" s="81"/>
      <x:c r="P96" s="81"/>
      <x:c r="Q96" s="81"/>
      <x:c r="R96" s="81"/>
      <x:c r="S96" s="81"/>
      <x:c r="T96" s="81"/>
      <x:c r="U96" s="81"/>
      <x:c r="V96" s="81"/>
      <x:c r="W96" s="81"/>
      <x:c r="X96" s="81"/>
      <x:c r="Y96" s="81"/>
      <x:c r="Z96" s="81"/>
    </x:row>
    <x:row r="97">
      <x:c r="A97" s="81" t="str">
        <x:v>2026-04-30</x:v>
      </x:c>
      <x:c r="B97" s="81" t="str">
        <x:v>VEF_LOCAL</x:v>
      </x:c>
      <x:c r="C97" s="81" t="n">
        <x:v>261.3</x:v>
      </x:c>
      <x:c r="D97" s="81" t="str">
        <x:v>S004</x:v>
      </x:c>
      <x:c r="E97" s="81" t="str">
        <x:v>Assumption</x:v>
      </x:c>
      <x:c r="F97" s="81"/>
      <x:c r="G97" s="81"/>
      <x:c r="H97" s="81"/>
      <x:c r="I97" s="81"/>
      <x:c r="J97" s="81"/>
      <x:c r="K97" s="81"/>
      <x:c r="L97" s="81"/>
      <x:c r="M97" s="81"/>
      <x:c r="N97" s="81"/>
      <x:c r="O97" s="81"/>
      <x:c r="P97" s="81"/>
      <x:c r="Q97" s="81"/>
      <x:c r="R97" s="81"/>
      <x:c r="S97" s="81"/>
      <x:c r="T97" s="81"/>
      <x:c r="U97" s="81"/>
      <x:c r="V97" s="81"/>
      <x:c r="W97" s="81"/>
      <x:c r="X97" s="81"/>
      <x:c r="Y97" s="81"/>
      <x:c r="Z97" s="81"/>
    </x:row>
    <x:row r="98">
      <x:c r="A98" s="81" t="str">
        <x:v>2026-05-31</x:v>
      </x:c>
      <x:c r="B98" s="81" t="str">
        <x:v>DCDS</x:v>
      </x:c>
      <x:c r="C98" s="81" t="n">
        <x:v>-236.2</x:v>
      </x:c>
      <x:c r="D98" s="81" t="str">
        <x:v>S004</x:v>
      </x:c>
      <x:c r="E98" s="81" t="str">
        <x:v>Assumption</x:v>
      </x:c>
      <x:c r="F98" s="81"/>
      <x:c r="G98" s="81"/>
      <x:c r="H98" s="81"/>
      <x:c r="I98" s="81"/>
      <x:c r="J98" s="81"/>
      <x:c r="K98" s="81"/>
      <x:c r="L98" s="81"/>
      <x:c r="M98" s="81"/>
      <x:c r="N98" s="81"/>
      <x:c r="O98" s="81"/>
      <x:c r="P98" s="81"/>
      <x:c r="Q98" s="81"/>
      <x:c r="R98" s="81"/>
      <x:c r="S98" s="81"/>
      <x:c r="T98" s="81"/>
      <x:c r="U98" s="81"/>
      <x:c r="V98" s="81"/>
      <x:c r="W98" s="81"/>
      <x:c r="X98" s="81"/>
      <x:c r="Y98" s="81"/>
      <x:c r="Z98" s="81"/>
    </x:row>
    <x:row r="99">
      <x:c r="A99" s="81" t="str">
        <x:v>2026-05-31</x:v>
      </x:c>
      <x:c r="B99" s="81" t="str">
        <x:v>DCBF</x:v>
      </x:c>
      <x:c r="C99" s="81" t="n">
        <x:v>124.6</x:v>
      </x:c>
      <x:c r="D99" s="81" t="str">
        <x:v>S004</x:v>
      </x:c>
      <x:c r="E99" s="81" t="str">
        <x:v>Assumption</x:v>
      </x:c>
      <x:c r="F99" s="81"/>
      <x:c r="G99" s="81"/>
      <x:c r="H99" s="81"/>
      <x:c r="I99" s="81"/>
      <x:c r="J99" s="81"/>
      <x:c r="K99" s="81"/>
      <x:c r="L99" s="81"/>
      <x:c r="M99" s="81"/>
      <x:c r="N99" s="81"/>
      <x:c r="O99" s="81"/>
      <x:c r="P99" s="81"/>
      <x:c r="Q99" s="81"/>
      <x:c r="R99" s="81"/>
      <x:c r="S99" s="81"/>
      <x:c r="T99" s="81"/>
      <x:c r="U99" s="81"/>
      <x:c r="V99" s="81"/>
      <x:c r="W99" s="81"/>
      <x:c r="X99" s="81"/>
      <x:c r="Y99" s="81"/>
      <x:c r="Z99" s="81"/>
    </x:row>
    <x:row r="100">
      <x:c r="A100" s="81" t="str">
        <x:v>2026-05-31</x:v>
      </x:c>
      <x:c r="B100" s="81" t="str">
        <x:v>DCDE</x:v>
      </x:c>
      <x:c r="C100" s="81" t="n">
        <x:v>56.3</x:v>
      </x:c>
      <x:c r="D100" s="81" t="str">
        <x:v>S004</x:v>
      </x:c>
      <x:c r="E100" s="81" t="str">
        <x:v>Assumption</x:v>
      </x:c>
      <x:c r="F100" s="81"/>
      <x:c r="G100" s="81"/>
      <x:c r="H100" s="81"/>
      <x:c r="I100" s="81"/>
      <x:c r="J100" s="81"/>
      <x:c r="K100" s="81"/>
      <x:c r="L100" s="81"/>
      <x:c r="M100" s="81"/>
      <x:c r="N100" s="81"/>
      <x:c r="O100" s="81"/>
      <x:c r="P100" s="81"/>
      <x:c r="Q100" s="81"/>
      <x:c r="R100" s="81"/>
      <x:c r="S100" s="81"/>
      <x:c r="T100" s="81"/>
      <x:c r="U100" s="81"/>
      <x:c r="V100" s="81"/>
      <x:c r="W100" s="81"/>
      <x:c r="X100" s="81"/>
      <x:c r="Y100" s="81"/>
      <x:c r="Z100" s="81"/>
    </x:row>
    <x:row r="101">
      <x:c r="A101" s="81" t="str">
        <x:v>2026-05-31</x:v>
      </x:c>
      <x:c r="B101" s="81" t="str">
        <x:v>E1VFVN30</x:v>
      </x:c>
      <x:c r="C101" s="81" t="n">
        <x:v>-266.5</x:v>
      </x:c>
      <x:c r="D101" s="81" t="str">
        <x:v>S004</x:v>
      </x:c>
      <x:c r="E101" s="81" t="str">
        <x:v>Assumption</x:v>
      </x:c>
      <x:c r="F101" s="81"/>
      <x:c r="G101" s="81"/>
      <x:c r="H101" s="81"/>
      <x:c r="I101" s="81"/>
      <x:c r="J101" s="81"/>
      <x:c r="K101" s="81"/>
      <x:c r="L101" s="81"/>
      <x:c r="M101" s="81"/>
      <x:c r="N101" s="81"/>
      <x:c r="O101" s="81"/>
      <x:c r="P101" s="81"/>
      <x:c r="Q101" s="81"/>
      <x:c r="R101" s="81"/>
      <x:c r="S101" s="81"/>
      <x:c r="T101" s="81"/>
      <x:c r="U101" s="81"/>
      <x:c r="V101" s="81"/>
      <x:c r="W101" s="81"/>
      <x:c r="X101" s="81"/>
      <x:c r="Y101" s="81"/>
      <x:c r="Z101" s="81"/>
    </x:row>
    <x:row r="102">
      <x:c r="A102" s="81" t="str">
        <x:v>2026-05-31</x:v>
      </x:c>
      <x:c r="B102" s="81" t="str">
        <x:v>FUEVFVND</x:v>
      </x:c>
      <x:c r="C102" s="81" t="n">
        <x:v>437.5</x:v>
      </x:c>
      <x:c r="D102" s="81" t="str">
        <x:v>S004</x:v>
      </x:c>
      <x:c r="E102" s="81" t="str">
        <x:v>Assumption</x:v>
      </x:c>
      <x:c r="F102" s="81"/>
      <x:c r="G102" s="81"/>
      <x:c r="H102" s="81"/>
      <x:c r="I102" s="81"/>
      <x:c r="J102" s="81"/>
      <x:c r="K102" s="81"/>
      <x:c r="L102" s="81"/>
      <x:c r="M102" s="81"/>
      <x:c r="N102" s="81"/>
      <x:c r="O102" s="81"/>
      <x:c r="P102" s="81"/>
      <x:c r="Q102" s="81"/>
      <x:c r="R102" s="81"/>
      <x:c r="S102" s="81"/>
      <x:c r="T102" s="81"/>
      <x:c r="U102" s="81"/>
      <x:c r="V102" s="81"/>
      <x:c r="W102" s="81"/>
      <x:c r="X102" s="81"/>
      <x:c r="Y102" s="81"/>
      <x:c r="Z102" s="81"/>
    </x:row>
    <x:row r="103">
      <x:c r="A103" s="81" t="str">
        <x:v>2026-05-31</x:v>
      </x:c>
      <x:c r="B103" s="81" t="str">
        <x:v>VEF_LOCAL</x:v>
      </x:c>
      <x:c r="C103" s="81" t="n">
        <x:v>-91.4</x:v>
      </x:c>
      <x:c r="D103" s="81" t="str">
        <x:v>S004</x:v>
      </x:c>
      <x:c r="E103" s="81" t="str">
        <x:v>Assumption</x:v>
      </x:c>
      <x:c r="F103" s="81"/>
      <x:c r="G103" s="81"/>
      <x:c r="H103" s="81"/>
      <x:c r="I103" s="81"/>
      <x:c r="J103" s="81"/>
      <x:c r="K103" s="81"/>
      <x:c r="L103" s="81"/>
      <x:c r="M103" s="81"/>
      <x:c r="N103" s="81"/>
      <x:c r="O103" s="81"/>
      <x:c r="P103" s="81"/>
      <x:c r="Q103" s="81"/>
      <x:c r="R103" s="81"/>
      <x:c r="S103" s="81"/>
      <x:c r="T103" s="81"/>
      <x:c r="U103" s="81"/>
      <x:c r="V103" s="81"/>
      <x:c r="W103" s="81"/>
      <x:c r="X103" s="81"/>
      <x:c r="Y103" s="81"/>
      <x:c r="Z103" s="81"/>
    </x:row>
    <x:row r="104">
      <x:c r="A104" s="81" t="str">
        <x:v>2026-06-30</x:v>
      </x:c>
      <x:c r="B104" s="81" t="str">
        <x:v>DCDS</x:v>
      </x:c>
      <x:c r="C104" s="81" t="n">
        <x:v>580.5</x:v>
      </x:c>
      <x:c r="D104" s="81" t="str">
        <x:v>S004</x:v>
      </x:c>
      <x:c r="E104" s="81" t="str">
        <x:v>Assumption</x:v>
      </x:c>
      <x:c r="F104" s="81"/>
      <x:c r="G104" s="81"/>
      <x:c r="H104" s="81"/>
      <x:c r="I104" s="81"/>
      <x:c r="J104" s="81"/>
      <x:c r="K104" s="81"/>
      <x:c r="L104" s="81"/>
      <x:c r="M104" s="81"/>
      <x:c r="N104" s="81"/>
      <x:c r="O104" s="81"/>
      <x:c r="P104" s="81"/>
      <x:c r="Q104" s="81"/>
      <x:c r="R104" s="81"/>
      <x:c r="S104" s="81"/>
      <x:c r="T104" s="81"/>
      <x:c r="U104" s="81"/>
      <x:c r="V104" s="81"/>
      <x:c r="W104" s="81"/>
      <x:c r="X104" s="81"/>
      <x:c r="Y104" s="81"/>
      <x:c r="Z104" s="81"/>
    </x:row>
    <x:row r="105">
      <x:c r="A105" s="81" t="str">
        <x:v>2026-06-30</x:v>
      </x:c>
      <x:c r="B105" s="81" t="str">
        <x:v>DCBF</x:v>
      </x:c>
      <x:c r="C105" s="81" t="n">
        <x:v>-132.1</x:v>
      </x:c>
      <x:c r="D105" s="81" t="str">
        <x:v>S004</x:v>
      </x:c>
      <x:c r="E105" s="81" t="str">
        <x:v>Assumption</x:v>
      </x:c>
      <x:c r="F105" s="81"/>
      <x:c r="G105" s="81"/>
      <x:c r="H105" s="81"/>
      <x:c r="I105" s="81"/>
      <x:c r="J105" s="81"/>
      <x:c r="K105" s="81"/>
      <x:c r="L105" s="81"/>
      <x:c r="M105" s="81"/>
      <x:c r="N105" s="81"/>
      <x:c r="O105" s="81"/>
      <x:c r="P105" s="81"/>
      <x:c r="Q105" s="81"/>
      <x:c r="R105" s="81"/>
      <x:c r="S105" s="81"/>
      <x:c r="T105" s="81"/>
      <x:c r="U105" s="81"/>
      <x:c r="V105" s="81"/>
      <x:c r="W105" s="81"/>
      <x:c r="X105" s="81"/>
      <x:c r="Y105" s="81"/>
      <x:c r="Z105" s="81"/>
    </x:row>
    <x:row r="106">
      <x:c r="A106" s="81" t="str">
        <x:v>2026-06-30</x:v>
      </x:c>
      <x:c r="B106" s="81" t="str">
        <x:v>DCDE</x:v>
      </x:c>
      <x:c r="C106" s="81" t="n">
        <x:v>245.3</x:v>
      </x:c>
      <x:c r="D106" s="81" t="str">
        <x:v>S004</x:v>
      </x:c>
      <x:c r="E106" s="81" t="str">
        <x:v>Assumption</x:v>
      </x:c>
      <x:c r="F106" s="81"/>
      <x:c r="G106" s="81"/>
      <x:c r="H106" s="81"/>
      <x:c r="I106" s="81"/>
      <x:c r="J106" s="81"/>
      <x:c r="K106" s="81"/>
      <x:c r="L106" s="81"/>
      <x:c r="M106" s="81"/>
      <x:c r="N106" s="81"/>
      <x:c r="O106" s="81"/>
      <x:c r="P106" s="81"/>
      <x:c r="Q106" s="81"/>
      <x:c r="R106" s="81"/>
      <x:c r="S106" s="81"/>
      <x:c r="T106" s="81"/>
      <x:c r="U106" s="81"/>
      <x:c r="V106" s="81"/>
      <x:c r="W106" s="81"/>
      <x:c r="X106" s="81"/>
      <x:c r="Y106" s="81"/>
      <x:c r="Z106" s="81"/>
    </x:row>
    <x:row r="107">
      <x:c r="A107" s="81" t="str">
        <x:v>2026-06-30</x:v>
      </x:c>
      <x:c r="B107" s="81" t="str">
        <x:v>E1VFVN30</x:v>
      </x:c>
      <x:c r="C107" s="81" t="n">
        <x:v>-178.6</x:v>
      </x:c>
      <x:c r="D107" s="81" t="str">
        <x:v>S004</x:v>
      </x:c>
      <x:c r="E107" s="81" t="str">
        <x:v>Assumption</x:v>
      </x:c>
      <x:c r="F107" s="81"/>
      <x:c r="G107" s="81"/>
      <x:c r="H107" s="81"/>
      <x:c r="I107" s="81"/>
      <x:c r="J107" s="81"/>
      <x:c r="K107" s="81"/>
      <x:c r="L107" s="81"/>
      <x:c r="M107" s="81"/>
      <x:c r="N107" s="81"/>
      <x:c r="O107" s="81"/>
      <x:c r="P107" s="81"/>
      <x:c r="Q107" s="81"/>
      <x:c r="R107" s="81"/>
      <x:c r="S107" s="81"/>
      <x:c r="T107" s="81"/>
      <x:c r="U107" s="81"/>
      <x:c r="V107" s="81"/>
      <x:c r="W107" s="81"/>
      <x:c r="X107" s="81"/>
      <x:c r="Y107" s="81"/>
      <x:c r="Z107" s="81"/>
    </x:row>
    <x:row r="108">
      <x:c r="A108" s="81" t="str">
        <x:v>2026-06-30</x:v>
      </x:c>
      <x:c r="B108" s="81" t="str">
        <x:v>FUEVFVND</x:v>
      </x:c>
      <x:c r="C108" s="81" t="n">
        <x:v>600.1</x:v>
      </x:c>
      <x:c r="D108" s="81" t="str">
        <x:v>S004</x:v>
      </x:c>
      <x:c r="E108" s="81" t="str">
        <x:v>Assumption</x:v>
      </x:c>
      <x:c r="F108" s="81"/>
      <x:c r="G108" s="81"/>
      <x:c r="H108" s="81"/>
      <x:c r="I108" s="81"/>
      <x:c r="J108" s="81"/>
      <x:c r="K108" s="81"/>
      <x:c r="L108" s="81"/>
      <x:c r="M108" s="81"/>
      <x:c r="N108" s="81"/>
      <x:c r="O108" s="81"/>
      <x:c r="P108" s="81"/>
      <x:c r="Q108" s="81"/>
      <x:c r="R108" s="81"/>
      <x:c r="S108" s="81"/>
      <x:c r="T108" s="81"/>
      <x:c r="U108" s="81"/>
      <x:c r="V108" s="81"/>
      <x:c r="W108" s="81"/>
      <x:c r="X108" s="81"/>
      <x:c r="Y108" s="81"/>
      <x:c r="Z108" s="81"/>
    </x:row>
    <x:row r="109">
      <x:c r="A109" s="81" t="str">
        <x:v>2026-06-30</x:v>
      </x:c>
      <x:c r="B109" s="81" t="str">
        <x:v>VEF_LOCAL</x:v>
      </x:c>
      <x:c r="C109" s="81" t="n">
        <x:v>-79.7</x:v>
      </x:c>
      <x:c r="D109" s="81" t="str">
        <x:v>S004</x:v>
      </x:c>
      <x:c r="E109" s="81" t="str">
        <x:v>Assumption</x:v>
      </x:c>
      <x:c r="F109" s="81"/>
      <x:c r="G109" s="81"/>
      <x:c r="H109" s="81"/>
      <x:c r="I109" s="81"/>
      <x:c r="J109" s="81"/>
      <x:c r="K109" s="81"/>
      <x:c r="L109" s="81"/>
      <x:c r="M109" s="81"/>
      <x:c r="N109" s="81"/>
      <x:c r="O109" s="81"/>
      <x:c r="P109" s="81"/>
      <x:c r="Q109" s="81"/>
      <x:c r="R109" s="81"/>
      <x:c r="S109" s="81"/>
      <x:c r="T109" s="81"/>
      <x:c r="U109" s="81"/>
      <x:c r="V109" s="81"/>
      <x:c r="W109" s="81"/>
      <x:c r="X109" s="81"/>
      <x:c r="Y109" s="81"/>
      <x:c r="Z109" s="81"/>
    </x:row>
    <x:row r="110">
      <x:c r="A110" s="81" t="str">
        <x:v>2026-07-31</x:v>
      </x:c>
      <x:c r="B110" s="81" t="str">
        <x:v>DCDS</x:v>
      </x:c>
      <x:c r="C110" s="81" t="n">
        <x:v>596.9</x:v>
      </x:c>
      <x:c r="D110" s="81" t="str">
        <x:v>S004</x:v>
      </x:c>
      <x:c r="E110" s="81" t="str">
        <x:v>Assumption</x:v>
      </x:c>
      <x:c r="F110" s="81"/>
      <x:c r="G110" s="81"/>
      <x:c r="H110" s="81"/>
      <x:c r="I110" s="81"/>
      <x:c r="J110" s="81"/>
      <x:c r="K110" s="81"/>
      <x:c r="L110" s="81"/>
      <x:c r="M110" s="81"/>
      <x:c r="N110" s="81"/>
      <x:c r="O110" s="81"/>
      <x:c r="P110" s="81"/>
      <x:c r="Q110" s="81"/>
      <x:c r="R110" s="81"/>
      <x:c r="S110" s="81"/>
      <x:c r="T110" s="81"/>
      <x:c r="U110" s="81"/>
      <x:c r="V110" s="81"/>
      <x:c r="W110" s="81"/>
      <x:c r="X110" s="81"/>
      <x:c r="Y110" s="81"/>
      <x:c r="Z110" s="81"/>
    </x:row>
    <x:row r="111">
      <x:c r="A111" s="81" t="str">
        <x:v>2026-07-31</x:v>
      </x:c>
      <x:c r="B111" s="81" t="str">
        <x:v>DCBF</x:v>
      </x:c>
      <x:c r="C111" s="81" t="n">
        <x:v>227.3</x:v>
      </x:c>
      <x:c r="D111" s="81" t="str">
        <x:v>S004</x:v>
      </x:c>
      <x:c r="E111" s="81" t="str">
        <x:v>Assumption</x:v>
      </x:c>
      <x:c r="F111" s="81"/>
      <x:c r="G111" s="81"/>
      <x:c r="H111" s="81"/>
      <x:c r="I111" s="81"/>
      <x:c r="J111" s="81"/>
      <x:c r="K111" s="81"/>
      <x:c r="L111" s="81"/>
      <x:c r="M111" s="81"/>
      <x:c r="N111" s="81"/>
      <x:c r="O111" s="81"/>
      <x:c r="P111" s="81"/>
      <x:c r="Q111" s="81"/>
      <x:c r="R111" s="81"/>
      <x:c r="S111" s="81"/>
      <x:c r="T111" s="81"/>
      <x:c r="U111" s="81"/>
      <x:c r="V111" s="81"/>
      <x:c r="W111" s="81"/>
      <x:c r="X111" s="81"/>
      <x:c r="Y111" s="81"/>
      <x:c r="Z111" s="81"/>
    </x:row>
    <x:row r="112">
      <x:c r="A112" s="81" t="str">
        <x:v>2026-07-31</x:v>
      </x:c>
      <x:c r="B112" s="81" t="str">
        <x:v>DCDE</x:v>
      </x:c>
      <x:c r="C112" s="81" t="n">
        <x:v>236.4</x:v>
      </x:c>
      <x:c r="D112" s="81" t="str">
        <x:v>S004</x:v>
      </x:c>
      <x:c r="E112" s="81" t="str">
        <x:v>Assumption</x:v>
      </x:c>
      <x:c r="F112" s="81"/>
      <x:c r="G112" s="81"/>
      <x:c r="H112" s="81"/>
      <x:c r="I112" s="81"/>
      <x:c r="J112" s="81"/>
      <x:c r="K112" s="81"/>
      <x:c r="L112" s="81"/>
      <x:c r="M112" s="81"/>
      <x:c r="N112" s="81"/>
      <x:c r="O112" s="81"/>
      <x:c r="P112" s="81"/>
      <x:c r="Q112" s="81"/>
      <x:c r="R112" s="81"/>
      <x:c r="S112" s="81"/>
      <x:c r="T112" s="81"/>
      <x:c r="U112" s="81"/>
      <x:c r="V112" s="81"/>
      <x:c r="W112" s="81"/>
      <x:c r="X112" s="81"/>
      <x:c r="Y112" s="81"/>
      <x:c r="Z112" s="81"/>
    </x:row>
    <x:row r="113">
      <x:c r="A113" s="81" t="str">
        <x:v>2026-07-31</x:v>
      </x:c>
      <x:c r="B113" s="81" t="str">
        <x:v>E1VFVN30</x:v>
      </x:c>
      <x:c r="C113" s="81" t="n">
        <x:v>-158.3</x:v>
      </x:c>
      <x:c r="D113" s="81" t="str">
        <x:v>S004</x:v>
      </x:c>
      <x:c r="E113" s="81" t="str">
        <x:v>Assumption</x:v>
      </x:c>
      <x:c r="F113" s="81"/>
      <x:c r="G113" s="81"/>
      <x:c r="H113" s="81"/>
      <x:c r="I113" s="81"/>
      <x:c r="J113" s="81"/>
      <x:c r="K113" s="81"/>
      <x:c r="L113" s="81"/>
      <x:c r="M113" s="81"/>
      <x:c r="N113" s="81"/>
      <x:c r="O113" s="81"/>
      <x:c r="P113" s="81"/>
      <x:c r="Q113" s="81"/>
      <x:c r="R113" s="81"/>
      <x:c r="S113" s="81"/>
      <x:c r="T113" s="81"/>
      <x:c r="U113" s="81"/>
      <x:c r="V113" s="81"/>
      <x:c r="W113" s="81"/>
      <x:c r="X113" s="81"/>
      <x:c r="Y113" s="81"/>
      <x:c r="Z113" s="81"/>
    </x:row>
    <x:row r="114">
      <x:c r="A114" s="81" t="str">
        <x:v>2026-07-31</x:v>
      </x:c>
      <x:c r="B114" s="81" t="str">
        <x:v>FUEVFVND</x:v>
      </x:c>
      <x:c r="C114" s="81" t="n">
        <x:v>-824</x:v>
      </x:c>
      <x:c r="D114" s="81" t="str">
        <x:v>S004</x:v>
      </x:c>
      <x:c r="E114" s="81" t="str">
        <x:v>Assumption</x:v>
      </x:c>
      <x:c r="F114" s="81"/>
      <x:c r="G114" s="81"/>
      <x:c r="H114" s="81"/>
      <x:c r="I114" s="81"/>
      <x:c r="J114" s="81"/>
      <x:c r="K114" s="81"/>
      <x:c r="L114" s="81"/>
      <x:c r="M114" s="81"/>
      <x:c r="N114" s="81"/>
      <x:c r="O114" s="81"/>
      <x:c r="P114" s="81"/>
      <x:c r="Q114" s="81"/>
      <x:c r="R114" s="81"/>
      <x:c r="S114" s="81"/>
      <x:c r="T114" s="81"/>
      <x:c r="U114" s="81"/>
      <x:c r="V114" s="81"/>
      <x:c r="W114" s="81"/>
      <x:c r="X114" s="81"/>
      <x:c r="Y114" s="81"/>
      <x:c r="Z114" s="81"/>
    </x:row>
    <x:row r="115">
      <x:c r="A115" s="81" t="str">
        <x:v>2026-07-31</x:v>
      </x:c>
      <x:c r="B115" s="81" t="str">
        <x:v>VEF_LOCAL</x:v>
      </x:c>
      <x:c r="C115" s="81" t="n">
        <x:v>358.8</x:v>
      </x:c>
      <x:c r="D115" s="81" t="str">
        <x:v>S004</x:v>
      </x:c>
      <x:c r="E115" s="81" t="str">
        <x:v>Assumption</x:v>
      </x:c>
      <x:c r="F115" s="81"/>
      <x:c r="G115" s="81"/>
      <x:c r="H115" s="81"/>
      <x:c r="I115" s="81"/>
      <x:c r="J115" s="81"/>
      <x:c r="K115" s="81"/>
      <x:c r="L115" s="81"/>
      <x:c r="M115" s="81"/>
      <x:c r="N115" s="81"/>
      <x:c r="O115" s="81"/>
      <x:c r="P115" s="81"/>
      <x:c r="Q115" s="81"/>
      <x:c r="R115" s="81"/>
      <x:c r="S115" s="81"/>
      <x:c r="T115" s="81"/>
      <x:c r="U115" s="81"/>
      <x:c r="V115" s="81"/>
      <x:c r="W115" s="81"/>
      <x:c r="X115" s="81"/>
      <x:c r="Y115" s="81"/>
      <x:c r="Z115" s="81"/>
    </x:row>
    <x:row r="116">
      <x:c r="A116" s="81"/>
      <x:c r="B116" s="81"/>
      <x:c r="C116" s="81"/>
      <x:c r="D116" s="81"/>
      <x:c r="E116" s="81"/>
      <x:c r="F116" s="81"/>
      <x:c r="G116" s="81"/>
      <x:c r="H116" s="81"/>
      <x:c r="I116" s="81"/>
      <x:c r="J116" s="81"/>
      <x:c r="K116" s="81"/>
      <x:c r="L116" s="81"/>
      <x:c r="M116" s="81"/>
      <x:c r="N116" s="81"/>
      <x:c r="O116" s="81"/>
      <x:c r="P116" s="81"/>
      <x:c r="Q116" s="81"/>
      <x:c r="R116" s="81"/>
      <x:c r="S116" s="81"/>
      <x:c r="T116" s="81"/>
      <x:c r="U116" s="81"/>
      <x:c r="V116" s="81"/>
      <x:c r="W116" s="81"/>
      <x:c r="X116" s="81"/>
      <x:c r="Y116" s="81"/>
      <x:c r="Z116" s="81"/>
    </x:row>
    <x:row r="117">
      <x:c r="A117" s="81"/>
      <x:c r="B117" s="81"/>
      <x:c r="C117" s="81"/>
      <x:c r="D117" s="81"/>
      <x:c r="E117" s="81"/>
      <x:c r="F117" s="81"/>
      <x:c r="G117" s="81"/>
      <x:c r="H117" s="81"/>
      <x:c r="I117" s="81"/>
      <x:c r="J117" s="81"/>
      <x:c r="K117" s="81"/>
      <x:c r="L117" s="81"/>
      <x:c r="M117" s="81"/>
      <x:c r="N117" s="81"/>
      <x:c r="O117" s="81"/>
      <x:c r="P117" s="81"/>
      <x:c r="Q117" s="81"/>
      <x:c r="R117" s="81"/>
      <x:c r="S117" s="81"/>
      <x:c r="T117" s="81"/>
      <x:c r="U117" s="81"/>
      <x:c r="V117" s="81"/>
      <x:c r="W117" s="81"/>
      <x:c r="X117" s="81"/>
      <x:c r="Y117" s="81"/>
      <x:c r="Z117" s="81"/>
    </x:row>
    <x:row r="118">
      <x:c r="A118" s="81"/>
      <x:c r="B118" s="81"/>
      <x:c r="C118" s="81"/>
      <x:c r="D118" s="81"/>
      <x:c r="E118" s="81"/>
      <x:c r="F118" s="81"/>
      <x:c r="G118" s="81"/>
      <x:c r="H118" s="81"/>
      <x:c r="I118" s="81"/>
      <x:c r="J118" s="81"/>
      <x:c r="K118" s="81"/>
      <x:c r="L118" s="81"/>
      <x:c r="M118" s="81"/>
      <x:c r="N118" s="81"/>
      <x:c r="O118" s="81"/>
      <x:c r="P118" s="81"/>
      <x:c r="Q118" s="81"/>
      <x:c r="R118" s="81"/>
      <x:c r="S118" s="81"/>
      <x:c r="T118" s="81"/>
      <x:c r="U118" s="81"/>
      <x:c r="V118" s="81"/>
      <x:c r="W118" s="81"/>
      <x:c r="X118" s="81"/>
      <x:c r="Y118" s="81"/>
      <x:c r="Z118" s="81"/>
    </x:row>
    <x:row r="119">
      <x:c r="A119" s="81"/>
      <x:c r="B119" s="81"/>
      <x:c r="C119" s="81"/>
      <x:c r="D119" s="81"/>
      <x:c r="E119" s="81"/>
      <x:c r="F119" s="81"/>
      <x:c r="G119" s="81"/>
      <x:c r="H119" s="81"/>
      <x:c r="I119" s="81"/>
      <x:c r="J119" s="81"/>
      <x:c r="K119" s="81"/>
      <x:c r="L119" s="81"/>
      <x:c r="M119" s="81"/>
      <x:c r="N119" s="81"/>
      <x:c r="O119" s="81"/>
      <x:c r="P119" s="81"/>
      <x:c r="Q119" s="81"/>
      <x:c r="R119" s="81"/>
      <x:c r="S119" s="81"/>
      <x:c r="T119" s="81"/>
      <x:c r="U119" s="81"/>
      <x:c r="V119" s="81"/>
      <x:c r="W119" s="81"/>
      <x:c r="X119" s="81"/>
      <x:c r="Y119" s="81"/>
      <x:c r="Z119" s="81"/>
    </x:row>
    <x:row r="120">
      <x:c r="A120" s="81"/>
      <x:c r="B120" s="81"/>
      <x:c r="C120" s="81"/>
      <x:c r="D120" s="81"/>
      <x:c r="E120" s="81"/>
      <x:c r="F120" s="81"/>
      <x:c r="G120" s="81"/>
      <x:c r="H120" s="81"/>
      <x:c r="I120" s="81"/>
      <x:c r="J120" s="81"/>
      <x:c r="K120" s="81"/>
      <x:c r="L120" s="81"/>
      <x:c r="M120" s="81"/>
      <x:c r="N120" s="81"/>
      <x:c r="O120" s="81"/>
      <x:c r="P120" s="81"/>
      <x:c r="Q120" s="81"/>
      <x:c r="R120" s="81"/>
      <x:c r="S120" s="81"/>
      <x:c r="T120" s="81"/>
      <x:c r="U120" s="81"/>
      <x:c r="V120" s="81"/>
      <x:c r="W120" s="81"/>
      <x:c r="X120" s="81"/>
      <x:c r="Y120" s="81"/>
      <x:c r="Z120" s="81"/>
    </x:row>
    <x:row r="121">
      <x:c r="A121" s="81"/>
      <x:c r="B121" s="81"/>
      <x:c r="C121" s="81"/>
      <x:c r="D121" s="81"/>
      <x:c r="E121" s="81"/>
      <x:c r="F121" s="81"/>
      <x:c r="G121" s="81"/>
      <x:c r="H121" s="81"/>
      <x:c r="I121" s="81"/>
      <x:c r="J121" s="81"/>
      <x:c r="K121" s="81"/>
      <x:c r="L121" s="81"/>
      <x:c r="M121" s="81"/>
      <x:c r="N121" s="81"/>
      <x:c r="O121" s="81"/>
      <x:c r="P121" s="81"/>
      <x:c r="Q121" s="81"/>
      <x:c r="R121" s="81"/>
      <x:c r="S121" s="81"/>
      <x:c r="T121" s="81"/>
      <x:c r="U121" s="81"/>
      <x:c r="V121" s="81"/>
      <x:c r="W121" s="81"/>
      <x:c r="X121" s="81"/>
      <x:c r="Y121" s="81"/>
      <x:c r="Z121" s="81"/>
    </x:row>
    <x:row r="122">
      <x:c r="A122" s="81"/>
      <x:c r="B122" s="81"/>
      <x:c r="C122" s="81"/>
      <x:c r="D122" s="81"/>
      <x:c r="E122" s="81"/>
      <x:c r="F122" s="81"/>
      <x:c r="G122" s="81"/>
      <x:c r="H122" s="81"/>
      <x:c r="I122" s="81"/>
      <x:c r="J122" s="81"/>
      <x:c r="K122" s="81"/>
      <x:c r="L122" s="81"/>
      <x:c r="M122" s="81"/>
      <x:c r="N122" s="81"/>
      <x:c r="O122" s="81"/>
      <x:c r="P122" s="81"/>
      <x:c r="Q122" s="81"/>
      <x:c r="R122" s="81"/>
      <x:c r="S122" s="81"/>
      <x:c r="T122" s="81"/>
      <x:c r="U122" s="81"/>
      <x:c r="V122" s="81"/>
      <x:c r="W122" s="81"/>
      <x:c r="X122" s="81"/>
      <x:c r="Y122" s="81"/>
      <x:c r="Z122" s="81"/>
    </x:row>
    <x:row r="123">
      <x:c r="A123" s="81"/>
      <x:c r="B123" s="81"/>
      <x:c r="C123" s="81"/>
      <x:c r="D123" s="81"/>
      <x:c r="E123" s="81"/>
      <x:c r="F123" s="81"/>
      <x:c r="G123" s="81"/>
      <x:c r="H123" s="81"/>
      <x:c r="I123" s="81"/>
      <x:c r="J123" s="81"/>
      <x:c r="K123" s="81"/>
      <x:c r="L123" s="81"/>
      <x:c r="M123" s="81"/>
      <x:c r="N123" s="81"/>
      <x:c r="O123" s="81"/>
      <x:c r="P123" s="81"/>
      <x:c r="Q123" s="81"/>
      <x:c r="R123" s="81"/>
      <x:c r="S123" s="81"/>
      <x:c r="T123" s="81"/>
      <x:c r="U123" s="81"/>
      <x:c r="V123" s="81"/>
      <x:c r="W123" s="81"/>
      <x:c r="X123" s="81"/>
      <x:c r="Y123" s="81"/>
      <x:c r="Z123" s="81"/>
    </x:row>
    <x:row r="124">
      <x:c r="A124" s="81"/>
      <x:c r="B124" s="81"/>
      <x:c r="C124" s="81"/>
      <x:c r="D124" s="81"/>
      <x:c r="E124" s="81"/>
      <x:c r="F124" s="81"/>
      <x:c r="G124" s="81"/>
      <x:c r="H124" s="81"/>
      <x:c r="I124" s="81"/>
      <x:c r="J124" s="81"/>
      <x:c r="K124" s="81"/>
      <x:c r="L124" s="81"/>
      <x:c r="M124" s="81"/>
      <x:c r="N124" s="81"/>
      <x:c r="O124" s="81"/>
      <x:c r="P124" s="81"/>
      <x:c r="Q124" s="81"/>
      <x:c r="R124" s="81"/>
      <x:c r="S124" s="81"/>
      <x:c r="T124" s="81"/>
      <x:c r="U124" s="81"/>
      <x:c r="V124" s="81"/>
      <x:c r="W124" s="81"/>
      <x:c r="X124" s="81"/>
      <x:c r="Y124" s="81"/>
      <x:c r="Z124" s="81"/>
    </x:row>
    <x:row r="125">
      <x:c r="A125" s="81"/>
      <x:c r="B125" s="81"/>
      <x:c r="C125" s="81"/>
      <x:c r="D125" s="81"/>
      <x:c r="E125" s="81"/>
      <x:c r="F125" s="81"/>
      <x:c r="G125" s="81"/>
      <x:c r="H125" s="81"/>
      <x:c r="I125" s="81"/>
      <x:c r="J125" s="81"/>
      <x:c r="K125" s="81"/>
      <x:c r="L125" s="81"/>
      <x:c r="M125" s="81"/>
      <x:c r="N125" s="81"/>
      <x:c r="O125" s="81"/>
      <x:c r="P125" s="81"/>
      <x:c r="Q125" s="81"/>
      <x:c r="R125" s="81"/>
      <x:c r="S125" s="81"/>
      <x:c r="T125" s="81"/>
      <x:c r="U125" s="81"/>
      <x:c r="V125" s="81"/>
      <x:c r="W125" s="81"/>
      <x:c r="X125" s="81"/>
      <x:c r="Y125" s="81"/>
      <x:c r="Z125" s="81"/>
    </x:row>
    <x:row r="126">
      <x:c r="A126" s="81"/>
      <x:c r="B126" s="81"/>
      <x:c r="C126" s="81"/>
      <x:c r="D126" s="81"/>
      <x:c r="E126" s="81"/>
      <x:c r="F126" s="81"/>
      <x:c r="G126" s="81"/>
      <x:c r="H126" s="81"/>
      <x:c r="I126" s="81"/>
      <x:c r="J126" s="81"/>
      <x:c r="K126" s="81"/>
      <x:c r="L126" s="81"/>
      <x:c r="M126" s="81"/>
      <x:c r="N126" s="81"/>
      <x:c r="O126" s="81"/>
      <x:c r="P126" s="81"/>
      <x:c r="Q126" s="81"/>
      <x:c r="R126" s="81"/>
      <x:c r="S126" s="81"/>
      <x:c r="T126" s="81"/>
      <x:c r="U126" s="81"/>
      <x:c r="V126" s="81"/>
      <x:c r="W126" s="81"/>
      <x:c r="X126" s="81"/>
      <x:c r="Y126" s="81"/>
      <x:c r="Z126" s="81"/>
    </x:row>
    <x:row r="127">
      <x:c r="A127" s="81"/>
      <x:c r="B127" s="81"/>
      <x:c r="C127" s="81"/>
      <x:c r="D127" s="81"/>
      <x:c r="E127" s="81"/>
      <x:c r="F127" s="81"/>
      <x:c r="G127" s="81"/>
      <x:c r="H127" s="81"/>
      <x:c r="I127" s="81"/>
      <x:c r="J127" s="81"/>
      <x:c r="K127" s="81"/>
      <x:c r="L127" s="81"/>
      <x:c r="M127" s="81"/>
      <x:c r="N127" s="81"/>
      <x:c r="O127" s="81"/>
      <x:c r="P127" s="81"/>
      <x:c r="Q127" s="81"/>
      <x:c r="R127" s="81"/>
      <x:c r="S127" s="81"/>
      <x:c r="T127" s="81"/>
      <x:c r="U127" s="81"/>
      <x:c r="V127" s="81"/>
      <x:c r="W127" s="81"/>
      <x:c r="X127" s="81"/>
      <x:c r="Y127" s="81"/>
      <x:c r="Z127" s="81"/>
    </x:row>
    <x:row r="128">
      <x:c r="A128" s="81"/>
      <x:c r="B128" s="81"/>
      <x:c r="C128" s="81"/>
      <x:c r="D128" s="81"/>
      <x:c r="E128" s="81"/>
      <x:c r="F128" s="81"/>
      <x:c r="G128" s="81"/>
      <x:c r="H128" s="81"/>
      <x:c r="I128" s="81"/>
      <x:c r="J128" s="81"/>
      <x:c r="K128" s="81"/>
      <x:c r="L128" s="81"/>
      <x:c r="M128" s="81"/>
      <x:c r="N128" s="81"/>
      <x:c r="O128" s="81"/>
      <x:c r="P128" s="81"/>
      <x:c r="Q128" s="81"/>
      <x:c r="R128" s="81"/>
      <x:c r="S128" s="81"/>
      <x:c r="T128" s="81"/>
      <x:c r="U128" s="81"/>
      <x:c r="V128" s="81"/>
      <x:c r="W128" s="81"/>
      <x:c r="X128" s="81"/>
      <x:c r="Y128" s="81"/>
      <x:c r="Z128" s="81"/>
    </x:row>
    <x:row r="129">
      <x:c r="A129" s="81"/>
      <x:c r="B129" s="81"/>
      <x:c r="C129" s="81"/>
      <x:c r="D129" s="81"/>
      <x:c r="E129" s="81"/>
      <x:c r="F129" s="81"/>
      <x:c r="G129" s="81"/>
      <x:c r="H129" s="81"/>
      <x:c r="I129" s="81"/>
      <x:c r="J129" s="81"/>
      <x:c r="K129" s="81"/>
      <x:c r="L129" s="81"/>
      <x:c r="M129" s="81"/>
      <x:c r="N129" s="81"/>
      <x:c r="O129" s="81"/>
      <x:c r="P129" s="81"/>
      <x:c r="Q129" s="81"/>
      <x:c r="R129" s="81"/>
      <x:c r="S129" s="81"/>
      <x:c r="T129" s="81"/>
      <x:c r="U129" s="81"/>
      <x:c r="V129" s="81"/>
      <x:c r="W129" s="81"/>
      <x:c r="X129" s="81"/>
      <x:c r="Y129" s="81"/>
      <x:c r="Z129" s="81"/>
    </x:row>
    <x:row r="130">
      <x:c r="A130" s="81"/>
      <x:c r="B130" s="81"/>
      <x:c r="C130" s="81"/>
      <x:c r="D130" s="81"/>
      <x:c r="E130" s="81"/>
      <x:c r="F130" s="81"/>
      <x:c r="G130" s="81"/>
      <x:c r="H130" s="81"/>
      <x:c r="I130" s="81"/>
      <x:c r="J130" s="81"/>
      <x:c r="K130" s="81"/>
      <x:c r="L130" s="81"/>
      <x:c r="M130" s="81"/>
      <x:c r="N130" s="81"/>
      <x:c r="O130" s="81"/>
      <x:c r="P130" s="81"/>
      <x:c r="Q130" s="81"/>
      <x:c r="R130" s="81"/>
      <x:c r="S130" s="81"/>
      <x:c r="T130" s="81"/>
      <x:c r="U130" s="81"/>
      <x:c r="V130" s="81"/>
      <x:c r="W130" s="81"/>
      <x:c r="X130" s="81"/>
      <x:c r="Y130" s="81"/>
      <x:c r="Z130" s="81"/>
    </x:row>
    <x:row r="131">
      <x:c r="A131" s="81"/>
      <x:c r="B131" s="81"/>
      <x:c r="C131" s="81"/>
      <x:c r="D131" s="81"/>
      <x:c r="E131" s="81"/>
      <x:c r="F131" s="81"/>
      <x:c r="G131" s="81"/>
      <x:c r="H131" s="81"/>
      <x:c r="I131" s="81"/>
      <x:c r="J131" s="81"/>
      <x:c r="K131" s="81"/>
      <x:c r="L131" s="81"/>
      <x:c r="M131" s="81"/>
      <x:c r="N131" s="81"/>
      <x:c r="O131" s="81"/>
      <x:c r="P131" s="81"/>
      <x:c r="Q131" s="81"/>
      <x:c r="R131" s="81"/>
      <x:c r="S131" s="81"/>
      <x:c r="T131" s="81"/>
      <x:c r="U131" s="81"/>
      <x:c r="V131" s="81"/>
      <x:c r="W131" s="81"/>
      <x:c r="X131" s="81"/>
      <x:c r="Y131" s="81"/>
      <x:c r="Z131" s="81"/>
    </x:row>
    <x:row r="132">
      <x:c r="A132" s="81"/>
      <x:c r="B132" s="81"/>
      <x:c r="C132" s="81"/>
      <x:c r="D132" s="81"/>
      <x:c r="E132" s="81"/>
      <x:c r="F132" s="81"/>
      <x:c r="G132" s="81"/>
      <x:c r="H132" s="81"/>
      <x:c r="I132" s="81"/>
      <x:c r="J132" s="81"/>
      <x:c r="K132" s="81"/>
      <x:c r="L132" s="81"/>
      <x:c r="M132" s="81"/>
      <x:c r="N132" s="81"/>
      <x:c r="O132" s="81"/>
      <x:c r="P132" s="81"/>
      <x:c r="Q132" s="81"/>
      <x:c r="R132" s="81"/>
      <x:c r="S132" s="81"/>
      <x:c r="T132" s="81"/>
      <x:c r="U132" s="81"/>
      <x:c r="V132" s="81"/>
      <x:c r="W132" s="81"/>
      <x:c r="X132" s="81"/>
      <x:c r="Y132" s="81"/>
      <x:c r="Z132" s="81"/>
    </x:row>
    <x:row r="133">
      <x:c r="A133" s="81"/>
      <x:c r="B133" s="81"/>
      <x:c r="C133" s="81"/>
      <x:c r="D133" s="81"/>
      <x:c r="E133" s="81"/>
      <x:c r="F133" s="81"/>
      <x:c r="G133" s="81"/>
      <x:c r="H133" s="81"/>
      <x:c r="I133" s="81"/>
      <x:c r="J133" s="81"/>
      <x:c r="K133" s="81"/>
      <x:c r="L133" s="81"/>
      <x:c r="M133" s="81"/>
      <x:c r="N133" s="81"/>
      <x:c r="O133" s="81"/>
      <x:c r="P133" s="81"/>
      <x:c r="Q133" s="81"/>
      <x:c r="R133" s="81"/>
      <x:c r="S133" s="81"/>
      <x:c r="T133" s="81"/>
      <x:c r="U133" s="81"/>
      <x:c r="V133" s="81"/>
      <x:c r="W133" s="81"/>
      <x:c r="X133" s="81"/>
      <x:c r="Y133" s="81"/>
      <x:c r="Z133" s="81"/>
    </x:row>
    <x:row r="134">
      <x:c r="A134" s="81"/>
      <x:c r="B134" s="81"/>
      <x:c r="C134" s="81"/>
      <x:c r="D134" s="81"/>
      <x:c r="E134" s="81"/>
      <x:c r="F134" s="81"/>
      <x:c r="G134" s="81"/>
      <x:c r="H134" s="81"/>
      <x:c r="I134" s="81"/>
      <x:c r="J134" s="81"/>
      <x:c r="K134" s="81"/>
      <x:c r="L134" s="81"/>
      <x:c r="M134" s="81"/>
      <x:c r="N134" s="81"/>
      <x:c r="O134" s="81"/>
      <x:c r="P134" s="81"/>
      <x:c r="Q134" s="81"/>
      <x:c r="R134" s="81"/>
      <x:c r="S134" s="81"/>
      <x:c r="T134" s="81"/>
      <x:c r="U134" s="81"/>
      <x:c r="V134" s="81"/>
      <x:c r="W134" s="81"/>
      <x:c r="X134" s="81"/>
      <x:c r="Y134" s="81"/>
      <x:c r="Z134" s="81"/>
    </x:row>
    <x:row r="135">
      <x:c r="A135" s="81"/>
      <x:c r="B135" s="81"/>
      <x:c r="C135" s="81"/>
      <x:c r="D135" s="81"/>
      <x:c r="E135" s="81"/>
      <x:c r="F135" s="81"/>
      <x:c r="G135" s="81"/>
      <x:c r="H135" s="81"/>
      <x:c r="I135" s="81"/>
      <x:c r="J135" s="81"/>
      <x:c r="K135" s="81"/>
      <x:c r="L135" s="81"/>
      <x:c r="M135" s="81"/>
      <x:c r="N135" s="81"/>
      <x:c r="O135" s="81"/>
      <x:c r="P135" s="81"/>
      <x:c r="Q135" s="81"/>
      <x:c r="R135" s="81"/>
      <x:c r="S135" s="81"/>
      <x:c r="T135" s="81"/>
      <x:c r="U135" s="81"/>
      <x:c r="V135" s="81"/>
      <x:c r="W135" s="81"/>
      <x:c r="X135" s="81"/>
      <x:c r="Y135" s="81"/>
      <x:c r="Z135" s="81"/>
    </x:row>
    <x:row r="136">
      <x:c r="A136" s="81"/>
      <x:c r="B136" s="81"/>
      <x:c r="C136" s="81"/>
      <x:c r="D136" s="81"/>
      <x:c r="E136" s="81"/>
      <x:c r="F136" s="81"/>
      <x:c r="G136" s="81"/>
      <x:c r="H136" s="81"/>
      <x:c r="I136" s="81"/>
      <x:c r="J136" s="81"/>
      <x:c r="K136" s="81"/>
      <x:c r="L136" s="81"/>
      <x:c r="M136" s="81"/>
      <x:c r="N136" s="81"/>
      <x:c r="O136" s="81"/>
      <x:c r="P136" s="81"/>
      <x:c r="Q136" s="81"/>
      <x:c r="R136" s="81"/>
      <x:c r="S136" s="81"/>
      <x:c r="T136" s="81"/>
      <x:c r="U136" s="81"/>
      <x:c r="V136" s="81"/>
      <x:c r="W136" s="81"/>
      <x:c r="X136" s="81"/>
      <x:c r="Y136" s="81"/>
      <x:c r="Z136" s="81"/>
    </x:row>
    <x:row r="137">
      <x:c r="A137" s="81"/>
      <x:c r="B137" s="81"/>
      <x:c r="C137" s="81"/>
      <x:c r="D137" s="81"/>
      <x:c r="E137" s="81"/>
      <x:c r="F137" s="81"/>
      <x:c r="G137" s="81"/>
      <x:c r="H137" s="81"/>
      <x:c r="I137" s="81"/>
      <x:c r="J137" s="81"/>
      <x:c r="K137" s="81"/>
      <x:c r="L137" s="81"/>
      <x:c r="M137" s="81"/>
      <x:c r="N137" s="81"/>
      <x:c r="O137" s="81"/>
      <x:c r="P137" s="81"/>
      <x:c r="Q137" s="81"/>
      <x:c r="R137" s="81"/>
      <x:c r="S137" s="81"/>
      <x:c r="T137" s="81"/>
      <x:c r="U137" s="81"/>
      <x:c r="V137" s="81"/>
      <x:c r="W137" s="81"/>
      <x:c r="X137" s="81"/>
      <x:c r="Y137" s="81"/>
      <x:c r="Z137" s="81"/>
    </x:row>
    <x:row r="138">
      <x:c r="A138" s="81"/>
      <x:c r="B138" s="81"/>
      <x:c r="C138" s="81"/>
      <x:c r="D138" s="81"/>
      <x:c r="E138" s="81"/>
      <x:c r="F138" s="81"/>
      <x:c r="G138" s="81"/>
      <x:c r="H138" s="81"/>
      <x:c r="I138" s="81"/>
      <x:c r="J138" s="81"/>
      <x:c r="K138" s="81"/>
      <x:c r="L138" s="81"/>
      <x:c r="M138" s="81"/>
      <x:c r="N138" s="81"/>
      <x:c r="O138" s="81"/>
      <x:c r="P138" s="81"/>
      <x:c r="Q138" s="81"/>
      <x:c r="R138" s="81"/>
      <x:c r="S138" s="81"/>
      <x:c r="T138" s="81"/>
      <x:c r="U138" s="81"/>
      <x:c r="V138" s="81"/>
      <x:c r="W138" s="81"/>
      <x:c r="X138" s="81"/>
      <x:c r="Y138" s="81"/>
      <x:c r="Z138" s="81"/>
    </x:row>
    <x:row r="139">
      <x:c r="A139" s="81"/>
      <x:c r="B139" s="81"/>
      <x:c r="C139" s="81"/>
      <x:c r="D139" s="81"/>
      <x:c r="E139" s="81"/>
      <x:c r="F139" s="81"/>
      <x:c r="G139" s="81"/>
      <x:c r="H139" s="81"/>
      <x:c r="I139" s="81"/>
      <x:c r="J139" s="81"/>
      <x:c r="K139" s="81"/>
      <x:c r="L139" s="81"/>
      <x:c r="M139" s="81"/>
      <x:c r="N139" s="81"/>
      <x:c r="O139" s="81"/>
      <x:c r="P139" s="81"/>
      <x:c r="Q139" s="81"/>
      <x:c r="R139" s="81"/>
      <x:c r="S139" s="81"/>
      <x:c r="T139" s="81"/>
      <x:c r="U139" s="81"/>
      <x:c r="V139" s="81"/>
      <x:c r="W139" s="81"/>
      <x:c r="X139" s="81"/>
      <x:c r="Y139" s="81"/>
      <x:c r="Z139" s="81"/>
    </x:row>
    <x:row r="140">
      <x:c r="A140" s="81"/>
      <x:c r="B140" s="81"/>
      <x:c r="C140" s="81"/>
      <x:c r="D140" s="81"/>
      <x:c r="E140" s="81"/>
      <x:c r="F140" s="81"/>
      <x:c r="G140" s="81"/>
      <x:c r="H140" s="81"/>
      <x:c r="I140" s="81"/>
      <x:c r="J140" s="81"/>
      <x:c r="K140" s="81"/>
      <x:c r="L140" s="81"/>
      <x:c r="M140" s="81"/>
      <x:c r="N140" s="81"/>
      <x:c r="O140" s="81"/>
      <x:c r="P140" s="81"/>
      <x:c r="Q140" s="81"/>
      <x:c r="R140" s="81"/>
      <x:c r="S140" s="81"/>
      <x:c r="T140" s="81"/>
      <x:c r="U140" s="81"/>
      <x:c r="V140" s="81"/>
      <x:c r="W140" s="81"/>
      <x:c r="X140" s="81"/>
      <x:c r="Y140" s="81"/>
      <x:c r="Z140" s="81"/>
    </x:row>
    <x:row r="141">
      <x:c r="A141" s="81"/>
      <x:c r="B141" s="81"/>
      <x:c r="C141" s="81"/>
      <x:c r="D141" s="81"/>
      <x:c r="E141" s="81"/>
      <x:c r="F141" s="81"/>
      <x:c r="G141" s="81"/>
      <x:c r="H141" s="81"/>
      <x:c r="I141" s="81"/>
      <x:c r="J141" s="81"/>
      <x:c r="K141" s="81"/>
      <x:c r="L141" s="81"/>
      <x:c r="M141" s="81"/>
      <x:c r="N141" s="81"/>
      <x:c r="O141" s="81"/>
      <x:c r="P141" s="81"/>
      <x:c r="Q141" s="81"/>
      <x:c r="R141" s="81"/>
      <x:c r="S141" s="81"/>
      <x:c r="T141" s="81"/>
      <x:c r="U141" s="81"/>
      <x:c r="V141" s="81"/>
      <x:c r="W141" s="81"/>
      <x:c r="X141" s="81"/>
      <x:c r="Y141" s="81"/>
      <x:c r="Z141" s="81"/>
    </x:row>
    <x:row r="142">
      <x:c r="A142" s="81"/>
      <x:c r="B142" s="81"/>
      <x:c r="C142" s="81"/>
      <x:c r="D142" s="81"/>
      <x:c r="E142" s="81"/>
      <x:c r="F142" s="81"/>
      <x:c r="G142" s="81"/>
      <x:c r="H142" s="81"/>
      <x:c r="I142" s="81"/>
      <x:c r="J142" s="81"/>
      <x:c r="K142" s="81"/>
      <x:c r="L142" s="81"/>
      <x:c r="M142" s="81"/>
      <x:c r="N142" s="81"/>
      <x:c r="O142" s="81"/>
      <x:c r="P142" s="81"/>
      <x:c r="Q142" s="81"/>
      <x:c r="R142" s="81"/>
      <x:c r="S142" s="81"/>
      <x:c r="T142" s="81"/>
      <x:c r="U142" s="81"/>
      <x:c r="V142" s="81"/>
      <x:c r="W142" s="81"/>
      <x:c r="X142" s="81"/>
      <x:c r="Y142" s="81"/>
      <x:c r="Z142" s="81"/>
    </x:row>
    <x:row r="143">
      <x:c r="A143" s="81"/>
      <x:c r="B143" s="81"/>
      <x:c r="C143" s="81"/>
      <x:c r="D143" s="81"/>
      <x:c r="E143" s="81"/>
      <x:c r="F143" s="81"/>
      <x:c r="G143" s="81"/>
      <x:c r="H143" s="81"/>
      <x:c r="I143" s="81"/>
      <x:c r="J143" s="81"/>
      <x:c r="K143" s="81"/>
      <x:c r="L143" s="81"/>
      <x:c r="M143" s="81"/>
      <x:c r="N143" s="81"/>
      <x:c r="O143" s="81"/>
      <x:c r="P143" s="81"/>
      <x:c r="Q143" s="81"/>
      <x:c r="R143" s="81"/>
      <x:c r="S143" s="81"/>
      <x:c r="T143" s="81"/>
      <x:c r="U143" s="81"/>
      <x:c r="V143" s="81"/>
      <x:c r="W143" s="81"/>
      <x:c r="X143" s="81"/>
      <x:c r="Y143" s="81"/>
      <x:c r="Z143" s="81"/>
    </x:row>
    <x:row r="144">
      <x:c r="A144" s="81"/>
      <x:c r="B144" s="81"/>
      <x:c r="C144" s="81"/>
      <x:c r="D144" s="81"/>
      <x:c r="E144" s="81"/>
      <x:c r="F144" s="81"/>
      <x:c r="G144" s="81"/>
      <x:c r="H144" s="81"/>
      <x:c r="I144" s="81"/>
      <x:c r="J144" s="81"/>
      <x:c r="K144" s="81"/>
      <x:c r="L144" s="81"/>
      <x:c r="M144" s="81"/>
      <x:c r="N144" s="81"/>
      <x:c r="O144" s="81"/>
      <x:c r="P144" s="81"/>
      <x:c r="Q144" s="81"/>
      <x:c r="R144" s="81"/>
      <x:c r="S144" s="81"/>
      <x:c r="T144" s="81"/>
      <x:c r="U144" s="81"/>
      <x:c r="V144" s="81"/>
      <x:c r="W144" s="81"/>
      <x:c r="X144" s="81"/>
      <x:c r="Y144" s="81"/>
      <x:c r="Z144" s="81"/>
    </x:row>
    <x:row r="145">
      <x:c r="A145" s="81"/>
      <x:c r="B145" s="81"/>
      <x:c r="C145" s="81"/>
      <x:c r="D145" s="81"/>
      <x:c r="E145" s="81"/>
      <x:c r="F145" s="81"/>
      <x:c r="G145" s="81"/>
      <x:c r="H145" s="81"/>
      <x:c r="I145" s="81"/>
      <x:c r="J145" s="81"/>
      <x:c r="K145" s="81"/>
      <x:c r="L145" s="81"/>
      <x:c r="M145" s="81"/>
      <x:c r="N145" s="81"/>
      <x:c r="O145" s="81"/>
      <x:c r="P145" s="81"/>
      <x:c r="Q145" s="81"/>
      <x:c r="R145" s="81"/>
      <x:c r="S145" s="81"/>
      <x:c r="T145" s="81"/>
      <x:c r="U145" s="81"/>
      <x:c r="V145" s="81"/>
      <x:c r="W145" s="81"/>
      <x:c r="X145" s="81"/>
      <x:c r="Y145" s="81"/>
      <x:c r="Z145" s="81"/>
    </x:row>
    <x:row r="146">
      <x:c r="A146" s="81"/>
      <x:c r="B146" s="81"/>
      <x:c r="C146" s="81"/>
      <x:c r="D146" s="81"/>
      <x:c r="E146" s="81"/>
      <x:c r="F146" s="81"/>
      <x:c r="G146" s="81"/>
      <x:c r="H146" s="81"/>
      <x:c r="I146" s="81"/>
      <x:c r="J146" s="81"/>
      <x:c r="K146" s="81"/>
      <x:c r="L146" s="81"/>
      <x:c r="M146" s="81"/>
      <x:c r="N146" s="81"/>
      <x:c r="O146" s="81"/>
      <x:c r="P146" s="81"/>
      <x:c r="Q146" s="81"/>
      <x:c r="R146" s="81"/>
      <x:c r="S146" s="81"/>
      <x:c r="T146" s="81"/>
      <x:c r="U146" s="81"/>
      <x:c r="V146" s="81"/>
      <x:c r="W146" s="81"/>
      <x:c r="X146" s="81"/>
      <x:c r="Y146" s="81"/>
      <x:c r="Z146" s="81"/>
    </x:row>
    <x:row r="147">
      <x:c r="A147" s="81"/>
      <x:c r="B147" s="81"/>
      <x:c r="C147" s="81"/>
      <x:c r="D147" s="81"/>
      <x:c r="E147" s="81"/>
      <x:c r="F147" s="81"/>
      <x:c r="G147" s="81"/>
      <x:c r="H147" s="81"/>
      <x:c r="I147" s="81"/>
      <x:c r="J147" s="81"/>
      <x:c r="K147" s="81"/>
      <x:c r="L147" s="81"/>
      <x:c r="M147" s="81"/>
      <x:c r="N147" s="81"/>
      <x:c r="O147" s="81"/>
      <x:c r="P147" s="81"/>
      <x:c r="Q147" s="81"/>
      <x:c r="R147" s="81"/>
      <x:c r="S147" s="81"/>
      <x:c r="T147" s="81"/>
      <x:c r="U147" s="81"/>
      <x:c r="V147" s="81"/>
      <x:c r="W147" s="81"/>
      <x:c r="X147" s="81"/>
      <x:c r="Y147" s="81"/>
      <x:c r="Z147" s="81"/>
    </x:row>
    <x:row r="148">
      <x:c r="A148" s="81"/>
      <x:c r="B148" s="81"/>
      <x:c r="C148" s="81"/>
      <x:c r="D148" s="81"/>
      <x:c r="E148" s="81"/>
      <x:c r="F148" s="81"/>
      <x:c r="G148" s="81"/>
      <x:c r="H148" s="81"/>
      <x:c r="I148" s="81"/>
      <x:c r="J148" s="81"/>
      <x:c r="K148" s="81"/>
      <x:c r="L148" s="81"/>
      <x:c r="M148" s="81"/>
      <x:c r="N148" s="81"/>
      <x:c r="O148" s="81"/>
      <x:c r="P148" s="81"/>
      <x:c r="Q148" s="81"/>
      <x:c r="R148" s="81"/>
      <x:c r="S148" s="81"/>
      <x:c r="T148" s="81"/>
      <x:c r="U148" s="81"/>
      <x:c r="V148" s="81"/>
      <x:c r="W148" s="81"/>
      <x:c r="X148" s="81"/>
      <x:c r="Y148" s="81"/>
      <x:c r="Z148" s="81"/>
    </x:row>
    <x:row r="149">
      <x:c r="A149" s="81"/>
      <x:c r="B149" s="81"/>
      <x:c r="C149" s="81"/>
      <x:c r="D149" s="81"/>
      <x:c r="E149" s="81"/>
      <x:c r="F149" s="81"/>
      <x:c r="G149" s="81"/>
      <x:c r="H149" s="81"/>
      <x:c r="I149" s="81"/>
      <x:c r="J149" s="81"/>
      <x:c r="K149" s="81"/>
      <x:c r="L149" s="81"/>
      <x:c r="M149" s="81"/>
      <x:c r="N149" s="81"/>
      <x:c r="O149" s="81"/>
      <x:c r="P149" s="81"/>
      <x:c r="Q149" s="81"/>
      <x:c r="R149" s="81"/>
      <x:c r="S149" s="81"/>
      <x:c r="T149" s="81"/>
      <x:c r="U149" s="81"/>
      <x:c r="V149" s="81"/>
      <x:c r="W149" s="81"/>
      <x:c r="X149" s="81"/>
      <x:c r="Y149" s="81"/>
      <x:c r="Z149" s="81"/>
    </x:row>
    <x:row r="150">
      <x:c r="A150" s="81"/>
      <x:c r="B150" s="81"/>
      <x:c r="C150" s="81"/>
      <x:c r="D150" s="81"/>
      <x:c r="E150" s="81"/>
      <x:c r="F150" s="81"/>
      <x:c r="G150" s="81"/>
      <x:c r="H150" s="81"/>
      <x:c r="I150" s="81"/>
      <x:c r="J150" s="81"/>
      <x:c r="K150" s="81"/>
      <x:c r="L150" s="81"/>
      <x:c r="M150" s="81"/>
      <x:c r="N150" s="81"/>
      <x:c r="O150" s="81"/>
      <x:c r="P150" s="81"/>
      <x:c r="Q150" s="81"/>
      <x:c r="R150" s="81"/>
      <x:c r="S150" s="81"/>
      <x:c r="T150" s="81"/>
      <x:c r="U150" s="81"/>
      <x:c r="V150" s="81"/>
      <x:c r="W150" s="81"/>
      <x:c r="X150" s="81"/>
      <x:c r="Y150" s="81"/>
      <x:c r="Z150" s="81"/>
    </x:row>
    <x:row r="151">
      <x:c r="A151" s="81"/>
      <x:c r="B151" s="81"/>
      <x:c r="C151" s="81"/>
      <x:c r="D151" s="81"/>
      <x:c r="E151" s="81"/>
      <x:c r="F151" s="81"/>
      <x:c r="G151" s="81"/>
      <x:c r="H151" s="81"/>
      <x:c r="I151" s="81"/>
      <x:c r="J151" s="81"/>
      <x:c r="K151" s="81"/>
      <x:c r="L151" s="81"/>
      <x:c r="M151" s="81"/>
      <x:c r="N151" s="81"/>
      <x:c r="O151" s="81"/>
      <x:c r="P151" s="81"/>
      <x:c r="Q151" s="81"/>
      <x:c r="R151" s="81"/>
      <x:c r="S151" s="81"/>
      <x:c r="T151" s="81"/>
      <x:c r="U151" s="81"/>
      <x:c r="V151" s="81"/>
      <x:c r="W151" s="81"/>
      <x:c r="X151" s="81"/>
      <x:c r="Y151" s="81"/>
      <x:c r="Z151" s="81"/>
    </x:row>
    <x:row r="152">
      <x:c r="A152" s="81"/>
      <x:c r="B152" s="81"/>
      <x:c r="C152" s="81"/>
      <x:c r="D152" s="81"/>
      <x:c r="E152" s="81"/>
      <x:c r="F152" s="81"/>
      <x:c r="G152" s="81"/>
      <x:c r="H152" s="81"/>
      <x:c r="I152" s="81"/>
      <x:c r="J152" s="81"/>
      <x:c r="K152" s="81"/>
      <x:c r="L152" s="81"/>
      <x:c r="M152" s="81"/>
      <x:c r="N152" s="81"/>
      <x:c r="O152" s="81"/>
      <x:c r="P152" s="81"/>
      <x:c r="Q152" s="81"/>
      <x:c r="R152" s="81"/>
      <x:c r="S152" s="81"/>
      <x:c r="T152" s="81"/>
      <x:c r="U152" s="81"/>
      <x:c r="V152" s="81"/>
      <x:c r="W152" s="81"/>
      <x:c r="X152" s="81"/>
      <x:c r="Y152" s="81"/>
      <x:c r="Z152" s="81"/>
    </x:row>
    <x:row r="153">
      <x:c r="A153" s="81"/>
      <x:c r="B153" s="81"/>
      <x:c r="C153" s="81"/>
      <x:c r="D153" s="81"/>
      <x:c r="E153" s="81"/>
      <x:c r="F153" s="81"/>
      <x:c r="G153" s="81"/>
      <x:c r="H153" s="81"/>
      <x:c r="I153" s="81"/>
      <x:c r="J153" s="81"/>
      <x:c r="K153" s="81"/>
      <x:c r="L153" s="81"/>
      <x:c r="M153" s="81"/>
      <x:c r="N153" s="81"/>
      <x:c r="O153" s="81"/>
      <x:c r="P153" s="81"/>
      <x:c r="Q153" s="81"/>
      <x:c r="R153" s="81"/>
      <x:c r="S153" s="81"/>
      <x:c r="T153" s="81"/>
      <x:c r="U153" s="81"/>
      <x:c r="V153" s="81"/>
      <x:c r="W153" s="81"/>
      <x:c r="X153" s="81"/>
      <x:c r="Y153" s="81"/>
      <x:c r="Z153" s="81"/>
    </x:row>
    <x:row r="154">
      <x:c r="A154" s="81"/>
      <x:c r="B154" s="81"/>
      <x:c r="C154" s="81"/>
      <x:c r="D154" s="81"/>
      <x:c r="E154" s="81"/>
      <x:c r="F154" s="81"/>
      <x:c r="G154" s="81"/>
      <x:c r="H154" s="81"/>
      <x:c r="I154" s="81"/>
      <x:c r="J154" s="81"/>
      <x:c r="K154" s="81"/>
      <x:c r="L154" s="81"/>
      <x:c r="M154" s="81"/>
      <x:c r="N154" s="81"/>
      <x:c r="O154" s="81"/>
      <x:c r="P154" s="81"/>
      <x:c r="Q154" s="81"/>
      <x:c r="R154" s="81"/>
      <x:c r="S154" s="81"/>
      <x:c r="T154" s="81"/>
      <x:c r="U154" s="81"/>
      <x:c r="V154" s="81"/>
      <x:c r="W154" s="81"/>
      <x:c r="X154" s="81"/>
      <x:c r="Y154" s="81"/>
      <x:c r="Z154" s="81"/>
    </x:row>
    <x:row r="155">
      <x:c r="A155" s="81"/>
      <x:c r="B155" s="81"/>
      <x:c r="C155" s="81"/>
      <x:c r="D155" s="81"/>
      <x:c r="E155" s="81"/>
      <x:c r="F155" s="81"/>
      <x:c r="G155" s="81"/>
      <x:c r="H155" s="81"/>
      <x:c r="I155" s="81"/>
      <x:c r="J155" s="81"/>
      <x:c r="K155" s="81"/>
      <x:c r="L155" s="81"/>
      <x:c r="M155" s="81"/>
      <x:c r="N155" s="81"/>
      <x:c r="O155" s="81"/>
      <x:c r="P155" s="81"/>
      <x:c r="Q155" s="81"/>
      <x:c r="R155" s="81"/>
      <x:c r="S155" s="81"/>
      <x:c r="T155" s="81"/>
      <x:c r="U155" s="81"/>
      <x:c r="V155" s="81"/>
      <x:c r="W155" s="81"/>
      <x:c r="X155" s="81"/>
      <x:c r="Y155" s="81"/>
      <x:c r="Z155" s="81"/>
    </x:row>
    <x:row r="156">
      <x:c r="A156" s="81"/>
      <x:c r="B156" s="81"/>
      <x:c r="C156" s="81"/>
      <x:c r="D156" s="81"/>
      <x:c r="E156" s="81"/>
      <x:c r="F156" s="81"/>
      <x:c r="G156" s="81"/>
      <x:c r="H156" s="81"/>
      <x:c r="I156" s="81"/>
      <x:c r="J156" s="81"/>
      <x:c r="K156" s="81"/>
      <x:c r="L156" s="81"/>
      <x:c r="M156" s="81"/>
      <x:c r="N156" s="81"/>
      <x:c r="O156" s="81"/>
      <x:c r="P156" s="81"/>
      <x:c r="Q156" s="81"/>
      <x:c r="R156" s="81"/>
      <x:c r="S156" s="81"/>
      <x:c r="T156" s="81"/>
      <x:c r="U156" s="81"/>
      <x:c r="V156" s="81"/>
      <x:c r="W156" s="81"/>
      <x:c r="X156" s="81"/>
      <x:c r="Y156" s="81"/>
      <x:c r="Z156" s="81"/>
    </x:row>
    <x:row r="157">
      <x:c r="A157" s="81"/>
      <x:c r="B157" s="81"/>
      <x:c r="C157" s="81"/>
      <x:c r="D157" s="81"/>
      <x:c r="E157" s="81"/>
      <x:c r="F157" s="81"/>
      <x:c r="G157" s="81"/>
      <x:c r="H157" s="81"/>
      <x:c r="I157" s="81"/>
      <x:c r="J157" s="81"/>
      <x:c r="K157" s="81"/>
      <x:c r="L157" s="81"/>
      <x:c r="M157" s="81"/>
      <x:c r="N157" s="81"/>
      <x:c r="O157" s="81"/>
      <x:c r="P157" s="81"/>
      <x:c r="Q157" s="81"/>
      <x:c r="R157" s="81"/>
      <x:c r="S157" s="81"/>
      <x:c r="T157" s="81"/>
      <x:c r="U157" s="81"/>
      <x:c r="V157" s="81"/>
      <x:c r="W157" s="81"/>
      <x:c r="X157" s="81"/>
      <x:c r="Y157" s="81"/>
      <x:c r="Z157" s="81"/>
    </x:row>
    <x:row r="158">
      <x:c r="A158" s="81"/>
      <x:c r="B158" s="81"/>
      <x:c r="C158" s="81"/>
      <x:c r="D158" s="81"/>
      <x:c r="E158" s="81"/>
      <x:c r="F158" s="81"/>
      <x:c r="G158" s="81"/>
      <x:c r="H158" s="81"/>
      <x:c r="I158" s="81"/>
      <x:c r="J158" s="81"/>
      <x:c r="K158" s="81"/>
      <x:c r="L158" s="81"/>
      <x:c r="M158" s="81"/>
      <x:c r="N158" s="81"/>
      <x:c r="O158" s="81"/>
      <x:c r="P158" s="81"/>
      <x:c r="Q158" s="81"/>
      <x:c r="R158" s="81"/>
      <x:c r="S158" s="81"/>
      <x:c r="T158" s="81"/>
      <x:c r="U158" s="81"/>
      <x:c r="V158" s="81"/>
      <x:c r="W158" s="81"/>
      <x:c r="X158" s="81"/>
      <x:c r="Y158" s="81"/>
      <x:c r="Z158" s="81"/>
    </x:row>
    <x:row r="159">
      <x:c r="A159" s="81"/>
      <x:c r="B159" s="81"/>
      <x:c r="C159" s="81"/>
      <x:c r="D159" s="81"/>
      <x:c r="E159" s="81"/>
      <x:c r="F159" s="81"/>
      <x:c r="G159" s="81"/>
      <x:c r="H159" s="81"/>
      <x:c r="I159" s="81"/>
      <x:c r="J159" s="81"/>
      <x:c r="K159" s="81"/>
      <x:c r="L159" s="81"/>
      <x:c r="M159" s="81"/>
      <x:c r="N159" s="81"/>
      <x:c r="O159" s="81"/>
      <x:c r="P159" s="81"/>
      <x:c r="Q159" s="81"/>
      <x:c r="R159" s="81"/>
      <x:c r="S159" s="81"/>
      <x:c r="T159" s="81"/>
      <x:c r="U159" s="81"/>
      <x:c r="V159" s="81"/>
      <x:c r="W159" s="81"/>
      <x:c r="X159" s="81"/>
      <x:c r="Y159" s="81"/>
      <x:c r="Z159" s="81"/>
    </x:row>
    <x:row r="160">
      <x:c r="A160" s="81"/>
      <x:c r="B160" s="81"/>
      <x:c r="C160" s="81"/>
      <x:c r="D160" s="81"/>
      <x:c r="E160" s="81"/>
      <x:c r="F160" s="81"/>
      <x:c r="G160" s="81"/>
      <x:c r="H160" s="81"/>
      <x:c r="I160" s="81"/>
      <x:c r="J160" s="81"/>
      <x:c r="K160" s="81"/>
      <x:c r="L160" s="81"/>
      <x:c r="M160" s="81"/>
      <x:c r="N160" s="81"/>
      <x:c r="O160" s="81"/>
      <x:c r="P160" s="81"/>
      <x:c r="Q160" s="81"/>
      <x:c r="R160" s="81"/>
      <x:c r="S160" s="81"/>
      <x:c r="T160" s="81"/>
      <x:c r="U160" s="81"/>
      <x:c r="V160" s="81"/>
      <x:c r="W160" s="81"/>
      <x:c r="X160" s="81"/>
      <x:c r="Y160" s="81"/>
      <x:c r="Z160" s="81"/>
    </x:row>
    <x:row r="161">
      <x:c r="A161" s="81"/>
      <x:c r="B161" s="81"/>
      <x:c r="C161" s="81"/>
      <x:c r="D161" s="81"/>
      <x:c r="E161" s="81"/>
      <x:c r="F161" s="81"/>
      <x:c r="G161" s="81"/>
      <x:c r="H161" s="81"/>
      <x:c r="I161" s="81"/>
      <x:c r="J161" s="81"/>
      <x:c r="K161" s="81"/>
      <x:c r="L161" s="81"/>
      <x:c r="M161" s="81"/>
      <x:c r="N161" s="81"/>
      <x:c r="O161" s="81"/>
      <x:c r="P161" s="81"/>
      <x:c r="Q161" s="81"/>
      <x:c r="R161" s="81"/>
      <x:c r="S161" s="81"/>
      <x:c r="T161" s="81"/>
      <x:c r="U161" s="81"/>
      <x:c r="V161" s="81"/>
      <x:c r="W161" s="81"/>
      <x:c r="X161" s="81"/>
      <x:c r="Y161" s="81"/>
      <x:c r="Z161" s="81"/>
    </x:row>
    <x:row r="162">
      <x:c r="A162" s="81"/>
      <x:c r="B162" s="81"/>
      <x:c r="C162" s="81"/>
      <x:c r="D162" s="81"/>
      <x:c r="E162" s="81"/>
      <x:c r="F162" s="81"/>
      <x:c r="G162" s="81"/>
      <x:c r="H162" s="81"/>
      <x:c r="I162" s="81"/>
      <x:c r="J162" s="81"/>
      <x:c r="K162" s="81"/>
      <x:c r="L162" s="81"/>
      <x:c r="M162" s="81"/>
      <x:c r="N162" s="81"/>
      <x:c r="O162" s="81"/>
      <x:c r="P162" s="81"/>
      <x:c r="Q162" s="81"/>
      <x:c r="R162" s="81"/>
      <x:c r="S162" s="81"/>
      <x:c r="T162" s="81"/>
      <x:c r="U162" s="81"/>
      <x:c r="V162" s="81"/>
      <x:c r="W162" s="81"/>
      <x:c r="X162" s="81"/>
      <x:c r="Y162" s="81"/>
      <x:c r="Z162" s="81"/>
    </x:row>
    <x:row r="163">
      <x:c r="A163" s="81"/>
      <x:c r="B163" s="81"/>
      <x:c r="C163" s="81"/>
      <x:c r="D163" s="81"/>
      <x:c r="E163" s="81"/>
      <x:c r="F163" s="81"/>
      <x:c r="G163" s="81"/>
      <x:c r="H163" s="81"/>
      <x:c r="I163" s="81"/>
      <x:c r="J163" s="81"/>
      <x:c r="K163" s="81"/>
      <x:c r="L163" s="81"/>
      <x:c r="M163" s="81"/>
      <x:c r="N163" s="81"/>
      <x:c r="O163" s="81"/>
      <x:c r="P163" s="81"/>
      <x:c r="Q163" s="81"/>
      <x:c r="R163" s="81"/>
      <x:c r="S163" s="81"/>
      <x:c r="T163" s="81"/>
      <x:c r="U163" s="81"/>
      <x:c r="V163" s="81"/>
      <x:c r="W163" s="81"/>
      <x:c r="X163" s="81"/>
      <x:c r="Y163" s="81"/>
      <x:c r="Z163" s="81"/>
    </x:row>
    <x:row r="164">
      <x:c r="A164" s="81"/>
      <x:c r="B164" s="81"/>
      <x:c r="C164" s="81"/>
      <x:c r="D164" s="81"/>
      <x:c r="E164" s="81"/>
      <x:c r="F164" s="81"/>
      <x:c r="G164" s="81"/>
      <x:c r="H164" s="81"/>
      <x:c r="I164" s="81"/>
      <x:c r="J164" s="81"/>
      <x:c r="K164" s="81"/>
      <x:c r="L164" s="81"/>
      <x:c r="M164" s="81"/>
      <x:c r="N164" s="81"/>
      <x:c r="O164" s="81"/>
      <x:c r="P164" s="81"/>
      <x:c r="Q164" s="81"/>
      <x:c r="R164" s="81"/>
      <x:c r="S164" s="81"/>
      <x:c r="T164" s="81"/>
      <x:c r="U164" s="81"/>
      <x:c r="V164" s="81"/>
      <x:c r="W164" s="81"/>
      <x:c r="X164" s="81"/>
      <x:c r="Y164" s="81"/>
      <x:c r="Z164" s="81"/>
    </x:row>
    <x:row r="165">
      <x:c r="A165" s="81"/>
      <x:c r="B165" s="81"/>
      <x:c r="C165" s="81"/>
      <x:c r="D165" s="81"/>
      <x:c r="E165" s="81"/>
      <x:c r="F165" s="81"/>
      <x:c r="G165" s="81"/>
      <x:c r="H165" s="81"/>
      <x:c r="I165" s="81"/>
      <x:c r="J165" s="81"/>
      <x:c r="K165" s="81"/>
      <x:c r="L165" s="81"/>
      <x:c r="M165" s="81"/>
      <x:c r="N165" s="81"/>
      <x:c r="O165" s="81"/>
      <x:c r="P165" s="81"/>
      <x:c r="Q165" s="81"/>
      <x:c r="R165" s="81"/>
      <x:c r="S165" s="81"/>
      <x:c r="T165" s="81"/>
      <x:c r="U165" s="81"/>
      <x:c r="V165" s="81"/>
      <x:c r="W165" s="81"/>
      <x:c r="X165" s="81"/>
      <x:c r="Y165" s="81"/>
      <x:c r="Z165" s="81"/>
    </x:row>
    <x:row r="166">
      <x:c r="A166" s="81"/>
      <x:c r="B166" s="81"/>
      <x:c r="C166" s="81"/>
      <x:c r="D166" s="81"/>
      <x:c r="E166" s="81"/>
      <x:c r="F166" s="81"/>
      <x:c r="G166" s="81"/>
      <x:c r="H166" s="81"/>
      <x:c r="I166" s="81"/>
      <x:c r="J166" s="81"/>
      <x:c r="K166" s="81"/>
      <x:c r="L166" s="81"/>
      <x:c r="M166" s="81"/>
      <x:c r="N166" s="81"/>
      <x:c r="O166" s="81"/>
      <x:c r="P166" s="81"/>
      <x:c r="Q166" s="81"/>
      <x:c r="R166" s="81"/>
      <x:c r="S166" s="81"/>
      <x:c r="T166" s="81"/>
      <x:c r="U166" s="81"/>
      <x:c r="V166" s="81"/>
      <x:c r="W166" s="81"/>
      <x:c r="X166" s="81"/>
      <x:c r="Y166" s="81"/>
      <x:c r="Z166" s="81"/>
    </x:row>
    <x:row r="167">
      <x:c r="A167" s="81"/>
      <x:c r="B167" s="81"/>
      <x:c r="C167" s="81"/>
      <x:c r="D167" s="81"/>
      <x:c r="E167" s="81"/>
      <x:c r="F167" s="81"/>
      <x:c r="G167" s="81"/>
      <x:c r="H167" s="81"/>
      <x:c r="I167" s="81"/>
      <x:c r="J167" s="81"/>
      <x:c r="K167" s="81"/>
      <x:c r="L167" s="81"/>
      <x:c r="M167" s="81"/>
      <x:c r="N167" s="81"/>
      <x:c r="O167" s="81"/>
      <x:c r="P167" s="81"/>
      <x:c r="Q167" s="81"/>
      <x:c r="R167" s="81"/>
      <x:c r="S167" s="81"/>
      <x:c r="T167" s="81"/>
      <x:c r="U167" s="81"/>
      <x:c r="V167" s="81"/>
      <x:c r="W167" s="81"/>
      <x:c r="X167" s="81"/>
      <x:c r="Y167" s="81"/>
      <x:c r="Z167" s="81"/>
    </x:row>
    <x:row r="168">
      <x:c r="A168" s="81"/>
      <x:c r="B168" s="81"/>
      <x:c r="C168" s="81"/>
      <x:c r="D168" s="81"/>
      <x:c r="E168" s="81"/>
      <x:c r="F168" s="81"/>
      <x:c r="G168" s="81"/>
      <x:c r="H168" s="81"/>
      <x:c r="I168" s="81"/>
      <x:c r="J168" s="81"/>
      <x:c r="K168" s="81"/>
      <x:c r="L168" s="81"/>
      <x:c r="M168" s="81"/>
      <x:c r="N168" s="81"/>
      <x:c r="O168" s="81"/>
      <x:c r="P168" s="81"/>
      <x:c r="Q168" s="81"/>
      <x:c r="R168" s="81"/>
      <x:c r="S168" s="81"/>
      <x:c r="T168" s="81"/>
      <x:c r="U168" s="81"/>
      <x:c r="V168" s="81"/>
      <x:c r="W168" s="81"/>
      <x:c r="X168" s="81"/>
      <x:c r="Y168" s="81"/>
      <x:c r="Z168" s="81"/>
    </x:row>
    <x:row r="169">
      <x:c r="A169" s="81"/>
      <x:c r="B169" s="81"/>
      <x:c r="C169" s="81"/>
      <x:c r="D169" s="81"/>
      <x:c r="E169" s="81"/>
      <x:c r="F169" s="81"/>
      <x:c r="G169" s="81"/>
      <x:c r="H169" s="81"/>
      <x:c r="I169" s="81"/>
      <x:c r="J169" s="81"/>
      <x:c r="K169" s="81"/>
      <x:c r="L169" s="81"/>
      <x:c r="M169" s="81"/>
      <x:c r="N169" s="81"/>
      <x:c r="O169" s="81"/>
      <x:c r="P169" s="81"/>
      <x:c r="Q169" s="81"/>
      <x:c r="R169" s="81"/>
      <x:c r="S169" s="81"/>
      <x:c r="T169" s="81"/>
      <x:c r="U169" s="81"/>
      <x:c r="V169" s="81"/>
      <x:c r="W169" s="81"/>
      <x:c r="X169" s="81"/>
      <x:c r="Y169" s="81"/>
      <x:c r="Z169" s="81"/>
    </x:row>
    <x:row r="170">
      <x:c r="A170" s="81"/>
      <x:c r="B170" s="81"/>
      <x:c r="C170" s="81"/>
      <x:c r="D170" s="81"/>
      <x:c r="E170" s="81"/>
      <x:c r="F170" s="81"/>
      <x:c r="G170" s="81"/>
      <x:c r="H170" s="81"/>
      <x:c r="I170" s="81"/>
      <x:c r="J170" s="81"/>
      <x:c r="K170" s="81"/>
      <x:c r="L170" s="81"/>
      <x:c r="M170" s="81"/>
      <x:c r="N170" s="81"/>
      <x:c r="O170" s="81"/>
      <x:c r="P170" s="81"/>
      <x:c r="Q170" s="81"/>
      <x:c r="R170" s="81"/>
      <x:c r="S170" s="81"/>
      <x:c r="T170" s="81"/>
      <x:c r="U170" s="81"/>
      <x:c r="V170" s="81"/>
      <x:c r="W170" s="81"/>
      <x:c r="X170" s="81"/>
      <x:c r="Y170" s="81"/>
      <x:c r="Z170" s="81"/>
    </x:row>
    <x:row r="171">
      <x:c r="A171" s="81"/>
      <x:c r="B171" s="81"/>
      <x:c r="C171" s="81"/>
      <x:c r="D171" s="81"/>
      <x:c r="E171" s="81"/>
      <x:c r="F171" s="81"/>
      <x:c r="G171" s="81"/>
      <x:c r="H171" s="81"/>
      <x:c r="I171" s="81"/>
      <x:c r="J171" s="81"/>
      <x:c r="K171" s="81"/>
      <x:c r="L171" s="81"/>
      <x:c r="M171" s="81"/>
      <x:c r="N171" s="81"/>
      <x:c r="O171" s="81"/>
      <x:c r="P171" s="81"/>
      <x:c r="Q171" s="81"/>
      <x:c r="R171" s="81"/>
      <x:c r="S171" s="81"/>
      <x:c r="T171" s="81"/>
      <x:c r="U171" s="81"/>
      <x:c r="V171" s="81"/>
      <x:c r="W171" s="81"/>
      <x:c r="X171" s="81"/>
      <x:c r="Y171" s="81"/>
      <x:c r="Z171" s="81"/>
    </x:row>
    <x:row r="172">
      <x:c r="A172" s="81"/>
      <x:c r="B172" s="81"/>
      <x:c r="C172" s="81"/>
      <x:c r="D172" s="81"/>
      <x:c r="E172" s="81"/>
      <x:c r="F172" s="81"/>
      <x:c r="G172" s="81"/>
      <x:c r="H172" s="81"/>
      <x:c r="I172" s="81"/>
      <x:c r="J172" s="81"/>
      <x:c r="K172" s="81"/>
      <x:c r="L172" s="81"/>
      <x:c r="M172" s="81"/>
      <x:c r="N172" s="81"/>
      <x:c r="O172" s="81"/>
      <x:c r="P172" s="81"/>
      <x:c r="Q172" s="81"/>
      <x:c r="R172" s="81"/>
      <x:c r="S172" s="81"/>
      <x:c r="T172" s="81"/>
      <x:c r="U172" s="81"/>
      <x:c r="V172" s="81"/>
      <x:c r="W172" s="81"/>
      <x:c r="X172" s="81"/>
      <x:c r="Y172" s="81"/>
      <x:c r="Z172" s="81"/>
    </x:row>
    <x:row r="173">
      <x:c r="A173" s="81"/>
      <x:c r="B173" s="81"/>
      <x:c r="C173" s="81"/>
      <x:c r="D173" s="81"/>
      <x:c r="E173" s="81"/>
      <x:c r="F173" s="81"/>
      <x:c r="G173" s="81"/>
      <x:c r="H173" s="81"/>
      <x:c r="I173" s="81"/>
      <x:c r="J173" s="81"/>
      <x:c r="K173" s="81"/>
      <x:c r="L173" s="81"/>
      <x:c r="M173" s="81"/>
      <x:c r="N173" s="81"/>
      <x:c r="O173" s="81"/>
      <x:c r="P173" s="81"/>
      <x:c r="Q173" s="81"/>
      <x:c r="R173" s="81"/>
      <x:c r="S173" s="81"/>
      <x:c r="T173" s="81"/>
      <x:c r="U173" s="81"/>
      <x:c r="V173" s="81"/>
      <x:c r="W173" s="81"/>
      <x:c r="X173" s="81"/>
      <x:c r="Y173" s="81"/>
      <x:c r="Z173" s="81"/>
    </x:row>
    <x:row r="174">
      <x:c r="A174" s="81"/>
      <x:c r="B174" s="81"/>
      <x:c r="C174" s="81"/>
      <x:c r="D174" s="81"/>
      <x:c r="E174" s="81"/>
      <x:c r="F174" s="81"/>
      <x:c r="G174" s="81"/>
      <x:c r="H174" s="81"/>
      <x:c r="I174" s="81"/>
      <x:c r="J174" s="81"/>
      <x:c r="K174" s="81"/>
      <x:c r="L174" s="81"/>
      <x:c r="M174" s="81"/>
      <x:c r="N174" s="81"/>
      <x:c r="O174" s="81"/>
      <x:c r="P174" s="81"/>
      <x:c r="Q174" s="81"/>
      <x:c r="R174" s="81"/>
      <x:c r="S174" s="81"/>
      <x:c r="T174" s="81"/>
      <x:c r="U174" s="81"/>
      <x:c r="V174" s="81"/>
      <x:c r="W174" s="81"/>
      <x:c r="X174" s="81"/>
      <x:c r="Y174" s="81"/>
      <x:c r="Z174" s="81"/>
    </x:row>
    <x:row r="175">
      <x:c r="A175" s="81"/>
      <x:c r="B175" s="81"/>
      <x:c r="C175" s="81"/>
      <x:c r="D175" s="81"/>
      <x:c r="E175" s="81"/>
      <x:c r="F175" s="81"/>
      <x:c r="G175" s="81"/>
      <x:c r="H175" s="81"/>
      <x:c r="I175" s="81"/>
      <x:c r="J175" s="81"/>
      <x:c r="K175" s="81"/>
      <x:c r="L175" s="81"/>
      <x:c r="M175" s="81"/>
      <x:c r="N175" s="81"/>
      <x:c r="O175" s="81"/>
      <x:c r="P175" s="81"/>
      <x:c r="Q175" s="81"/>
      <x:c r="R175" s="81"/>
      <x:c r="S175" s="81"/>
      <x:c r="T175" s="81"/>
      <x:c r="U175" s="81"/>
      <x:c r="V175" s="81"/>
      <x:c r="W175" s="81"/>
      <x:c r="X175" s="81"/>
      <x:c r="Y175" s="81"/>
      <x:c r="Z175" s="81"/>
    </x:row>
    <x:row r="176">
      <x:c r="A176" s="81"/>
      <x:c r="B176" s="81"/>
      <x:c r="C176" s="81"/>
      <x:c r="D176" s="81"/>
      <x:c r="E176" s="81"/>
      <x:c r="F176" s="81"/>
      <x:c r="G176" s="81"/>
      <x:c r="H176" s="81"/>
      <x:c r="I176" s="81"/>
      <x:c r="J176" s="81"/>
      <x:c r="K176" s="81"/>
      <x:c r="L176" s="81"/>
      <x:c r="M176" s="81"/>
      <x:c r="N176" s="81"/>
      <x:c r="O176" s="81"/>
      <x:c r="P176" s="81"/>
      <x:c r="Q176" s="81"/>
      <x:c r="R176" s="81"/>
      <x:c r="S176" s="81"/>
      <x:c r="T176" s="81"/>
      <x:c r="U176" s="81"/>
      <x:c r="V176" s="81"/>
      <x:c r="W176" s="81"/>
      <x:c r="X176" s="81"/>
      <x:c r="Y176" s="81"/>
      <x:c r="Z176" s="81"/>
    </x:row>
    <x:row r="177">
      <x:c r="A177" s="81"/>
      <x:c r="B177" s="81"/>
      <x:c r="C177" s="81"/>
      <x:c r="D177" s="81"/>
      <x:c r="E177" s="81"/>
      <x:c r="F177" s="81"/>
      <x:c r="G177" s="81"/>
      <x:c r="H177" s="81"/>
      <x:c r="I177" s="81"/>
      <x:c r="J177" s="81"/>
      <x:c r="K177" s="81"/>
      <x:c r="L177" s="81"/>
      <x:c r="M177" s="81"/>
      <x:c r="N177" s="81"/>
      <x:c r="O177" s="81"/>
      <x:c r="P177" s="81"/>
      <x:c r="Q177" s="81"/>
      <x:c r="R177" s="81"/>
      <x:c r="S177" s="81"/>
      <x:c r="T177" s="81"/>
      <x:c r="U177" s="81"/>
      <x:c r="V177" s="81"/>
      <x:c r="W177" s="81"/>
      <x:c r="X177" s="81"/>
      <x:c r="Y177" s="81"/>
      <x:c r="Z177" s="81"/>
    </x:row>
    <x:row r="178">
      <x:c r="A178" s="81"/>
      <x:c r="B178" s="81"/>
      <x:c r="C178" s="81"/>
      <x:c r="D178" s="81"/>
      <x:c r="E178" s="81"/>
      <x:c r="F178" s="81"/>
      <x:c r="G178" s="81"/>
      <x:c r="H178" s="81"/>
      <x:c r="I178" s="81"/>
      <x:c r="J178" s="81"/>
      <x:c r="K178" s="81"/>
      <x:c r="L178" s="81"/>
      <x:c r="M178" s="81"/>
      <x:c r="N178" s="81"/>
      <x:c r="O178" s="81"/>
      <x:c r="P178" s="81"/>
      <x:c r="Q178" s="81"/>
      <x:c r="R178" s="81"/>
      <x:c r="S178" s="81"/>
      <x:c r="T178" s="81"/>
      <x:c r="U178" s="81"/>
      <x:c r="V178" s="81"/>
      <x:c r="W178" s="81"/>
      <x:c r="X178" s="81"/>
      <x:c r="Y178" s="81"/>
      <x:c r="Z178" s="81"/>
    </x:row>
    <x:row r="179">
      <x:c r="A179" s="81"/>
      <x:c r="B179" s="81"/>
      <x:c r="C179" s="81"/>
      <x:c r="D179" s="81"/>
      <x:c r="E179" s="81"/>
      <x:c r="F179" s="81"/>
      <x:c r="G179" s="81"/>
      <x:c r="H179" s="81"/>
      <x:c r="I179" s="81"/>
      <x:c r="J179" s="81"/>
      <x:c r="K179" s="81"/>
      <x:c r="L179" s="81"/>
      <x:c r="M179" s="81"/>
      <x:c r="N179" s="81"/>
      <x:c r="O179" s="81"/>
      <x:c r="P179" s="81"/>
      <x:c r="Q179" s="81"/>
      <x:c r="R179" s="81"/>
      <x:c r="S179" s="81"/>
      <x:c r="T179" s="81"/>
      <x:c r="U179" s="81"/>
      <x:c r="V179" s="81"/>
      <x:c r="W179" s="81"/>
      <x:c r="X179" s="81"/>
      <x:c r="Y179" s="81"/>
      <x:c r="Z179" s="81"/>
    </x:row>
    <x:row r="180">
      <x:c r="A180" s="81"/>
      <x:c r="B180" s="81"/>
      <x:c r="C180" s="81"/>
      <x:c r="D180" s="81"/>
      <x:c r="E180" s="81"/>
      <x:c r="F180" s="81"/>
      <x:c r="G180" s="81"/>
      <x:c r="H180" s="81"/>
      <x:c r="I180" s="81"/>
      <x:c r="J180" s="81"/>
      <x:c r="K180" s="81"/>
      <x:c r="L180" s="81"/>
      <x:c r="M180" s="81"/>
      <x:c r="N180" s="81"/>
      <x:c r="O180" s="81"/>
      <x:c r="P180" s="81"/>
      <x:c r="Q180" s="81"/>
      <x:c r="R180" s="81"/>
      <x:c r="S180" s="81"/>
      <x:c r="T180" s="81"/>
      <x:c r="U180" s="81"/>
      <x:c r="V180" s="81"/>
      <x:c r="W180" s="81"/>
      <x:c r="X180" s="81"/>
      <x:c r="Y180" s="81"/>
      <x:c r="Z180" s="81"/>
    </x:row>
    <x:row r="181">
      <x:c r="A181" s="81"/>
      <x:c r="B181" s="81"/>
      <x:c r="C181" s="81"/>
      <x:c r="D181" s="81"/>
      <x:c r="E181" s="81"/>
      <x:c r="F181" s="81"/>
      <x:c r="G181" s="81"/>
      <x:c r="H181" s="81"/>
      <x:c r="I181" s="81"/>
      <x:c r="J181" s="81"/>
      <x:c r="K181" s="81"/>
      <x:c r="L181" s="81"/>
      <x:c r="M181" s="81"/>
      <x:c r="N181" s="81"/>
      <x:c r="O181" s="81"/>
      <x:c r="P181" s="81"/>
      <x:c r="Q181" s="81"/>
      <x:c r="R181" s="81"/>
      <x:c r="S181" s="81"/>
      <x:c r="T181" s="81"/>
      <x:c r="U181" s="81"/>
      <x:c r="V181" s="81"/>
      <x:c r="W181" s="81"/>
      <x:c r="X181" s="81"/>
      <x:c r="Y181" s="81"/>
      <x:c r="Z181" s="81"/>
    </x:row>
    <x:row r="182">
      <x:c r="A182" s="81"/>
      <x:c r="B182" s="81"/>
      <x:c r="C182" s="81"/>
      <x:c r="D182" s="81"/>
      <x:c r="E182" s="81"/>
      <x:c r="F182" s="81"/>
      <x:c r="G182" s="81"/>
      <x:c r="H182" s="81"/>
      <x:c r="I182" s="81"/>
      <x:c r="J182" s="81"/>
      <x:c r="K182" s="81"/>
      <x:c r="L182" s="81"/>
      <x:c r="M182" s="81"/>
      <x:c r="N182" s="81"/>
      <x:c r="O182" s="81"/>
      <x:c r="P182" s="81"/>
      <x:c r="Q182" s="81"/>
      <x:c r="R182" s="81"/>
      <x:c r="S182" s="81"/>
      <x:c r="T182" s="81"/>
      <x:c r="U182" s="81"/>
      <x:c r="V182" s="81"/>
      <x:c r="W182" s="81"/>
      <x:c r="X182" s="81"/>
      <x:c r="Y182" s="81"/>
      <x:c r="Z182" s="81"/>
    </x:row>
    <x:row r="183">
      <x:c r="A183" s="81"/>
      <x:c r="B183" s="81"/>
      <x:c r="C183" s="81"/>
      <x:c r="D183" s="81"/>
      <x:c r="E183" s="81"/>
      <x:c r="F183" s="81"/>
      <x:c r="G183" s="81"/>
      <x:c r="H183" s="81"/>
      <x:c r="I183" s="81"/>
      <x:c r="J183" s="81"/>
      <x:c r="K183" s="81"/>
      <x:c r="L183" s="81"/>
      <x:c r="M183" s="81"/>
      <x:c r="N183" s="81"/>
      <x:c r="O183" s="81"/>
      <x:c r="P183" s="81"/>
      <x:c r="Q183" s="81"/>
      <x:c r="R183" s="81"/>
      <x:c r="S183" s="81"/>
      <x:c r="T183" s="81"/>
      <x:c r="U183" s="81"/>
      <x:c r="V183" s="81"/>
      <x:c r="W183" s="81"/>
      <x:c r="X183" s="81"/>
      <x:c r="Y183" s="81"/>
      <x:c r="Z183" s="81"/>
    </x:row>
    <x:row r="184">
      <x:c r="A184" s="81"/>
      <x:c r="B184" s="81"/>
      <x:c r="C184" s="81"/>
      <x:c r="D184" s="81"/>
      <x:c r="E184" s="81"/>
      <x:c r="F184" s="81"/>
      <x:c r="G184" s="81"/>
      <x:c r="H184" s="81"/>
      <x:c r="I184" s="81"/>
      <x:c r="J184" s="81"/>
      <x:c r="K184" s="81"/>
      <x:c r="L184" s="81"/>
      <x:c r="M184" s="81"/>
      <x:c r="N184" s="81"/>
      <x:c r="O184" s="81"/>
      <x:c r="P184" s="81"/>
      <x:c r="Q184" s="81"/>
      <x:c r="R184" s="81"/>
      <x:c r="S184" s="81"/>
      <x:c r="T184" s="81"/>
      <x:c r="U184" s="81"/>
      <x:c r="V184" s="81"/>
      <x:c r="W184" s="81"/>
      <x:c r="X184" s="81"/>
      <x:c r="Y184" s="81"/>
      <x:c r="Z184" s="81"/>
    </x:row>
    <x:row r="185">
      <x:c r="A185" s="81"/>
      <x:c r="B185" s="81"/>
      <x:c r="C185" s="81"/>
      <x:c r="D185" s="81"/>
      <x:c r="E185" s="81"/>
      <x:c r="F185" s="81"/>
      <x:c r="G185" s="81"/>
      <x:c r="H185" s="81"/>
      <x:c r="I185" s="81"/>
      <x:c r="J185" s="81"/>
      <x:c r="K185" s="81"/>
      <x:c r="L185" s="81"/>
      <x:c r="M185" s="81"/>
      <x:c r="N185" s="81"/>
      <x:c r="O185" s="81"/>
      <x:c r="P185" s="81"/>
      <x:c r="Q185" s="81"/>
      <x:c r="R185" s="81"/>
      <x:c r="S185" s="81"/>
      <x:c r="T185" s="81"/>
      <x:c r="U185" s="81"/>
      <x:c r="V185" s="81"/>
      <x:c r="W185" s="81"/>
      <x:c r="X185" s="81"/>
      <x:c r="Y185" s="81"/>
      <x:c r="Z185" s="81"/>
    </x:row>
    <x:row r="186">
      <x:c r="A186" s="81"/>
      <x:c r="B186" s="81"/>
      <x:c r="C186" s="81"/>
      <x:c r="D186" s="81"/>
      <x:c r="E186" s="81"/>
      <x:c r="F186" s="81"/>
      <x:c r="G186" s="81"/>
      <x:c r="H186" s="81"/>
      <x:c r="I186" s="81"/>
      <x:c r="J186" s="81"/>
      <x:c r="K186" s="81"/>
      <x:c r="L186" s="81"/>
      <x:c r="M186" s="81"/>
      <x:c r="N186" s="81"/>
      <x:c r="O186" s="81"/>
      <x:c r="P186" s="81"/>
      <x:c r="Q186" s="81"/>
      <x:c r="R186" s="81"/>
      <x:c r="S186" s="81"/>
      <x:c r="T186" s="81"/>
      <x:c r="U186" s="81"/>
      <x:c r="V186" s="81"/>
      <x:c r="W186" s="81"/>
      <x:c r="X186" s="81"/>
      <x:c r="Y186" s="81"/>
      <x:c r="Z186" s="81"/>
    </x:row>
    <x:row r="187">
      <x:c r="A187" s="81"/>
      <x:c r="B187" s="81"/>
      <x:c r="C187" s="81"/>
      <x:c r="D187" s="81"/>
      <x:c r="E187" s="81"/>
      <x:c r="F187" s="81"/>
      <x:c r="G187" s="81"/>
      <x:c r="H187" s="81"/>
      <x:c r="I187" s="81"/>
      <x:c r="J187" s="81"/>
      <x:c r="K187" s="81"/>
      <x:c r="L187" s="81"/>
      <x:c r="M187" s="81"/>
      <x:c r="N187" s="81"/>
      <x:c r="O187" s="81"/>
      <x:c r="P187" s="81"/>
      <x:c r="Q187" s="81"/>
      <x:c r="R187" s="81"/>
      <x:c r="S187" s="81"/>
      <x:c r="T187" s="81"/>
      <x:c r="U187" s="81"/>
      <x:c r="V187" s="81"/>
      <x:c r="W187" s="81"/>
      <x:c r="X187" s="81"/>
      <x:c r="Y187" s="81"/>
      <x:c r="Z187" s="81"/>
    </x:row>
    <x:row r="188">
      <x:c r="A188" s="81"/>
      <x:c r="B188" s="81"/>
      <x:c r="C188" s="81"/>
      <x:c r="D188" s="81"/>
      <x:c r="E188" s="81"/>
      <x:c r="F188" s="81"/>
      <x:c r="G188" s="81"/>
      <x:c r="H188" s="81"/>
      <x:c r="I188" s="81"/>
      <x:c r="J188" s="81"/>
      <x:c r="K188" s="81"/>
      <x:c r="L188" s="81"/>
      <x:c r="M188" s="81"/>
      <x:c r="N188" s="81"/>
      <x:c r="O188" s="81"/>
      <x:c r="P188" s="81"/>
      <x:c r="Q188" s="81"/>
      <x:c r="R188" s="81"/>
      <x:c r="S188" s="81"/>
      <x:c r="T188" s="81"/>
      <x:c r="U188" s="81"/>
      <x:c r="V188" s="81"/>
      <x:c r="W188" s="81"/>
      <x:c r="X188" s="81"/>
      <x:c r="Y188" s="81"/>
      <x:c r="Z188" s="81"/>
    </x:row>
    <x:row r="189">
      <x:c r="A189" s="81"/>
      <x:c r="B189" s="81"/>
      <x:c r="C189" s="81"/>
      <x:c r="D189" s="81"/>
      <x:c r="E189" s="81"/>
      <x:c r="F189" s="81"/>
      <x:c r="G189" s="81"/>
      <x:c r="H189" s="81"/>
      <x:c r="I189" s="81"/>
      <x:c r="J189" s="81"/>
      <x:c r="K189" s="81"/>
      <x:c r="L189" s="81"/>
      <x:c r="M189" s="81"/>
      <x:c r="N189" s="81"/>
      <x:c r="O189" s="81"/>
      <x:c r="P189" s="81"/>
      <x:c r="Q189" s="81"/>
      <x:c r="R189" s="81"/>
      <x:c r="S189" s="81"/>
      <x:c r="T189" s="81"/>
      <x:c r="U189" s="81"/>
      <x:c r="V189" s="81"/>
      <x:c r="W189" s="81"/>
      <x:c r="X189" s="81"/>
      <x:c r="Y189" s="81"/>
      <x:c r="Z189" s="81"/>
    </x:row>
    <x:row r="190">
      <x:c r="A190" s="81"/>
      <x:c r="B190" s="81"/>
      <x:c r="C190" s="81"/>
      <x:c r="D190" s="81"/>
      <x:c r="E190" s="81"/>
      <x:c r="F190" s="81"/>
      <x:c r="G190" s="81"/>
      <x:c r="H190" s="81"/>
      <x:c r="I190" s="81"/>
      <x:c r="J190" s="81"/>
      <x:c r="K190" s="81"/>
      <x:c r="L190" s="81"/>
      <x:c r="M190" s="81"/>
      <x:c r="N190" s="81"/>
      <x:c r="O190" s="81"/>
      <x:c r="P190" s="81"/>
      <x:c r="Q190" s="81"/>
      <x:c r="R190" s="81"/>
      <x:c r="S190" s="81"/>
      <x:c r="T190" s="81"/>
      <x:c r="U190" s="81"/>
      <x:c r="V190" s="81"/>
      <x:c r="W190" s="81"/>
      <x:c r="X190" s="81"/>
      <x:c r="Y190" s="81"/>
      <x:c r="Z190" s="81"/>
    </x:row>
    <x:row r="191">
      <x:c r="A191" s="81"/>
      <x:c r="B191" s="81"/>
      <x:c r="C191" s="81"/>
      <x:c r="D191" s="81"/>
      <x:c r="E191" s="81"/>
      <x:c r="F191" s="81"/>
      <x:c r="G191" s="81"/>
      <x:c r="H191" s="81"/>
      <x:c r="I191" s="81"/>
      <x:c r="J191" s="81"/>
      <x:c r="K191" s="81"/>
      <x:c r="L191" s="81"/>
      <x:c r="M191" s="81"/>
      <x:c r="N191" s="81"/>
      <x:c r="O191" s="81"/>
      <x:c r="P191" s="81"/>
      <x:c r="Q191" s="81"/>
      <x:c r="R191" s="81"/>
      <x:c r="S191" s="81"/>
      <x:c r="T191" s="81"/>
      <x:c r="U191" s="81"/>
      <x:c r="V191" s="81"/>
      <x:c r="W191" s="81"/>
      <x:c r="X191" s="81"/>
      <x:c r="Y191" s="81"/>
      <x:c r="Z191" s="81"/>
    </x:row>
    <x:row r="192">
      <x:c r="A192" s="81"/>
      <x:c r="B192" s="81"/>
      <x:c r="C192" s="81"/>
      <x:c r="D192" s="81"/>
      <x:c r="E192" s="81"/>
      <x:c r="F192" s="81"/>
      <x:c r="G192" s="81"/>
      <x:c r="H192" s="81"/>
      <x:c r="I192" s="81"/>
      <x:c r="J192" s="81"/>
      <x:c r="K192" s="81"/>
      <x:c r="L192" s="81"/>
      <x:c r="M192" s="81"/>
      <x:c r="N192" s="81"/>
      <x:c r="O192" s="81"/>
      <x:c r="P192" s="81"/>
      <x:c r="Q192" s="81"/>
      <x:c r="R192" s="81"/>
      <x:c r="S192" s="81"/>
      <x:c r="T192" s="81"/>
      <x:c r="U192" s="81"/>
      <x:c r="V192" s="81"/>
      <x:c r="W192" s="81"/>
      <x:c r="X192" s="81"/>
      <x:c r="Y192" s="81"/>
      <x:c r="Z192" s="81"/>
    </x:row>
    <x:row r="193">
      <x:c r="A193" s="81"/>
      <x:c r="B193" s="81"/>
      <x:c r="C193" s="81"/>
      <x:c r="D193" s="81"/>
      <x:c r="E193" s="81"/>
      <x:c r="F193" s="81"/>
      <x:c r="G193" s="81"/>
      <x:c r="H193" s="81"/>
      <x:c r="I193" s="81"/>
      <x:c r="J193" s="81"/>
      <x:c r="K193" s="81"/>
      <x:c r="L193" s="81"/>
      <x:c r="M193" s="81"/>
      <x:c r="N193" s="81"/>
      <x:c r="O193" s="81"/>
      <x:c r="P193" s="81"/>
      <x:c r="Q193" s="81"/>
      <x:c r="R193" s="81"/>
      <x:c r="S193" s="81"/>
      <x:c r="T193" s="81"/>
      <x:c r="U193" s="81"/>
      <x:c r="V193" s="81"/>
      <x:c r="W193" s="81"/>
      <x:c r="X193" s="81"/>
      <x:c r="Y193" s="81"/>
      <x:c r="Z193" s="81"/>
    </x:row>
    <x:row r="194">
      <x:c r="A194" s="81"/>
      <x:c r="B194" s="81"/>
      <x:c r="C194" s="81"/>
      <x:c r="D194" s="81"/>
      <x:c r="E194" s="81"/>
      <x:c r="F194" s="81"/>
      <x:c r="G194" s="81"/>
      <x:c r="H194" s="81"/>
      <x:c r="I194" s="81"/>
      <x:c r="J194" s="81"/>
      <x:c r="K194" s="81"/>
      <x:c r="L194" s="81"/>
      <x:c r="M194" s="81"/>
      <x:c r="N194" s="81"/>
      <x:c r="O194" s="81"/>
      <x:c r="P194" s="81"/>
      <x:c r="Q194" s="81"/>
      <x:c r="R194" s="81"/>
      <x:c r="S194" s="81"/>
      <x:c r="T194" s="81"/>
      <x:c r="U194" s="81"/>
      <x:c r="V194" s="81"/>
      <x:c r="W194" s="81"/>
      <x:c r="X194" s="81"/>
      <x:c r="Y194" s="81"/>
      <x:c r="Z194" s="81"/>
    </x:row>
    <x:row r="195">
      <x:c r="A195" s="81"/>
      <x:c r="B195" s="81"/>
      <x:c r="C195" s="81"/>
      <x:c r="D195" s="81"/>
      <x:c r="E195" s="81"/>
      <x:c r="F195" s="81"/>
      <x:c r="G195" s="81"/>
      <x:c r="H195" s="81"/>
      <x:c r="I195" s="81"/>
      <x:c r="J195" s="81"/>
      <x:c r="K195" s="81"/>
      <x:c r="L195" s="81"/>
      <x:c r="M195" s="81"/>
      <x:c r="N195" s="81"/>
      <x:c r="O195" s="81"/>
      <x:c r="P195" s="81"/>
      <x:c r="Q195" s="81"/>
      <x:c r="R195" s="81"/>
      <x:c r="S195" s="81"/>
      <x:c r="T195" s="81"/>
      <x:c r="U195" s="81"/>
      <x:c r="V195" s="81"/>
      <x:c r="W195" s="81"/>
      <x:c r="X195" s="81"/>
      <x:c r="Y195" s="81"/>
      <x:c r="Z195" s="81"/>
    </x:row>
    <x:row r="196">
      <x:c r="A196" s="81"/>
      <x:c r="B196" s="81"/>
      <x:c r="C196" s="81"/>
      <x:c r="D196" s="81"/>
      <x:c r="E196" s="81"/>
      <x:c r="F196" s="81"/>
      <x:c r="G196" s="81"/>
      <x:c r="H196" s="81"/>
      <x:c r="I196" s="81"/>
      <x:c r="J196" s="81"/>
      <x:c r="K196" s="81"/>
      <x:c r="L196" s="81"/>
      <x:c r="M196" s="81"/>
      <x:c r="N196" s="81"/>
      <x:c r="O196" s="81"/>
      <x:c r="P196" s="81"/>
      <x:c r="Q196" s="81"/>
      <x:c r="R196" s="81"/>
      <x:c r="S196" s="81"/>
      <x:c r="T196" s="81"/>
      <x:c r="U196" s="81"/>
      <x:c r="V196" s="81"/>
      <x:c r="W196" s="81"/>
      <x:c r="X196" s="81"/>
      <x:c r="Y196" s="81"/>
      <x:c r="Z196" s="81"/>
    </x:row>
    <x:row r="197">
      <x:c r="A197" s="81"/>
      <x:c r="B197" s="81"/>
      <x:c r="C197" s="81"/>
      <x:c r="D197" s="81"/>
      <x:c r="E197" s="81"/>
      <x:c r="F197" s="81"/>
      <x:c r="G197" s="81"/>
      <x:c r="H197" s="81"/>
      <x:c r="I197" s="81"/>
      <x:c r="J197" s="81"/>
      <x:c r="K197" s="81"/>
      <x:c r="L197" s="81"/>
      <x:c r="M197" s="81"/>
      <x:c r="N197" s="81"/>
      <x:c r="O197" s="81"/>
      <x:c r="P197" s="81"/>
      <x:c r="Q197" s="81"/>
      <x:c r="R197" s="81"/>
      <x:c r="S197" s="81"/>
      <x:c r="T197" s="81"/>
      <x:c r="U197" s="81"/>
      <x:c r="V197" s="81"/>
      <x:c r="W197" s="81"/>
      <x:c r="X197" s="81"/>
      <x:c r="Y197" s="81"/>
      <x:c r="Z197" s="81"/>
    </x:row>
    <x:row r="198">
      <x:c r="A198" s="81"/>
      <x:c r="B198" s="81"/>
      <x:c r="C198" s="81"/>
      <x:c r="D198" s="81"/>
      <x:c r="E198" s="81"/>
      <x:c r="F198" s="81"/>
      <x:c r="G198" s="81"/>
      <x:c r="H198" s="81"/>
      <x:c r="I198" s="81"/>
      <x:c r="J198" s="81"/>
      <x:c r="K198" s="81"/>
      <x:c r="L198" s="81"/>
      <x:c r="M198" s="81"/>
      <x:c r="N198" s="81"/>
      <x:c r="O198" s="81"/>
      <x:c r="P198" s="81"/>
      <x:c r="Q198" s="81"/>
      <x:c r="R198" s="81"/>
      <x:c r="S198" s="81"/>
      <x:c r="T198" s="81"/>
      <x:c r="U198" s="81"/>
      <x:c r="V198" s="81"/>
      <x:c r="W198" s="81"/>
      <x:c r="X198" s="81"/>
      <x:c r="Y198" s="81"/>
      <x:c r="Z198" s="81"/>
    </x:row>
    <x:row r="199">
      <x:c r="A199" s="81"/>
      <x:c r="B199" s="81"/>
      <x:c r="C199" s="81"/>
      <x:c r="D199" s="81"/>
      <x:c r="E199" s="81"/>
      <x:c r="F199" s="81"/>
      <x:c r="G199" s="81"/>
      <x:c r="H199" s="81"/>
      <x:c r="I199" s="81"/>
      <x:c r="J199" s="81"/>
      <x:c r="K199" s="81"/>
      <x:c r="L199" s="81"/>
      <x:c r="M199" s="81"/>
      <x:c r="N199" s="81"/>
      <x:c r="O199" s="81"/>
      <x:c r="P199" s="81"/>
      <x:c r="Q199" s="81"/>
      <x:c r="R199" s="81"/>
      <x:c r="S199" s="81"/>
      <x:c r="T199" s="81"/>
      <x:c r="U199" s="81"/>
      <x:c r="V199" s="81"/>
      <x:c r="W199" s="81"/>
      <x:c r="X199" s="81"/>
      <x:c r="Y199" s="81"/>
      <x:c r="Z199" s="81"/>
    </x:row>
    <x:row r="200">
      <x:c r="A200" s="81"/>
      <x:c r="B200" s="81"/>
      <x:c r="C200" s="81"/>
      <x:c r="D200" s="81"/>
      <x:c r="E200" s="81"/>
      <x:c r="F200" s="81"/>
      <x:c r="G200" s="81"/>
      <x:c r="H200" s="81"/>
      <x:c r="I200" s="81"/>
      <x:c r="J200" s="81"/>
      <x:c r="K200" s="81"/>
      <x:c r="L200" s="81"/>
      <x:c r="M200" s="81"/>
      <x:c r="N200" s="81"/>
      <x:c r="O200" s="81"/>
      <x:c r="P200" s="81"/>
      <x:c r="Q200" s="81"/>
      <x:c r="R200" s="81"/>
      <x:c r="S200" s="81"/>
      <x:c r="T200" s="81"/>
      <x:c r="U200" s="81"/>
      <x:c r="V200" s="81"/>
      <x:c r="W200" s="81"/>
      <x:c r="X200" s="81"/>
      <x:c r="Y200" s="81"/>
      <x:c r="Z200" s="81"/>
    </x:row>
    <x:row r="201">
      <x:c r="A201" s="81"/>
      <x:c r="B201" s="81"/>
      <x:c r="C201" s="81"/>
      <x:c r="D201" s="81"/>
      <x:c r="E201" s="81"/>
      <x:c r="F201" s="81"/>
      <x:c r="G201" s="81"/>
      <x:c r="H201" s="81"/>
      <x:c r="I201" s="81"/>
      <x:c r="J201" s="81"/>
      <x:c r="K201" s="81"/>
      <x:c r="L201" s="81"/>
      <x:c r="M201" s="81"/>
      <x:c r="N201" s="81"/>
      <x:c r="O201" s="81"/>
      <x:c r="P201" s="81"/>
      <x:c r="Q201" s="81"/>
      <x:c r="R201" s="81"/>
      <x:c r="S201" s="81"/>
      <x:c r="T201" s="81"/>
      <x:c r="U201" s="81"/>
      <x:c r="V201" s="81"/>
      <x:c r="W201" s="81"/>
      <x:c r="X201" s="81"/>
      <x:c r="Y201" s="81"/>
      <x:c r="Z201" s="81"/>
    </x:row>
    <x:row r="202">
      <x:c r="A202" s="81"/>
      <x:c r="B202" s="81"/>
      <x:c r="C202" s="81"/>
      <x:c r="D202" s="81"/>
      <x:c r="E202" s="81"/>
      <x:c r="F202" s="81"/>
      <x:c r="G202" s="81"/>
      <x:c r="H202" s="81"/>
      <x:c r="I202" s="81"/>
      <x:c r="J202" s="81"/>
      <x:c r="K202" s="81"/>
      <x:c r="L202" s="81"/>
      <x:c r="M202" s="81"/>
      <x:c r="N202" s="81"/>
      <x:c r="O202" s="81"/>
      <x:c r="P202" s="81"/>
      <x:c r="Q202" s="81"/>
      <x:c r="R202" s="81"/>
      <x:c r="S202" s="81"/>
      <x:c r="T202" s="81"/>
      <x:c r="U202" s="81"/>
      <x:c r="V202" s="81"/>
      <x:c r="W202" s="81"/>
      <x:c r="X202" s="81"/>
      <x:c r="Y202" s="81"/>
      <x:c r="Z202" s="81"/>
    </x:row>
    <x:row r="203">
      <x:c r="A203" s="81"/>
      <x:c r="B203" s="81"/>
      <x:c r="C203" s="81"/>
      <x:c r="D203" s="81"/>
      <x:c r="E203" s="81"/>
      <x:c r="F203" s="81"/>
      <x:c r="G203" s="81"/>
      <x:c r="H203" s="81"/>
      <x:c r="I203" s="81"/>
      <x:c r="J203" s="81"/>
      <x:c r="K203" s="81"/>
      <x:c r="L203" s="81"/>
      <x:c r="M203" s="81"/>
      <x:c r="N203" s="81"/>
      <x:c r="O203" s="81"/>
      <x:c r="P203" s="81"/>
      <x:c r="Q203" s="81"/>
      <x:c r="R203" s="81"/>
      <x:c r="S203" s="81"/>
      <x:c r="T203" s="81"/>
      <x:c r="U203" s="81"/>
      <x:c r="V203" s="81"/>
      <x:c r="W203" s="81"/>
      <x:c r="X203" s="81"/>
      <x:c r="Y203" s="81"/>
      <x:c r="Z203" s="81"/>
    </x:row>
    <x:row r="204">
      <x:c r="A204" s="81"/>
      <x:c r="B204" s="81"/>
      <x:c r="C204" s="81"/>
      <x:c r="D204" s="81"/>
      <x:c r="E204" s="81"/>
      <x:c r="F204" s="81"/>
      <x:c r="G204" s="81"/>
      <x:c r="H204" s="81"/>
      <x:c r="I204" s="81"/>
      <x:c r="J204" s="81"/>
      <x:c r="K204" s="81"/>
      <x:c r="L204" s="81"/>
      <x:c r="M204" s="81"/>
      <x:c r="N204" s="81"/>
      <x:c r="O204" s="81"/>
      <x:c r="P204" s="81"/>
      <x:c r="Q204" s="81"/>
      <x:c r="R204" s="81"/>
      <x:c r="S204" s="81"/>
      <x:c r="T204" s="81"/>
      <x:c r="U204" s="81"/>
      <x:c r="V204" s="81"/>
      <x:c r="W204" s="81"/>
      <x:c r="X204" s="81"/>
      <x:c r="Y204" s="81"/>
      <x:c r="Z204" s="81"/>
    </x:row>
    <x:row r="205">
      <x:c r="A205" s="81"/>
      <x:c r="B205" s="81"/>
      <x:c r="C205" s="81"/>
      <x:c r="D205" s="81"/>
      <x:c r="E205" s="81"/>
      <x:c r="F205" s="81"/>
      <x:c r="G205" s="81"/>
      <x:c r="H205" s="81"/>
      <x:c r="I205" s="81"/>
      <x:c r="J205" s="81"/>
      <x:c r="K205" s="81"/>
      <x:c r="L205" s="81"/>
      <x:c r="M205" s="81"/>
      <x:c r="N205" s="81"/>
      <x:c r="O205" s="81"/>
      <x:c r="P205" s="81"/>
      <x:c r="Q205" s="81"/>
      <x:c r="R205" s="81"/>
      <x:c r="S205" s="81"/>
      <x:c r="T205" s="81"/>
      <x:c r="U205" s="81"/>
      <x:c r="V205" s="81"/>
      <x:c r="W205" s="81"/>
      <x:c r="X205" s="81"/>
      <x:c r="Y205" s="81"/>
      <x:c r="Z205" s="81"/>
    </x:row>
    <x:row r="206">
      <x:c r="A206" s="81"/>
      <x:c r="B206" s="81"/>
      <x:c r="C206" s="81"/>
      <x:c r="D206" s="81"/>
      <x:c r="E206" s="81"/>
      <x:c r="F206" s="81"/>
      <x:c r="G206" s="81"/>
      <x:c r="H206" s="81"/>
      <x:c r="I206" s="81"/>
      <x:c r="J206" s="81"/>
      <x:c r="K206" s="81"/>
      <x:c r="L206" s="81"/>
      <x:c r="M206" s="81"/>
      <x:c r="N206" s="81"/>
      <x:c r="O206" s="81"/>
      <x:c r="P206" s="81"/>
      <x:c r="Q206" s="81"/>
      <x:c r="R206" s="81"/>
      <x:c r="S206" s="81"/>
      <x:c r="T206" s="81"/>
      <x:c r="U206" s="81"/>
      <x:c r="V206" s="81"/>
      <x:c r="W206" s="81"/>
      <x:c r="X206" s="81"/>
      <x:c r="Y206" s="81"/>
      <x:c r="Z206" s="81"/>
    </x:row>
    <x:row r="207">
      <x:c r="A207" s="81"/>
      <x:c r="B207" s="81"/>
      <x:c r="C207" s="81"/>
      <x:c r="D207" s="81"/>
      <x:c r="E207" s="81"/>
      <x:c r="F207" s="81"/>
      <x:c r="G207" s="81"/>
      <x:c r="H207" s="81"/>
      <x:c r="I207" s="81"/>
      <x:c r="J207" s="81"/>
      <x:c r="K207" s="81"/>
      <x:c r="L207" s="81"/>
      <x:c r="M207" s="81"/>
      <x:c r="N207" s="81"/>
      <x:c r="O207" s="81"/>
      <x:c r="P207" s="81"/>
      <x:c r="Q207" s="81"/>
      <x:c r="R207" s="81"/>
      <x:c r="S207" s="81"/>
      <x:c r="T207" s="81"/>
      <x:c r="U207" s="81"/>
      <x:c r="V207" s="81"/>
      <x:c r="W207" s="81"/>
      <x:c r="X207" s="81"/>
      <x:c r="Y207" s="81"/>
      <x:c r="Z207" s="81"/>
    </x:row>
    <x:row r="208">
      <x:c r="A208" s="81"/>
      <x:c r="B208" s="81"/>
      <x:c r="C208" s="81"/>
      <x:c r="D208" s="81"/>
      <x:c r="E208" s="81"/>
      <x:c r="F208" s="81"/>
      <x:c r="G208" s="81"/>
      <x:c r="H208" s="81"/>
      <x:c r="I208" s="81"/>
      <x:c r="J208" s="81"/>
      <x:c r="K208" s="81"/>
      <x:c r="L208" s="81"/>
      <x:c r="M208" s="81"/>
      <x:c r="N208" s="81"/>
      <x:c r="O208" s="81"/>
      <x:c r="P208" s="81"/>
      <x:c r="Q208" s="81"/>
      <x:c r="R208" s="81"/>
      <x:c r="S208" s="81"/>
      <x:c r="T208" s="81"/>
      <x:c r="U208" s="81"/>
      <x:c r="V208" s="81"/>
      <x:c r="W208" s="81"/>
      <x:c r="X208" s="81"/>
      <x:c r="Y208" s="81"/>
      <x:c r="Z208" s="81"/>
    </x:row>
    <x:row r="209">
      <x:c r="A209" s="81"/>
      <x:c r="B209" s="81"/>
      <x:c r="C209" s="81"/>
      <x:c r="D209" s="81"/>
      <x:c r="E209" s="81"/>
      <x:c r="F209" s="81"/>
      <x:c r="G209" s="81"/>
      <x:c r="H209" s="81"/>
      <x:c r="I209" s="81"/>
      <x:c r="J209" s="81"/>
      <x:c r="K209" s="81"/>
      <x:c r="L209" s="81"/>
      <x:c r="M209" s="81"/>
      <x:c r="N209" s="81"/>
      <x:c r="O209" s="81"/>
      <x:c r="P209" s="81"/>
      <x:c r="Q209" s="81"/>
      <x:c r="R209" s="81"/>
      <x:c r="S209" s="81"/>
      <x:c r="T209" s="81"/>
      <x:c r="U209" s="81"/>
      <x:c r="V209" s="81"/>
      <x:c r="W209" s="81"/>
      <x:c r="X209" s="81"/>
      <x:c r="Y209" s="81"/>
      <x:c r="Z209" s="81"/>
    </x:row>
    <x:row r="210">
      <x:c r="A210" s="81"/>
      <x:c r="B210" s="81"/>
      <x:c r="C210" s="81"/>
      <x:c r="D210" s="81"/>
      <x:c r="E210" s="81"/>
      <x:c r="F210" s="81"/>
      <x:c r="G210" s="81"/>
      <x:c r="H210" s="81"/>
      <x:c r="I210" s="81"/>
      <x:c r="J210" s="81"/>
      <x:c r="K210" s="81"/>
      <x:c r="L210" s="81"/>
      <x:c r="M210" s="81"/>
      <x:c r="N210" s="81"/>
      <x:c r="O210" s="81"/>
      <x:c r="P210" s="81"/>
      <x:c r="Q210" s="81"/>
      <x:c r="R210" s="81"/>
      <x:c r="S210" s="81"/>
      <x:c r="T210" s="81"/>
      <x:c r="U210" s="81"/>
      <x:c r="V210" s="81"/>
      <x:c r="W210" s="81"/>
      <x:c r="X210" s="81"/>
      <x:c r="Y210" s="81"/>
      <x:c r="Z210" s="81"/>
    </x:row>
    <x:row r="211">
      <x:c r="A211" s="81"/>
      <x:c r="B211" s="81"/>
      <x:c r="C211" s="81"/>
      <x:c r="D211" s="81"/>
      <x:c r="E211" s="81"/>
      <x:c r="F211" s="81"/>
      <x:c r="G211" s="81"/>
      <x:c r="H211" s="81"/>
      <x:c r="I211" s="81"/>
      <x:c r="J211" s="81"/>
      <x:c r="K211" s="81"/>
      <x:c r="L211" s="81"/>
      <x:c r="M211" s="81"/>
      <x:c r="N211" s="81"/>
      <x:c r="O211" s="81"/>
      <x:c r="P211" s="81"/>
      <x:c r="Q211" s="81"/>
      <x:c r="R211" s="81"/>
      <x:c r="S211" s="81"/>
      <x:c r="T211" s="81"/>
      <x:c r="U211" s="81"/>
      <x:c r="V211" s="81"/>
      <x:c r="W211" s="81"/>
      <x:c r="X211" s="81"/>
      <x:c r="Y211" s="81"/>
      <x:c r="Z211" s="81"/>
    </x:row>
    <x:row r="212">
      <x:c r="A212" s="81"/>
      <x:c r="B212" s="81"/>
      <x:c r="C212" s="81"/>
      <x:c r="D212" s="81"/>
      <x:c r="E212" s="81"/>
      <x:c r="F212" s="81"/>
      <x:c r="G212" s="81"/>
      <x:c r="H212" s="81"/>
      <x:c r="I212" s="81"/>
      <x:c r="J212" s="81"/>
      <x:c r="K212" s="81"/>
      <x:c r="L212" s="81"/>
      <x:c r="M212" s="81"/>
      <x:c r="N212" s="81"/>
      <x:c r="O212" s="81"/>
      <x:c r="P212" s="81"/>
      <x:c r="Q212" s="81"/>
      <x:c r="R212" s="81"/>
      <x:c r="S212" s="81"/>
      <x:c r="T212" s="81"/>
      <x:c r="U212" s="81"/>
      <x:c r="V212" s="81"/>
      <x:c r="W212" s="81"/>
      <x:c r="X212" s="81"/>
      <x:c r="Y212" s="81"/>
      <x:c r="Z212" s="81"/>
    </x:row>
    <x:row r="213">
      <x:c r="A213" s="81"/>
      <x:c r="B213" s="81"/>
      <x:c r="C213" s="81"/>
      <x:c r="D213" s="81"/>
      <x:c r="E213" s="81"/>
      <x:c r="F213" s="81"/>
      <x:c r="G213" s="81"/>
      <x:c r="H213" s="81"/>
      <x:c r="I213" s="81"/>
      <x:c r="J213" s="81"/>
      <x:c r="K213" s="81"/>
      <x:c r="L213" s="81"/>
      <x:c r="M213" s="81"/>
      <x:c r="N213" s="81"/>
      <x:c r="O213" s="81"/>
      <x:c r="P213" s="81"/>
      <x:c r="Q213" s="81"/>
      <x:c r="R213" s="81"/>
      <x:c r="S213" s="81"/>
      <x:c r="T213" s="81"/>
      <x:c r="U213" s="81"/>
      <x:c r="V213" s="81"/>
      <x:c r="W213" s="81"/>
      <x:c r="X213" s="81"/>
      <x:c r="Y213" s="81"/>
      <x:c r="Z213" s="81"/>
    </x:row>
    <x:row r="214">
      <x:c r="A214" s="81"/>
      <x:c r="B214" s="81"/>
      <x:c r="C214" s="81"/>
      <x:c r="D214" s="81"/>
      <x:c r="E214" s="81"/>
      <x:c r="F214" s="81"/>
      <x:c r="G214" s="81"/>
      <x:c r="H214" s="81"/>
      <x:c r="I214" s="81"/>
      <x:c r="J214" s="81"/>
      <x:c r="K214" s="81"/>
      <x:c r="L214" s="81"/>
      <x:c r="M214" s="81"/>
      <x:c r="N214" s="81"/>
      <x:c r="O214" s="81"/>
      <x:c r="P214" s="81"/>
      <x:c r="Q214" s="81"/>
      <x:c r="R214" s="81"/>
      <x:c r="S214" s="81"/>
      <x:c r="T214" s="81"/>
      <x:c r="U214" s="81"/>
      <x:c r="V214" s="81"/>
      <x:c r="W214" s="81"/>
      <x:c r="X214" s="81"/>
      <x:c r="Y214" s="81"/>
      <x:c r="Z214" s="81"/>
    </x:row>
    <x:row r="215">
      <x:c r="A215" s="81"/>
      <x:c r="B215" s="81"/>
      <x:c r="C215" s="81"/>
      <x:c r="D215" s="81"/>
      <x:c r="E215" s="81"/>
      <x:c r="F215" s="81"/>
      <x:c r="G215" s="81"/>
      <x:c r="H215" s="81"/>
      <x:c r="I215" s="81"/>
      <x:c r="J215" s="81"/>
      <x:c r="K215" s="81"/>
      <x:c r="L215" s="81"/>
      <x:c r="M215" s="81"/>
      <x:c r="N215" s="81"/>
      <x:c r="O215" s="81"/>
      <x:c r="P215" s="81"/>
      <x:c r="Q215" s="81"/>
      <x:c r="R215" s="81"/>
      <x:c r="S215" s="81"/>
      <x:c r="T215" s="81"/>
      <x:c r="U215" s="81"/>
      <x:c r="V215" s="81"/>
      <x:c r="W215" s="81"/>
      <x:c r="X215" s="81"/>
      <x:c r="Y215" s="81"/>
      <x:c r="Z215" s="81"/>
    </x:row>
    <x:row r="216">
      <x:c r="A216" s="81"/>
      <x:c r="B216" s="81"/>
      <x:c r="C216" s="81"/>
      <x:c r="D216" s="81"/>
      <x:c r="E216" s="81"/>
      <x:c r="F216" s="81"/>
      <x:c r="G216" s="81"/>
      <x:c r="H216" s="81"/>
      <x:c r="I216" s="81"/>
      <x:c r="J216" s="81"/>
      <x:c r="K216" s="81"/>
      <x:c r="L216" s="81"/>
      <x:c r="M216" s="81"/>
      <x:c r="N216" s="81"/>
      <x:c r="O216" s="81"/>
      <x:c r="P216" s="81"/>
      <x:c r="Q216" s="81"/>
      <x:c r="R216" s="81"/>
      <x:c r="S216" s="81"/>
      <x:c r="T216" s="81"/>
      <x:c r="U216" s="81"/>
      <x:c r="V216" s="81"/>
      <x:c r="W216" s="81"/>
      <x:c r="X216" s="81"/>
      <x:c r="Y216" s="81"/>
      <x:c r="Z216" s="81"/>
    </x:row>
    <x:row r="217">
      <x:c r="A217" s="81"/>
      <x:c r="B217" s="81"/>
      <x:c r="C217" s="81"/>
      <x:c r="D217" s="81"/>
      <x:c r="E217" s="81"/>
      <x:c r="F217" s="81"/>
      <x:c r="G217" s="81"/>
      <x:c r="H217" s="81"/>
      <x:c r="I217" s="81"/>
      <x:c r="J217" s="81"/>
      <x:c r="K217" s="81"/>
      <x:c r="L217" s="81"/>
      <x:c r="M217" s="81"/>
      <x:c r="N217" s="81"/>
      <x:c r="O217" s="81"/>
      <x:c r="P217" s="81"/>
      <x:c r="Q217" s="81"/>
      <x:c r="R217" s="81"/>
      <x:c r="S217" s="81"/>
      <x:c r="T217" s="81"/>
      <x:c r="U217" s="81"/>
      <x:c r="V217" s="81"/>
      <x:c r="W217" s="81"/>
      <x:c r="X217" s="81"/>
      <x:c r="Y217" s="81"/>
      <x:c r="Z217" s="81"/>
    </x:row>
    <x:row r="218">
      <x:c r="A218" s="81"/>
      <x:c r="B218" s="81"/>
      <x:c r="C218" s="81"/>
      <x:c r="D218" s="81"/>
      <x:c r="E218" s="81"/>
      <x:c r="F218" s="81"/>
      <x:c r="G218" s="81"/>
      <x:c r="H218" s="81"/>
      <x:c r="I218" s="81"/>
      <x:c r="J218" s="81"/>
      <x:c r="K218" s="81"/>
      <x:c r="L218" s="81"/>
      <x:c r="M218" s="81"/>
      <x:c r="N218" s="81"/>
      <x:c r="O218" s="81"/>
      <x:c r="P218" s="81"/>
      <x:c r="Q218" s="81"/>
      <x:c r="R218" s="81"/>
      <x:c r="S218" s="81"/>
      <x:c r="T218" s="81"/>
      <x:c r="U218" s="81"/>
      <x:c r="V218" s="81"/>
      <x:c r="W218" s="81"/>
      <x:c r="X218" s="81"/>
      <x:c r="Y218" s="81"/>
      <x:c r="Z218" s="81"/>
    </x:row>
    <x:row r="219">
      <x:c r="A219" s="81"/>
      <x:c r="B219" s="81"/>
      <x:c r="C219" s="81"/>
      <x:c r="D219" s="81"/>
      <x:c r="E219" s="81"/>
      <x:c r="F219" s="81"/>
      <x:c r="G219" s="81"/>
      <x:c r="H219" s="81"/>
      <x:c r="I219" s="81"/>
      <x:c r="J219" s="81"/>
      <x:c r="K219" s="81"/>
      <x:c r="L219" s="81"/>
      <x:c r="M219" s="81"/>
      <x:c r="N219" s="81"/>
      <x:c r="O219" s="81"/>
      <x:c r="P219" s="81"/>
      <x:c r="Q219" s="81"/>
      <x:c r="R219" s="81"/>
      <x:c r="S219" s="81"/>
      <x:c r="T219" s="81"/>
      <x:c r="U219" s="81"/>
      <x:c r="V219" s="81"/>
      <x:c r="W219" s="81"/>
      <x:c r="X219" s="81"/>
      <x:c r="Y219" s="81"/>
      <x:c r="Z219" s="81"/>
    </x:row>
    <x:row r="220">
      <x:c r="A220" s="81"/>
      <x:c r="B220" s="81"/>
      <x:c r="C220" s="81"/>
      <x:c r="D220" s="81"/>
      <x:c r="E220" s="81"/>
      <x:c r="F220" s="81"/>
      <x:c r="G220" s="81"/>
      <x:c r="H220" s="81"/>
      <x:c r="I220" s="81"/>
      <x:c r="J220" s="81"/>
      <x:c r="K220" s="81"/>
      <x:c r="L220" s="81"/>
      <x:c r="M220" s="81"/>
      <x:c r="N220" s="81"/>
      <x:c r="O220" s="81"/>
      <x:c r="P220" s="81"/>
      <x:c r="Q220" s="81"/>
      <x:c r="R220" s="81"/>
      <x:c r="S220" s="81"/>
      <x:c r="T220" s="81"/>
      <x:c r="U220" s="81"/>
      <x:c r="V220" s="81"/>
      <x:c r="W220" s="81"/>
      <x:c r="X220" s="81"/>
      <x:c r="Y220" s="81"/>
      <x:c r="Z220" s="81"/>
    </x:row>
    <x:row r="221">
      <x:c r="A221" s="81"/>
      <x:c r="B221" s="81"/>
      <x:c r="C221" s="81"/>
      <x:c r="D221" s="81"/>
      <x:c r="E221" s="81"/>
      <x:c r="F221" s="81"/>
      <x:c r="G221" s="81"/>
      <x:c r="H221" s="81"/>
      <x:c r="I221" s="81"/>
      <x:c r="J221" s="81"/>
      <x:c r="K221" s="81"/>
      <x:c r="L221" s="81"/>
      <x:c r="M221" s="81"/>
      <x:c r="N221" s="81"/>
      <x:c r="O221" s="81"/>
      <x:c r="P221" s="81"/>
      <x:c r="Q221" s="81"/>
      <x:c r="R221" s="81"/>
      <x:c r="S221" s="81"/>
      <x:c r="T221" s="81"/>
      <x:c r="U221" s="81"/>
      <x:c r="V221" s="81"/>
      <x:c r="W221" s="81"/>
      <x:c r="X221" s="81"/>
      <x:c r="Y221" s="81"/>
      <x:c r="Z221" s="81"/>
    </x:row>
    <x:row r="222">
      <x:c r="A222" s="81"/>
      <x:c r="B222" s="81"/>
      <x:c r="C222" s="81"/>
      <x:c r="D222" s="81"/>
      <x:c r="E222" s="81"/>
      <x:c r="F222" s="81"/>
      <x:c r="G222" s="81"/>
      <x:c r="H222" s="81"/>
      <x:c r="I222" s="81"/>
      <x:c r="J222" s="81"/>
      <x:c r="K222" s="81"/>
      <x:c r="L222" s="81"/>
      <x:c r="M222" s="81"/>
      <x:c r="N222" s="81"/>
      <x:c r="O222" s="81"/>
      <x:c r="P222" s="81"/>
      <x:c r="Q222" s="81"/>
      <x:c r="R222" s="81"/>
      <x:c r="S222" s="81"/>
      <x:c r="T222" s="81"/>
      <x:c r="U222" s="81"/>
      <x:c r="V222" s="81"/>
      <x:c r="W222" s="81"/>
      <x:c r="X222" s="81"/>
      <x:c r="Y222" s="81"/>
      <x:c r="Z222" s="81"/>
    </x:row>
    <x:row r="223">
      <x:c r="A223" s="81"/>
      <x:c r="B223" s="81"/>
      <x:c r="C223" s="81"/>
      <x:c r="D223" s="81"/>
      <x:c r="E223" s="81"/>
      <x:c r="F223" s="81"/>
      <x:c r="G223" s="81"/>
      <x:c r="H223" s="81"/>
      <x:c r="I223" s="81"/>
      <x:c r="J223" s="81"/>
      <x:c r="K223" s="81"/>
      <x:c r="L223" s="81"/>
      <x:c r="M223" s="81"/>
      <x:c r="N223" s="81"/>
      <x:c r="O223" s="81"/>
      <x:c r="P223" s="81"/>
      <x:c r="Q223" s="81"/>
      <x:c r="R223" s="81"/>
      <x:c r="S223" s="81"/>
      <x:c r="T223" s="81"/>
      <x:c r="U223" s="81"/>
      <x:c r="V223" s="81"/>
      <x:c r="W223" s="81"/>
      <x:c r="X223" s="81"/>
      <x:c r="Y223" s="81"/>
      <x:c r="Z223" s="81"/>
    </x:row>
    <x:row r="224">
      <x:c r="A224" s="81"/>
      <x:c r="B224" s="81"/>
      <x:c r="C224" s="81"/>
      <x:c r="D224" s="81"/>
      <x:c r="E224" s="81"/>
      <x:c r="F224" s="81"/>
      <x:c r="G224" s="81"/>
      <x:c r="H224" s="81"/>
      <x:c r="I224" s="81"/>
      <x:c r="J224" s="81"/>
      <x:c r="K224" s="81"/>
      <x:c r="L224" s="81"/>
      <x:c r="M224" s="81"/>
      <x:c r="N224" s="81"/>
      <x:c r="O224" s="81"/>
      <x:c r="P224" s="81"/>
      <x:c r="Q224" s="81"/>
      <x:c r="R224" s="81"/>
      <x:c r="S224" s="81"/>
      <x:c r="T224" s="81"/>
      <x:c r="U224" s="81"/>
      <x:c r="V224" s="81"/>
      <x:c r="W224" s="81"/>
      <x:c r="X224" s="81"/>
      <x:c r="Y224" s="81"/>
      <x:c r="Z224" s="81"/>
    </x:row>
    <x:row r="225">
      <x:c r="A225" s="81"/>
      <x:c r="B225" s="81"/>
      <x:c r="C225" s="81"/>
      <x:c r="D225" s="81"/>
      <x:c r="E225" s="81"/>
      <x:c r="F225" s="81"/>
      <x:c r="G225" s="81"/>
      <x:c r="H225" s="81"/>
      <x:c r="I225" s="81"/>
      <x:c r="J225" s="81"/>
      <x:c r="K225" s="81"/>
      <x:c r="L225" s="81"/>
      <x:c r="M225" s="81"/>
      <x:c r="N225" s="81"/>
      <x:c r="O225" s="81"/>
      <x:c r="P225" s="81"/>
      <x:c r="Q225" s="81"/>
      <x:c r="R225" s="81"/>
      <x:c r="S225" s="81"/>
      <x:c r="T225" s="81"/>
      <x:c r="U225" s="81"/>
      <x:c r="V225" s="81"/>
      <x:c r="W225" s="81"/>
      <x:c r="X225" s="81"/>
      <x:c r="Y225" s="81"/>
      <x:c r="Z225" s="81"/>
    </x:row>
    <x:row r="226">
      <x:c r="A226" s="81"/>
      <x:c r="B226" s="81"/>
      <x:c r="C226" s="81"/>
      <x:c r="D226" s="81"/>
      <x:c r="E226" s="81"/>
      <x:c r="F226" s="81"/>
      <x:c r="G226" s="81"/>
      <x:c r="H226" s="81"/>
      <x:c r="I226" s="81"/>
      <x:c r="J226" s="81"/>
      <x:c r="K226" s="81"/>
      <x:c r="L226" s="81"/>
      <x:c r="M226" s="81"/>
      <x:c r="N226" s="81"/>
      <x:c r="O226" s="81"/>
      <x:c r="P226" s="81"/>
      <x:c r="Q226" s="81"/>
      <x:c r="R226" s="81"/>
      <x:c r="S226" s="81"/>
      <x:c r="T226" s="81"/>
      <x:c r="U226" s="81"/>
      <x:c r="V226" s="81"/>
      <x:c r="W226" s="81"/>
      <x:c r="X226" s="81"/>
      <x:c r="Y226" s="81"/>
      <x:c r="Z226" s="81"/>
    </x:row>
    <x:row r="227">
      <x:c r="A227" s="81"/>
      <x:c r="B227" s="81"/>
      <x:c r="C227" s="81"/>
      <x:c r="D227" s="81"/>
      <x:c r="E227" s="81"/>
      <x:c r="F227" s="81"/>
      <x:c r="G227" s="81"/>
      <x:c r="H227" s="81"/>
      <x:c r="I227" s="81"/>
      <x:c r="J227" s="81"/>
      <x:c r="K227" s="81"/>
      <x:c r="L227" s="81"/>
      <x:c r="M227" s="81"/>
      <x:c r="N227" s="81"/>
      <x:c r="O227" s="81"/>
      <x:c r="P227" s="81"/>
      <x:c r="Q227" s="81"/>
      <x:c r="R227" s="81"/>
      <x:c r="S227" s="81"/>
      <x:c r="T227" s="81"/>
      <x:c r="U227" s="81"/>
      <x:c r="V227" s="81"/>
      <x:c r="W227" s="81"/>
      <x:c r="X227" s="81"/>
      <x:c r="Y227" s="81"/>
      <x:c r="Z227" s="81"/>
    </x:row>
    <x:row r="228">
      <x:c r="A228" s="81"/>
      <x:c r="B228" s="81"/>
      <x:c r="C228" s="81"/>
      <x:c r="D228" s="81"/>
      <x:c r="E228" s="81"/>
      <x:c r="F228" s="81"/>
      <x:c r="G228" s="81"/>
      <x:c r="H228" s="81"/>
      <x:c r="I228" s="81"/>
      <x:c r="J228" s="81"/>
      <x:c r="K228" s="81"/>
      <x:c r="L228" s="81"/>
      <x:c r="M228" s="81"/>
      <x:c r="N228" s="81"/>
      <x:c r="O228" s="81"/>
      <x:c r="P228" s="81"/>
      <x:c r="Q228" s="81"/>
      <x:c r="R228" s="81"/>
      <x:c r="S228" s="81"/>
      <x:c r="T228" s="81"/>
      <x:c r="U228" s="81"/>
      <x:c r="V228" s="81"/>
      <x:c r="W228" s="81"/>
      <x:c r="X228" s="81"/>
      <x:c r="Y228" s="81"/>
      <x:c r="Z228" s="81"/>
    </x:row>
    <x:row r="229">
      <x:c r="A229" s="81"/>
      <x:c r="B229" s="81"/>
      <x:c r="C229" s="81"/>
      <x:c r="D229" s="81"/>
      <x:c r="E229" s="81"/>
      <x:c r="F229" s="81"/>
      <x:c r="G229" s="81"/>
      <x:c r="H229" s="81"/>
      <x:c r="I229" s="81"/>
      <x:c r="J229" s="81"/>
      <x:c r="K229" s="81"/>
      <x:c r="L229" s="81"/>
      <x:c r="M229" s="81"/>
      <x:c r="N229" s="81"/>
      <x:c r="O229" s="81"/>
      <x:c r="P229" s="81"/>
      <x:c r="Q229" s="81"/>
      <x:c r="R229" s="81"/>
      <x:c r="S229" s="81"/>
      <x:c r="T229" s="81"/>
      <x:c r="U229" s="81"/>
      <x:c r="V229" s="81"/>
      <x:c r="W229" s="81"/>
      <x:c r="X229" s="81"/>
      <x:c r="Y229" s="81"/>
      <x:c r="Z229" s="81"/>
    </x:row>
    <x:row r="230">
      <x:c r="A230" s="81"/>
      <x:c r="B230" s="81"/>
      <x:c r="C230" s="81"/>
      <x:c r="D230" s="81"/>
      <x:c r="E230" s="81"/>
      <x:c r="F230" s="81"/>
      <x:c r="G230" s="81"/>
      <x:c r="H230" s="81"/>
      <x:c r="I230" s="81"/>
      <x:c r="J230" s="81"/>
      <x:c r="K230" s="81"/>
      <x:c r="L230" s="81"/>
      <x:c r="M230" s="81"/>
      <x:c r="N230" s="81"/>
      <x:c r="O230" s="81"/>
      <x:c r="P230" s="81"/>
      <x:c r="Q230" s="81"/>
      <x:c r="R230" s="81"/>
      <x:c r="S230" s="81"/>
      <x:c r="T230" s="81"/>
      <x:c r="U230" s="81"/>
      <x:c r="V230" s="81"/>
      <x:c r="W230" s="81"/>
      <x:c r="X230" s="81"/>
      <x:c r="Y230" s="81"/>
      <x:c r="Z230" s="81"/>
    </x:row>
    <x:row r="231">
      <x:c r="A231" s="81"/>
      <x:c r="B231" s="81"/>
      <x:c r="C231" s="81"/>
      <x:c r="D231" s="81"/>
      <x:c r="E231" s="81"/>
      <x:c r="F231" s="81"/>
      <x:c r="G231" s="81"/>
      <x:c r="H231" s="81"/>
      <x:c r="I231" s="81"/>
      <x:c r="J231" s="81"/>
      <x:c r="K231" s="81"/>
      <x:c r="L231" s="81"/>
      <x:c r="M231" s="81"/>
      <x:c r="N231" s="81"/>
      <x:c r="O231" s="81"/>
      <x:c r="P231" s="81"/>
      <x:c r="Q231" s="81"/>
      <x:c r="R231" s="81"/>
      <x:c r="S231" s="81"/>
      <x:c r="T231" s="81"/>
      <x:c r="U231" s="81"/>
      <x:c r="V231" s="81"/>
      <x:c r="W231" s="81"/>
      <x:c r="X231" s="81"/>
      <x:c r="Y231" s="81"/>
      <x:c r="Z231" s="81"/>
    </x:row>
    <x:row r="232">
      <x:c r="A232" s="81"/>
      <x:c r="B232" s="81"/>
      <x:c r="C232" s="81"/>
      <x:c r="D232" s="81"/>
      <x:c r="E232" s="81"/>
      <x:c r="F232" s="81"/>
      <x:c r="G232" s="81"/>
      <x:c r="H232" s="81"/>
      <x:c r="I232" s="81"/>
      <x:c r="J232" s="81"/>
      <x:c r="K232" s="81"/>
      <x:c r="L232" s="81"/>
      <x:c r="M232" s="81"/>
      <x:c r="N232" s="81"/>
      <x:c r="O232" s="81"/>
      <x:c r="P232" s="81"/>
      <x:c r="Q232" s="81"/>
      <x:c r="R232" s="81"/>
      <x:c r="S232" s="81"/>
      <x:c r="T232" s="81"/>
      <x:c r="U232" s="81"/>
      <x:c r="V232" s="81"/>
      <x:c r="W232" s="81"/>
      <x:c r="X232" s="81"/>
      <x:c r="Y232" s="81"/>
      <x:c r="Z232" s="81"/>
    </x:row>
    <x:row r="233">
      <x:c r="A233" s="81"/>
      <x:c r="B233" s="81"/>
      <x:c r="C233" s="81"/>
      <x:c r="D233" s="81"/>
      <x:c r="E233" s="81"/>
      <x:c r="F233" s="81"/>
      <x:c r="G233" s="81"/>
      <x:c r="H233" s="81"/>
      <x:c r="I233" s="81"/>
      <x:c r="J233" s="81"/>
      <x:c r="K233" s="81"/>
      <x:c r="L233" s="81"/>
      <x:c r="M233" s="81"/>
      <x:c r="N233" s="81"/>
      <x:c r="O233" s="81"/>
      <x:c r="P233" s="81"/>
      <x:c r="Q233" s="81"/>
      <x:c r="R233" s="81"/>
      <x:c r="S233" s="81"/>
      <x:c r="T233" s="81"/>
      <x:c r="U233" s="81"/>
      <x:c r="V233" s="81"/>
      <x:c r="W233" s="81"/>
      <x:c r="X233" s="81"/>
      <x:c r="Y233" s="81"/>
      <x:c r="Z233" s="81"/>
    </x:row>
    <x:row r="234">
      <x:c r="A234" s="81"/>
      <x:c r="B234" s="81"/>
      <x:c r="C234" s="81"/>
      <x:c r="D234" s="81"/>
      <x:c r="E234" s="81"/>
      <x:c r="F234" s="81"/>
      <x:c r="G234" s="81"/>
      <x:c r="H234" s="81"/>
      <x:c r="I234" s="81"/>
      <x:c r="J234" s="81"/>
      <x:c r="K234" s="81"/>
      <x:c r="L234" s="81"/>
      <x:c r="M234" s="81"/>
      <x:c r="N234" s="81"/>
      <x:c r="O234" s="81"/>
      <x:c r="P234" s="81"/>
      <x:c r="Q234" s="81"/>
      <x:c r="R234" s="81"/>
      <x:c r="S234" s="81"/>
      <x:c r="T234" s="81"/>
      <x:c r="U234" s="81"/>
      <x:c r="V234" s="81"/>
      <x:c r="W234" s="81"/>
      <x:c r="X234" s="81"/>
      <x:c r="Y234" s="81"/>
      <x:c r="Z234" s="81"/>
    </x:row>
    <x:row r="235">
      <x:c r="A235" s="81"/>
      <x:c r="B235" s="81"/>
      <x:c r="C235" s="81"/>
      <x:c r="D235" s="81"/>
      <x:c r="E235" s="81"/>
      <x:c r="F235" s="81"/>
      <x:c r="G235" s="81"/>
      <x:c r="H235" s="81"/>
      <x:c r="I235" s="81"/>
      <x:c r="J235" s="81"/>
      <x:c r="K235" s="81"/>
      <x:c r="L235" s="81"/>
      <x:c r="M235" s="81"/>
      <x:c r="N235" s="81"/>
      <x:c r="O235" s="81"/>
      <x:c r="P235" s="81"/>
      <x:c r="Q235" s="81"/>
      <x:c r="R235" s="81"/>
      <x:c r="S235" s="81"/>
      <x:c r="T235" s="81"/>
      <x:c r="U235" s="81"/>
      <x:c r="V235" s="81"/>
      <x:c r="W235" s="81"/>
      <x:c r="X235" s="81"/>
      <x:c r="Y235" s="81"/>
      <x:c r="Z235" s="81"/>
    </x:row>
    <x:row r="236">
      <x:c r="A236" s="81"/>
      <x:c r="B236" s="81"/>
      <x:c r="C236" s="81"/>
      <x:c r="D236" s="81"/>
      <x:c r="E236" s="81"/>
      <x:c r="F236" s="81"/>
      <x:c r="G236" s="81"/>
      <x:c r="H236" s="81"/>
      <x:c r="I236" s="81"/>
      <x:c r="J236" s="81"/>
      <x:c r="K236" s="81"/>
      <x:c r="L236" s="81"/>
      <x:c r="M236" s="81"/>
      <x:c r="N236" s="81"/>
      <x:c r="O236" s="81"/>
      <x:c r="P236" s="81"/>
      <x:c r="Q236" s="81"/>
      <x:c r="R236" s="81"/>
      <x:c r="S236" s="81"/>
      <x:c r="T236" s="81"/>
      <x:c r="U236" s="81"/>
      <x:c r="V236" s="81"/>
      <x:c r="W236" s="81"/>
      <x:c r="X236" s="81"/>
      <x:c r="Y236" s="81"/>
      <x:c r="Z236" s="81"/>
    </x:row>
    <x:row r="237">
      <x:c r="A237" s="81"/>
      <x:c r="B237" s="81"/>
      <x:c r="C237" s="81"/>
      <x:c r="D237" s="81"/>
      <x:c r="E237" s="81"/>
      <x:c r="F237" s="81"/>
      <x:c r="G237" s="81"/>
      <x:c r="H237" s="81"/>
      <x:c r="I237" s="81"/>
      <x:c r="J237" s="81"/>
      <x:c r="K237" s="81"/>
      <x:c r="L237" s="81"/>
      <x:c r="M237" s="81"/>
      <x:c r="N237" s="81"/>
      <x:c r="O237" s="81"/>
      <x:c r="P237" s="81"/>
      <x:c r="Q237" s="81"/>
      <x:c r="R237" s="81"/>
      <x:c r="S237" s="81"/>
      <x:c r="T237" s="81"/>
      <x:c r="U237" s="81"/>
      <x:c r="V237" s="81"/>
      <x:c r="W237" s="81"/>
      <x:c r="X237" s="81"/>
      <x:c r="Y237" s="81"/>
      <x:c r="Z237" s="81"/>
    </x:row>
    <x:row r="238">
      <x:c r="A238" s="81"/>
      <x:c r="B238" s="81"/>
      <x:c r="C238" s="81"/>
      <x:c r="D238" s="81"/>
      <x:c r="E238" s="81"/>
      <x:c r="F238" s="81"/>
      <x:c r="G238" s="81"/>
      <x:c r="H238" s="81"/>
      <x:c r="I238" s="81"/>
      <x:c r="J238" s="81"/>
      <x:c r="K238" s="81"/>
      <x:c r="L238" s="81"/>
      <x:c r="M238" s="81"/>
      <x:c r="N238" s="81"/>
      <x:c r="O238" s="81"/>
      <x:c r="P238" s="81"/>
      <x:c r="Q238" s="81"/>
      <x:c r="R238" s="81"/>
      <x:c r="S238" s="81"/>
      <x:c r="T238" s="81"/>
      <x:c r="U238" s="81"/>
      <x:c r="V238" s="81"/>
      <x:c r="W238" s="81"/>
      <x:c r="X238" s="81"/>
      <x:c r="Y238" s="81"/>
      <x:c r="Z238" s="81"/>
    </x:row>
    <x:row r="239">
      <x:c r="A239" s="81"/>
      <x:c r="B239" s="81"/>
      <x:c r="C239" s="81"/>
      <x:c r="D239" s="81"/>
      <x:c r="E239" s="81"/>
      <x:c r="F239" s="81"/>
      <x:c r="G239" s="81"/>
      <x:c r="H239" s="81"/>
      <x:c r="I239" s="81"/>
      <x:c r="J239" s="81"/>
      <x:c r="K239" s="81"/>
      <x:c r="L239" s="81"/>
      <x:c r="M239" s="81"/>
      <x:c r="N239" s="81"/>
      <x:c r="O239" s="81"/>
      <x:c r="P239" s="81"/>
      <x:c r="Q239" s="81"/>
      <x:c r="R239" s="81"/>
      <x:c r="S239" s="81"/>
      <x:c r="T239" s="81"/>
      <x:c r="U239" s="81"/>
      <x:c r="V239" s="81"/>
      <x:c r="W239" s="81"/>
      <x:c r="X239" s="81"/>
      <x:c r="Y239" s="81"/>
      <x:c r="Z239" s="81"/>
    </x:row>
    <x:row r="240">
      <x:c r="A240" s="81"/>
      <x:c r="B240" s="81"/>
      <x:c r="C240" s="81"/>
      <x:c r="D240" s="81"/>
      <x:c r="E240" s="81"/>
      <x:c r="F240" s="81"/>
      <x:c r="G240" s="81"/>
      <x:c r="H240" s="81"/>
      <x:c r="I240" s="81"/>
      <x:c r="J240" s="81"/>
      <x:c r="K240" s="81"/>
      <x:c r="L240" s="81"/>
      <x:c r="M240" s="81"/>
      <x:c r="N240" s="81"/>
      <x:c r="O240" s="81"/>
      <x:c r="P240" s="81"/>
      <x:c r="Q240" s="81"/>
      <x:c r="R240" s="81"/>
      <x:c r="S240" s="81"/>
      <x:c r="T240" s="81"/>
      <x:c r="U240" s="81"/>
      <x:c r="V240" s="81"/>
      <x:c r="W240" s="81"/>
      <x:c r="X240" s="81"/>
      <x:c r="Y240" s="81"/>
      <x:c r="Z240" s="81"/>
    </x:row>
    <x:row r="241">
      <x:c r="A241" s="81"/>
      <x:c r="B241" s="81"/>
      <x:c r="C241" s="81"/>
      <x:c r="D241" s="81"/>
      <x:c r="E241" s="81"/>
      <x:c r="F241" s="81"/>
      <x:c r="G241" s="81"/>
      <x:c r="H241" s="81"/>
      <x:c r="I241" s="81"/>
      <x:c r="J241" s="81"/>
      <x:c r="K241" s="81"/>
      <x:c r="L241" s="81"/>
      <x:c r="M241" s="81"/>
      <x:c r="N241" s="81"/>
      <x:c r="O241" s="81"/>
      <x:c r="P241" s="81"/>
      <x:c r="Q241" s="81"/>
      <x:c r="R241" s="81"/>
      <x:c r="S241" s="81"/>
      <x:c r="T241" s="81"/>
      <x:c r="U241" s="81"/>
      <x:c r="V241" s="81"/>
      <x:c r="W241" s="81"/>
      <x:c r="X241" s="81"/>
      <x:c r="Y241" s="81"/>
      <x:c r="Z241" s="81"/>
    </x:row>
    <x:row r="242">
      <x:c r="A242" s="81"/>
      <x:c r="B242" s="81"/>
      <x:c r="C242" s="81"/>
      <x:c r="D242" s="81"/>
      <x:c r="E242" s="81"/>
      <x:c r="F242" s="81"/>
      <x:c r="G242" s="81"/>
      <x:c r="H242" s="81"/>
      <x:c r="I242" s="81"/>
      <x:c r="J242" s="81"/>
      <x:c r="K242" s="81"/>
      <x:c r="L242" s="81"/>
      <x:c r="M242" s="81"/>
      <x:c r="N242" s="81"/>
      <x:c r="O242" s="81"/>
      <x:c r="P242" s="81"/>
      <x:c r="Q242" s="81"/>
      <x:c r="R242" s="81"/>
      <x:c r="S242" s="81"/>
      <x:c r="T242" s="81"/>
      <x:c r="U242" s="81"/>
      <x:c r="V242" s="81"/>
      <x:c r="W242" s="81"/>
      <x:c r="X242" s="81"/>
      <x:c r="Y242" s="81"/>
      <x:c r="Z242" s="81"/>
    </x:row>
    <x:row r="243">
      <x:c r="A243" s="81"/>
      <x:c r="B243" s="81"/>
      <x:c r="C243" s="81"/>
      <x:c r="D243" s="81"/>
      <x:c r="E243" s="81"/>
      <x:c r="F243" s="81"/>
      <x:c r="G243" s="81"/>
      <x:c r="H243" s="81"/>
      <x:c r="I243" s="81"/>
      <x:c r="J243" s="81"/>
      <x:c r="K243" s="81"/>
      <x:c r="L243" s="81"/>
      <x:c r="M243" s="81"/>
      <x:c r="N243" s="81"/>
      <x:c r="O243" s="81"/>
      <x:c r="P243" s="81"/>
      <x:c r="Q243" s="81"/>
      <x:c r="R243" s="81"/>
      <x:c r="S243" s="81"/>
      <x:c r="T243" s="81"/>
      <x:c r="U243" s="81"/>
      <x:c r="V243" s="81"/>
      <x:c r="W243" s="81"/>
      <x:c r="X243" s="81"/>
      <x:c r="Y243" s="81"/>
      <x:c r="Z243" s="81"/>
    </x:row>
    <x:row r="244">
      <x:c r="A244" s="81"/>
      <x:c r="B244" s="81"/>
      <x:c r="C244" s="81"/>
      <x:c r="D244" s="81"/>
      <x:c r="E244" s="81"/>
      <x:c r="F244" s="81"/>
      <x:c r="G244" s="81"/>
      <x:c r="H244" s="81"/>
      <x:c r="I244" s="81"/>
      <x:c r="J244" s="81"/>
      <x:c r="K244" s="81"/>
      <x:c r="L244" s="81"/>
      <x:c r="M244" s="81"/>
      <x:c r="N244" s="81"/>
      <x:c r="O244" s="81"/>
      <x:c r="P244" s="81"/>
      <x:c r="Q244" s="81"/>
      <x:c r="R244" s="81"/>
      <x:c r="S244" s="81"/>
      <x:c r="T244" s="81"/>
      <x:c r="U244" s="81"/>
      <x:c r="V244" s="81"/>
      <x:c r="W244" s="81"/>
      <x:c r="X244" s="81"/>
      <x:c r="Y244" s="81"/>
      <x:c r="Z244" s="81"/>
    </x:row>
    <x:row r="245">
      <x:c r="A245" s="81"/>
      <x:c r="B245" s="81"/>
      <x:c r="C245" s="81"/>
      <x:c r="D245" s="81"/>
      <x:c r="E245" s="81"/>
      <x:c r="F245" s="81"/>
      <x:c r="G245" s="81"/>
      <x:c r="H245" s="81"/>
      <x:c r="I245" s="81"/>
      <x:c r="J245" s="81"/>
      <x:c r="K245" s="81"/>
      <x:c r="L245" s="81"/>
      <x:c r="M245" s="81"/>
      <x:c r="N245" s="81"/>
      <x:c r="O245" s="81"/>
      <x:c r="P245" s="81"/>
      <x:c r="Q245" s="81"/>
      <x:c r="R245" s="81"/>
      <x:c r="S245" s="81"/>
      <x:c r="T245" s="81"/>
      <x:c r="U245" s="81"/>
      <x:c r="V245" s="81"/>
      <x:c r="W245" s="81"/>
      <x:c r="X245" s="81"/>
      <x:c r="Y245" s="81"/>
      <x:c r="Z245" s="81"/>
    </x:row>
    <x:row r="246">
      <x:c r="A246" s="81"/>
      <x:c r="B246" s="81"/>
      <x:c r="C246" s="81"/>
      <x:c r="D246" s="81"/>
      <x:c r="E246" s="81"/>
      <x:c r="F246" s="81"/>
      <x:c r="G246" s="81"/>
      <x:c r="H246" s="81"/>
      <x:c r="I246" s="81"/>
      <x:c r="J246" s="81"/>
      <x:c r="K246" s="81"/>
      <x:c r="L246" s="81"/>
      <x:c r="M246" s="81"/>
      <x:c r="N246" s="81"/>
      <x:c r="O246" s="81"/>
      <x:c r="P246" s="81"/>
      <x:c r="Q246" s="81"/>
      <x:c r="R246" s="81"/>
      <x:c r="S246" s="81"/>
      <x:c r="T246" s="81"/>
      <x:c r="U246" s="81"/>
      <x:c r="V246" s="81"/>
      <x:c r="W246" s="81"/>
      <x:c r="X246" s="81"/>
      <x:c r="Y246" s="81"/>
      <x:c r="Z246" s="81"/>
    </x:row>
    <x:row r="247">
      <x:c r="A247" s="81"/>
      <x:c r="B247" s="81"/>
      <x:c r="C247" s="81"/>
      <x:c r="D247" s="81"/>
      <x:c r="E247" s="81"/>
      <x:c r="F247" s="81"/>
      <x:c r="G247" s="81"/>
      <x:c r="H247" s="81"/>
      <x:c r="I247" s="81"/>
      <x:c r="J247" s="81"/>
      <x:c r="K247" s="81"/>
      <x:c r="L247" s="81"/>
      <x:c r="M247" s="81"/>
      <x:c r="N247" s="81"/>
      <x:c r="O247" s="81"/>
      <x:c r="P247" s="81"/>
      <x:c r="Q247" s="81"/>
      <x:c r="R247" s="81"/>
      <x:c r="S247" s="81"/>
      <x:c r="T247" s="81"/>
      <x:c r="U247" s="81"/>
      <x:c r="V247" s="81"/>
      <x:c r="W247" s="81"/>
      <x:c r="X247" s="81"/>
      <x:c r="Y247" s="81"/>
      <x:c r="Z247" s="81"/>
    </x:row>
    <x:row r="248">
      <x:c r="A248" s="81"/>
      <x:c r="B248" s="81"/>
      <x:c r="C248" s="81"/>
      <x:c r="D248" s="81"/>
      <x:c r="E248" s="81"/>
      <x:c r="F248" s="81"/>
      <x:c r="G248" s="81"/>
      <x:c r="H248" s="81"/>
      <x:c r="I248" s="81"/>
      <x:c r="J248" s="81"/>
      <x:c r="K248" s="81"/>
      <x:c r="L248" s="81"/>
      <x:c r="M248" s="81"/>
      <x:c r="N248" s="81"/>
      <x:c r="O248" s="81"/>
      <x:c r="P248" s="81"/>
      <x:c r="Q248" s="81"/>
      <x:c r="R248" s="81"/>
      <x:c r="S248" s="81"/>
      <x:c r="T248" s="81"/>
      <x:c r="U248" s="81"/>
      <x:c r="V248" s="81"/>
      <x:c r="W248" s="81"/>
      <x:c r="X248" s="81"/>
      <x:c r="Y248" s="81"/>
      <x:c r="Z248" s="81"/>
    </x:row>
    <x:row r="249">
      <x:c r="A249" s="81"/>
      <x:c r="B249" s="81"/>
      <x:c r="C249" s="81"/>
      <x:c r="D249" s="81"/>
      <x:c r="E249" s="81"/>
      <x:c r="F249" s="81"/>
      <x:c r="G249" s="81"/>
      <x:c r="H249" s="81"/>
      <x:c r="I249" s="81"/>
      <x:c r="J249" s="81"/>
      <x:c r="K249" s="81"/>
      <x:c r="L249" s="81"/>
      <x:c r="M249" s="81"/>
      <x:c r="N249" s="81"/>
      <x:c r="O249" s="81"/>
      <x:c r="P249" s="81"/>
      <x:c r="Q249" s="81"/>
      <x:c r="R249" s="81"/>
      <x:c r="S249" s="81"/>
      <x:c r="T249" s="81"/>
      <x:c r="U249" s="81"/>
      <x:c r="V249" s="81"/>
      <x:c r="W249" s="81"/>
      <x:c r="X249" s="81"/>
      <x:c r="Y249" s="81"/>
      <x:c r="Z249" s="81"/>
    </x:row>
    <x:row r="250">
      <x:c r="A250" s="81"/>
      <x:c r="B250" s="81"/>
      <x:c r="C250" s="81"/>
      <x:c r="D250" s="81"/>
      <x:c r="E250" s="81"/>
      <x:c r="F250" s="81"/>
      <x:c r="G250" s="81"/>
      <x:c r="H250" s="81"/>
      <x:c r="I250" s="81"/>
      <x:c r="J250" s="81"/>
      <x:c r="K250" s="81"/>
      <x:c r="L250" s="81"/>
      <x:c r="M250" s="81"/>
      <x:c r="N250" s="81"/>
      <x:c r="O250" s="81"/>
      <x:c r="P250" s="81"/>
      <x:c r="Q250" s="81"/>
      <x:c r="R250" s="81"/>
      <x:c r="S250" s="81"/>
      <x:c r="T250" s="81"/>
      <x:c r="U250" s="81"/>
      <x:c r="V250" s="81"/>
      <x:c r="W250" s="81"/>
      <x:c r="X250" s="81"/>
      <x:c r="Y250" s="81"/>
      <x:c r="Z250" s="81"/>
    </x:row>
    <x:row r="251">
      <x:c r="A251" s="81"/>
      <x:c r="B251" s="81"/>
      <x:c r="C251" s="81"/>
      <x:c r="D251" s="81"/>
      <x:c r="E251" s="81"/>
      <x:c r="F251" s="81"/>
      <x:c r="G251" s="81"/>
      <x:c r="H251" s="81"/>
      <x:c r="I251" s="81"/>
      <x:c r="J251" s="81"/>
      <x:c r="K251" s="81"/>
      <x:c r="L251" s="81"/>
      <x:c r="M251" s="81"/>
      <x:c r="N251" s="81"/>
      <x:c r="O251" s="81"/>
      <x:c r="P251" s="81"/>
      <x:c r="Q251" s="81"/>
      <x:c r="R251" s="81"/>
      <x:c r="S251" s="81"/>
      <x:c r="T251" s="81"/>
      <x:c r="U251" s="81"/>
      <x:c r="V251" s="81"/>
      <x:c r="W251" s="81"/>
      <x:c r="X251" s="81"/>
      <x:c r="Y251" s="81"/>
      <x:c r="Z251" s="81"/>
    </x:row>
    <x:row r="252">
      <x:c r="A252" s="81"/>
      <x:c r="B252" s="81"/>
      <x:c r="C252" s="81"/>
      <x:c r="D252" s="81"/>
      <x:c r="E252" s="81"/>
      <x:c r="F252" s="81"/>
      <x:c r="G252" s="81"/>
      <x:c r="H252" s="81"/>
      <x:c r="I252" s="81"/>
      <x:c r="J252" s="81"/>
      <x:c r="K252" s="81"/>
      <x:c r="L252" s="81"/>
      <x:c r="M252" s="81"/>
      <x:c r="N252" s="81"/>
      <x:c r="O252" s="81"/>
      <x:c r="P252" s="81"/>
      <x:c r="Q252" s="81"/>
      <x:c r="R252" s="81"/>
      <x:c r="S252" s="81"/>
      <x:c r="T252" s="81"/>
      <x:c r="U252" s="81"/>
      <x:c r="V252" s="81"/>
      <x:c r="W252" s="81"/>
      <x:c r="X252" s="81"/>
      <x:c r="Y252" s="81"/>
      <x:c r="Z252" s="81"/>
    </x:row>
    <x:row r="253">
      <x:c r="A253" s="81"/>
      <x:c r="B253" s="81"/>
      <x:c r="C253" s="81"/>
      <x:c r="D253" s="81"/>
      <x:c r="E253" s="81"/>
      <x:c r="F253" s="81"/>
      <x:c r="G253" s="81"/>
      <x:c r="H253" s="81"/>
      <x:c r="I253" s="81"/>
      <x:c r="J253" s="81"/>
      <x:c r="K253" s="81"/>
      <x:c r="L253" s="81"/>
      <x:c r="M253" s="81"/>
      <x:c r="N253" s="81"/>
      <x:c r="O253" s="81"/>
      <x:c r="P253" s="81"/>
      <x:c r="Q253" s="81"/>
      <x:c r="R253" s="81"/>
      <x:c r="S253" s="81"/>
      <x:c r="T253" s="81"/>
      <x:c r="U253" s="81"/>
      <x:c r="V253" s="81"/>
      <x:c r="W253" s="81"/>
      <x:c r="X253" s="81"/>
      <x:c r="Y253" s="81"/>
      <x:c r="Z253" s="81"/>
    </x:row>
    <x:row r="254">
      <x:c r="A254" s="81"/>
      <x:c r="B254" s="81"/>
      <x:c r="C254" s="81"/>
      <x:c r="D254" s="81"/>
      <x:c r="E254" s="81"/>
      <x:c r="F254" s="81"/>
      <x:c r="G254" s="81"/>
      <x:c r="H254" s="81"/>
      <x:c r="I254" s="81"/>
      <x:c r="J254" s="81"/>
      <x:c r="K254" s="81"/>
      <x:c r="L254" s="81"/>
      <x:c r="M254" s="81"/>
      <x:c r="N254" s="81"/>
      <x:c r="O254" s="81"/>
      <x:c r="P254" s="81"/>
      <x:c r="Q254" s="81"/>
      <x:c r="R254" s="81"/>
      <x:c r="S254" s="81"/>
      <x:c r="T254" s="81"/>
      <x:c r="U254" s="81"/>
      <x:c r="V254" s="81"/>
      <x:c r="W254" s="81"/>
      <x:c r="X254" s="81"/>
      <x:c r="Y254" s="81"/>
      <x:c r="Z254" s="81"/>
    </x:row>
    <x:row r="255">
      <x:c r="A255" s="81"/>
      <x:c r="B255" s="81"/>
      <x:c r="C255" s="81"/>
      <x:c r="D255" s="81"/>
      <x:c r="E255" s="81"/>
      <x:c r="F255" s="81"/>
      <x:c r="G255" s="81"/>
      <x:c r="H255" s="81"/>
      <x:c r="I255" s="81"/>
      <x:c r="J255" s="81"/>
      <x:c r="K255" s="81"/>
      <x:c r="L255" s="81"/>
      <x:c r="M255" s="81"/>
      <x:c r="N255" s="81"/>
      <x:c r="O255" s="81"/>
      <x:c r="P255" s="81"/>
      <x:c r="Q255" s="81"/>
      <x:c r="R255" s="81"/>
      <x:c r="S255" s="81"/>
      <x:c r="T255" s="81"/>
      <x:c r="U255" s="81"/>
      <x:c r="V255" s="81"/>
      <x:c r="W255" s="81"/>
      <x:c r="X255" s="81"/>
      <x:c r="Y255" s="81"/>
      <x:c r="Z255" s="81"/>
    </x:row>
    <x:row r="256">
      <x:c r="A256" s="81"/>
      <x:c r="B256" s="81"/>
      <x:c r="C256" s="81"/>
      <x:c r="D256" s="81"/>
      <x:c r="E256" s="81"/>
      <x:c r="F256" s="81"/>
      <x:c r="G256" s="81"/>
      <x:c r="H256" s="81"/>
      <x:c r="I256" s="81"/>
      <x:c r="J256" s="81"/>
      <x:c r="K256" s="81"/>
      <x:c r="L256" s="81"/>
      <x:c r="M256" s="81"/>
      <x:c r="N256" s="81"/>
      <x:c r="O256" s="81"/>
      <x:c r="P256" s="81"/>
      <x:c r="Q256" s="81"/>
      <x:c r="R256" s="81"/>
      <x:c r="S256" s="81"/>
      <x:c r="T256" s="81"/>
      <x:c r="U256" s="81"/>
      <x:c r="V256" s="81"/>
      <x:c r="W256" s="81"/>
      <x:c r="X256" s="81"/>
      <x:c r="Y256" s="81"/>
      <x:c r="Z256" s="81"/>
    </x:row>
    <x:row r="257">
      <x:c r="A257" s="81"/>
      <x:c r="B257" s="81"/>
      <x:c r="C257" s="81"/>
      <x:c r="D257" s="81"/>
      <x:c r="E257" s="81"/>
      <x:c r="F257" s="81"/>
      <x:c r="G257" s="81"/>
      <x:c r="H257" s="81"/>
      <x:c r="I257" s="81"/>
      <x:c r="J257" s="81"/>
      <x:c r="K257" s="81"/>
      <x:c r="L257" s="81"/>
      <x:c r="M257" s="81"/>
      <x:c r="N257" s="81"/>
      <x:c r="O257" s="81"/>
      <x:c r="P257" s="81"/>
      <x:c r="Q257" s="81"/>
      <x:c r="R257" s="81"/>
      <x:c r="S257" s="81"/>
      <x:c r="T257" s="81"/>
      <x:c r="U257" s="81"/>
      <x:c r="V257" s="81"/>
      <x:c r="W257" s="81"/>
      <x:c r="X257" s="81"/>
      <x:c r="Y257" s="81"/>
      <x:c r="Z257" s="81"/>
    </x:row>
    <x:row r="258">
      <x:c r="A258" s="81"/>
      <x:c r="B258" s="81"/>
      <x:c r="C258" s="81"/>
      <x:c r="D258" s="81"/>
      <x:c r="E258" s="81"/>
      <x:c r="F258" s="81"/>
      <x:c r="G258" s="81"/>
      <x:c r="H258" s="81"/>
      <x:c r="I258" s="81"/>
      <x:c r="J258" s="81"/>
      <x:c r="K258" s="81"/>
      <x:c r="L258" s="81"/>
      <x:c r="M258" s="81"/>
      <x:c r="N258" s="81"/>
      <x:c r="O258" s="81"/>
      <x:c r="P258" s="81"/>
      <x:c r="Q258" s="81"/>
      <x:c r="R258" s="81"/>
      <x:c r="S258" s="81"/>
      <x:c r="T258" s="81"/>
      <x:c r="U258" s="81"/>
      <x:c r="V258" s="81"/>
      <x:c r="W258" s="81"/>
      <x:c r="X258" s="81"/>
      <x:c r="Y258" s="81"/>
      <x:c r="Z258" s="81"/>
    </x:row>
    <x:row r="259">
      <x:c r="A259" s="81"/>
      <x:c r="B259" s="81"/>
      <x:c r="C259" s="81"/>
      <x:c r="D259" s="81"/>
      <x:c r="E259" s="81"/>
      <x:c r="F259" s="81"/>
      <x:c r="G259" s="81"/>
      <x:c r="H259" s="81"/>
      <x:c r="I259" s="81"/>
      <x:c r="J259" s="81"/>
      <x:c r="K259" s="81"/>
      <x:c r="L259" s="81"/>
      <x:c r="M259" s="81"/>
      <x:c r="N259" s="81"/>
      <x:c r="O259" s="81"/>
      <x:c r="P259" s="81"/>
      <x:c r="Q259" s="81"/>
      <x:c r="R259" s="81"/>
      <x:c r="S259" s="81"/>
      <x:c r="T259" s="81"/>
      <x:c r="U259" s="81"/>
      <x:c r="V259" s="81"/>
      <x:c r="W259" s="81"/>
      <x:c r="X259" s="81"/>
      <x:c r="Y259" s="81"/>
      <x:c r="Z259" s="81"/>
    </x:row>
    <x:row r="260">
      <x:c r="A260" s="81"/>
      <x:c r="B260" s="81"/>
      <x:c r="C260" s="81"/>
      <x:c r="D260" s="81"/>
      <x:c r="E260" s="81"/>
      <x:c r="F260" s="81"/>
      <x:c r="G260" s="81"/>
      <x:c r="H260" s="81"/>
      <x:c r="I260" s="81"/>
      <x:c r="J260" s="81"/>
      <x:c r="K260" s="81"/>
      <x:c r="L260" s="81"/>
      <x:c r="M260" s="81"/>
      <x:c r="N260" s="81"/>
      <x:c r="O260" s="81"/>
      <x:c r="P260" s="81"/>
      <x:c r="Q260" s="81"/>
      <x:c r="R260" s="81"/>
      <x:c r="S260" s="81"/>
      <x:c r="T260" s="81"/>
      <x:c r="U260" s="81"/>
      <x:c r="V260" s="81"/>
      <x:c r="W260" s="81"/>
      <x:c r="X260" s="81"/>
      <x:c r="Y260" s="81"/>
      <x:c r="Z260" s="81"/>
    </x:row>
    <x:row r="261">
      <x:c r="A261" s="81"/>
      <x:c r="B261" s="81"/>
      <x:c r="C261" s="81"/>
      <x:c r="D261" s="81"/>
      <x:c r="E261" s="81"/>
      <x:c r="F261" s="81"/>
      <x:c r="G261" s="81"/>
      <x:c r="H261" s="81"/>
      <x:c r="I261" s="81"/>
      <x:c r="J261" s="81"/>
      <x:c r="K261" s="81"/>
      <x:c r="L261" s="81"/>
      <x:c r="M261" s="81"/>
      <x:c r="N261" s="81"/>
      <x:c r="O261" s="81"/>
      <x:c r="P261" s="81"/>
      <x:c r="Q261" s="81"/>
      <x:c r="R261" s="81"/>
      <x:c r="S261" s="81"/>
      <x:c r="T261" s="81"/>
      <x:c r="U261" s="81"/>
      <x:c r="V261" s="81"/>
      <x:c r="W261" s="81"/>
      <x:c r="X261" s="81"/>
      <x:c r="Y261" s="81"/>
      <x:c r="Z261" s="81"/>
    </x:row>
    <x:row r="262">
      <x:c r="A262" s="81"/>
      <x:c r="B262" s="81"/>
      <x:c r="C262" s="81"/>
      <x:c r="D262" s="81"/>
      <x:c r="E262" s="81"/>
      <x:c r="F262" s="81"/>
      <x:c r="G262" s="81"/>
      <x:c r="H262" s="81"/>
      <x:c r="I262" s="81"/>
      <x:c r="J262" s="81"/>
      <x:c r="K262" s="81"/>
      <x:c r="L262" s="81"/>
      <x:c r="M262" s="81"/>
      <x:c r="N262" s="81"/>
      <x:c r="O262" s="81"/>
      <x:c r="P262" s="81"/>
      <x:c r="Q262" s="81"/>
      <x:c r="R262" s="81"/>
      <x:c r="S262" s="81"/>
      <x:c r="T262" s="81"/>
      <x:c r="U262" s="81"/>
      <x:c r="V262" s="81"/>
      <x:c r="W262" s="81"/>
      <x:c r="X262" s="81"/>
      <x:c r="Y262" s="81"/>
      <x:c r="Z262" s="81"/>
    </x:row>
    <x:row r="263">
      <x:c r="A263" s="81"/>
      <x:c r="B263" s="81"/>
      <x:c r="C263" s="81"/>
      <x:c r="D263" s="81"/>
      <x:c r="E263" s="81"/>
      <x:c r="F263" s="81"/>
      <x:c r="G263" s="81"/>
      <x:c r="H263" s="81"/>
      <x:c r="I263" s="81"/>
      <x:c r="J263" s="81"/>
      <x:c r="K263" s="81"/>
      <x:c r="L263" s="81"/>
      <x:c r="M263" s="81"/>
      <x:c r="N263" s="81"/>
      <x:c r="O263" s="81"/>
      <x:c r="P263" s="81"/>
      <x:c r="Q263" s="81"/>
      <x:c r="R263" s="81"/>
      <x:c r="S263" s="81"/>
      <x:c r="T263" s="81"/>
      <x:c r="U263" s="81"/>
      <x:c r="V263" s="81"/>
      <x:c r="W263" s="81"/>
      <x:c r="X263" s="81"/>
      <x:c r="Y263" s="81"/>
      <x:c r="Z263" s="81"/>
    </x:row>
    <x:row r="264">
      <x:c r="A264" s="81"/>
      <x:c r="B264" s="81"/>
      <x:c r="C264" s="81"/>
      <x:c r="D264" s="81"/>
      <x:c r="E264" s="81"/>
      <x:c r="F264" s="81"/>
      <x:c r="G264" s="81"/>
      <x:c r="H264" s="81"/>
      <x:c r="I264" s="81"/>
      <x:c r="J264" s="81"/>
      <x:c r="K264" s="81"/>
      <x:c r="L264" s="81"/>
      <x:c r="M264" s="81"/>
      <x:c r="N264" s="81"/>
      <x:c r="O264" s="81"/>
      <x:c r="P264" s="81"/>
      <x:c r="Q264" s="81"/>
      <x:c r="R264" s="81"/>
      <x:c r="S264" s="81"/>
      <x:c r="T264" s="81"/>
      <x:c r="U264" s="81"/>
      <x:c r="V264" s="81"/>
      <x:c r="W264" s="81"/>
      <x:c r="X264" s="81"/>
      <x:c r="Y264" s="81"/>
      <x:c r="Z264" s="81"/>
    </x:row>
    <x:row r="265">
      <x:c r="A265" s="81"/>
      <x:c r="B265" s="81"/>
      <x:c r="C265" s="81"/>
      <x:c r="D265" s="81"/>
      <x:c r="E265" s="81"/>
      <x:c r="F265" s="81"/>
      <x:c r="G265" s="81"/>
      <x:c r="H265" s="81"/>
      <x:c r="I265" s="81"/>
      <x:c r="J265" s="81"/>
      <x:c r="K265" s="81"/>
      <x:c r="L265" s="81"/>
      <x:c r="M265" s="81"/>
      <x:c r="N265" s="81"/>
      <x:c r="O265" s="81"/>
      <x:c r="P265" s="81"/>
      <x:c r="Q265" s="81"/>
      <x:c r="R265" s="81"/>
      <x:c r="S265" s="81"/>
      <x:c r="T265" s="81"/>
      <x:c r="U265" s="81"/>
      <x:c r="V265" s="81"/>
      <x:c r="W265" s="81"/>
      <x:c r="X265" s="81"/>
      <x:c r="Y265" s="81"/>
      <x:c r="Z265" s="81"/>
    </x:row>
    <x:row r="266">
      <x:c r="A266" s="81"/>
      <x:c r="B266" s="81"/>
      <x:c r="C266" s="81"/>
      <x:c r="D266" s="81"/>
      <x:c r="E266" s="81"/>
      <x:c r="F266" s="81"/>
      <x:c r="G266" s="81"/>
      <x:c r="H266" s="81"/>
      <x:c r="I266" s="81"/>
      <x:c r="J266" s="81"/>
      <x:c r="K266" s="81"/>
      <x:c r="L266" s="81"/>
      <x:c r="M266" s="81"/>
      <x:c r="N266" s="81"/>
      <x:c r="O266" s="81"/>
      <x:c r="P266" s="81"/>
      <x:c r="Q266" s="81"/>
      <x:c r="R266" s="81"/>
      <x:c r="S266" s="81"/>
      <x:c r="T266" s="81"/>
      <x:c r="U266" s="81"/>
      <x:c r="V266" s="81"/>
      <x:c r="W266" s="81"/>
      <x:c r="X266" s="81"/>
      <x:c r="Y266" s="81"/>
      <x:c r="Z266" s="81"/>
    </x:row>
    <x:row r="267">
      <x:c r="A267" s="81"/>
      <x:c r="B267" s="81"/>
      <x:c r="C267" s="81"/>
      <x:c r="D267" s="81"/>
      <x:c r="E267" s="81"/>
      <x:c r="F267" s="81"/>
      <x:c r="G267" s="81"/>
      <x:c r="H267" s="81"/>
      <x:c r="I267" s="81"/>
      <x:c r="J267" s="81"/>
      <x:c r="K267" s="81"/>
      <x:c r="L267" s="81"/>
      <x:c r="M267" s="81"/>
      <x:c r="N267" s="81"/>
      <x:c r="O267" s="81"/>
      <x:c r="P267" s="81"/>
      <x:c r="Q267" s="81"/>
      <x:c r="R267" s="81"/>
      <x:c r="S267" s="81"/>
      <x:c r="T267" s="81"/>
      <x:c r="U267" s="81"/>
      <x:c r="V267" s="81"/>
      <x:c r="W267" s="81"/>
      <x:c r="X267" s="81"/>
      <x:c r="Y267" s="81"/>
      <x:c r="Z267" s="81"/>
    </x:row>
    <x:row r="268">
      <x:c r="A268" s="81"/>
      <x:c r="B268" s="81"/>
      <x:c r="C268" s="81"/>
      <x:c r="D268" s="81"/>
      <x:c r="E268" s="81"/>
      <x:c r="F268" s="81"/>
      <x:c r="G268" s="81"/>
      <x:c r="H268" s="81"/>
      <x:c r="I268" s="81"/>
      <x:c r="J268" s="81"/>
      <x:c r="K268" s="81"/>
      <x:c r="L268" s="81"/>
      <x:c r="M268" s="81"/>
      <x:c r="N268" s="81"/>
      <x:c r="O268" s="81"/>
      <x:c r="P268" s="81"/>
      <x:c r="Q268" s="81"/>
      <x:c r="R268" s="81"/>
      <x:c r="S268" s="81"/>
      <x:c r="T268" s="81"/>
      <x:c r="U268" s="81"/>
      <x:c r="V268" s="81"/>
      <x:c r="W268" s="81"/>
      <x:c r="X268" s="81"/>
      <x:c r="Y268" s="81"/>
      <x:c r="Z268" s="81"/>
    </x:row>
    <x:row r="269">
      <x:c r="A269" s="81"/>
      <x:c r="B269" s="81"/>
      <x:c r="C269" s="81"/>
      <x:c r="D269" s="81"/>
      <x:c r="E269" s="81"/>
      <x:c r="F269" s="81"/>
      <x:c r="G269" s="81"/>
      <x:c r="H269" s="81"/>
      <x:c r="I269" s="81"/>
      <x:c r="J269" s="81"/>
      <x:c r="K269" s="81"/>
      <x:c r="L269" s="81"/>
      <x:c r="M269" s="81"/>
      <x:c r="N269" s="81"/>
      <x:c r="O269" s="81"/>
      <x:c r="P269" s="81"/>
      <x:c r="Q269" s="81"/>
      <x:c r="R269" s="81"/>
      <x:c r="S269" s="81"/>
      <x:c r="T269" s="81"/>
      <x:c r="U269" s="81"/>
      <x:c r="V269" s="81"/>
      <x:c r="W269" s="81"/>
      <x:c r="X269" s="81"/>
      <x:c r="Y269" s="81"/>
      <x:c r="Z269" s="81"/>
    </x:row>
    <x:row r="270">
      <x:c r="A270" s="81"/>
      <x:c r="B270" s="81"/>
      <x:c r="C270" s="81"/>
      <x:c r="D270" s="81"/>
      <x:c r="E270" s="81"/>
      <x:c r="F270" s="81"/>
      <x:c r="G270" s="81"/>
      <x:c r="H270" s="81"/>
      <x:c r="I270" s="81"/>
      <x:c r="J270" s="81"/>
      <x:c r="K270" s="81"/>
      <x:c r="L270" s="81"/>
      <x:c r="M270" s="81"/>
      <x:c r="N270" s="81"/>
      <x:c r="O270" s="81"/>
      <x:c r="P270" s="81"/>
      <x:c r="Q270" s="81"/>
      <x:c r="R270" s="81"/>
      <x:c r="S270" s="81"/>
      <x:c r="T270" s="81"/>
      <x:c r="U270" s="81"/>
      <x:c r="V270" s="81"/>
      <x:c r="W270" s="81"/>
      <x:c r="X270" s="81"/>
      <x:c r="Y270" s="81"/>
      <x:c r="Z270" s="81"/>
    </x:row>
    <x:row r="271">
      <x:c r="A271" s="81"/>
      <x:c r="B271" s="81"/>
      <x:c r="C271" s="81"/>
      <x:c r="D271" s="81"/>
      <x:c r="E271" s="81"/>
      <x:c r="F271" s="81"/>
      <x:c r="G271" s="81"/>
      <x:c r="H271" s="81"/>
      <x:c r="I271" s="81"/>
      <x:c r="J271" s="81"/>
      <x:c r="K271" s="81"/>
      <x:c r="L271" s="81"/>
      <x:c r="M271" s="81"/>
      <x:c r="N271" s="81"/>
      <x:c r="O271" s="81"/>
      <x:c r="P271" s="81"/>
      <x:c r="Q271" s="81"/>
      <x:c r="R271" s="81"/>
      <x:c r="S271" s="81"/>
      <x:c r="T271" s="81"/>
      <x:c r="U271" s="81"/>
      <x:c r="V271" s="81"/>
      <x:c r="W271" s="81"/>
      <x:c r="X271" s="81"/>
      <x:c r="Y271" s="81"/>
      <x:c r="Z271" s="81"/>
    </x:row>
    <x:row r="272">
      <x:c r="A272" s="81"/>
      <x:c r="B272" s="81"/>
      <x:c r="C272" s="81"/>
      <x:c r="D272" s="81"/>
      <x:c r="E272" s="81"/>
      <x:c r="F272" s="81"/>
      <x:c r="G272" s="81"/>
      <x:c r="H272" s="81"/>
      <x:c r="I272" s="81"/>
      <x:c r="J272" s="81"/>
      <x:c r="K272" s="81"/>
      <x:c r="L272" s="81"/>
      <x:c r="M272" s="81"/>
      <x:c r="N272" s="81"/>
      <x:c r="O272" s="81"/>
      <x:c r="P272" s="81"/>
      <x:c r="Q272" s="81"/>
      <x:c r="R272" s="81"/>
      <x:c r="S272" s="81"/>
      <x:c r="T272" s="81"/>
      <x:c r="U272" s="81"/>
      <x:c r="V272" s="81"/>
      <x:c r="W272" s="81"/>
      <x:c r="X272" s="81"/>
      <x:c r="Y272" s="81"/>
      <x:c r="Z272" s="81"/>
    </x:row>
    <x:row r="273">
      <x:c r="A273" s="81"/>
      <x:c r="B273" s="81"/>
      <x:c r="C273" s="81"/>
      <x:c r="D273" s="81"/>
      <x:c r="E273" s="81"/>
      <x:c r="F273" s="81"/>
      <x:c r="G273" s="81"/>
      <x:c r="H273" s="81"/>
      <x:c r="I273" s="81"/>
      <x:c r="J273" s="81"/>
      <x:c r="K273" s="81"/>
      <x:c r="L273" s="81"/>
      <x:c r="M273" s="81"/>
      <x:c r="N273" s="81"/>
      <x:c r="O273" s="81"/>
      <x:c r="P273" s="81"/>
      <x:c r="Q273" s="81"/>
      <x:c r="R273" s="81"/>
      <x:c r="S273" s="81"/>
      <x:c r="T273" s="81"/>
      <x:c r="U273" s="81"/>
      <x:c r="V273" s="81"/>
      <x:c r="W273" s="81"/>
      <x:c r="X273" s="81"/>
      <x:c r="Y273" s="81"/>
      <x:c r="Z273" s="81"/>
    </x:row>
    <x:row r="274">
      <x:c r="A274" s="81"/>
      <x:c r="B274" s="81"/>
      <x:c r="C274" s="81"/>
      <x:c r="D274" s="81"/>
      <x:c r="E274" s="81"/>
      <x:c r="F274" s="81"/>
      <x:c r="G274" s="81"/>
      <x:c r="H274" s="81"/>
      <x:c r="I274" s="81"/>
      <x:c r="J274" s="81"/>
      <x:c r="K274" s="81"/>
      <x:c r="L274" s="81"/>
      <x:c r="M274" s="81"/>
      <x:c r="N274" s="81"/>
      <x:c r="O274" s="81"/>
      <x:c r="P274" s="81"/>
      <x:c r="Q274" s="81"/>
      <x:c r="R274" s="81"/>
      <x:c r="S274" s="81"/>
      <x:c r="T274" s="81"/>
      <x:c r="U274" s="81"/>
      <x:c r="V274" s="81"/>
      <x:c r="W274" s="81"/>
      <x:c r="X274" s="81"/>
      <x:c r="Y274" s="81"/>
      <x:c r="Z274" s="81"/>
    </x:row>
    <x:row r="275">
      <x:c r="A275" s="81"/>
      <x:c r="B275" s="81"/>
      <x:c r="C275" s="81"/>
      <x:c r="D275" s="81"/>
      <x:c r="E275" s="81"/>
      <x:c r="F275" s="81"/>
      <x:c r="G275" s="81"/>
      <x:c r="H275" s="81"/>
      <x:c r="I275" s="81"/>
      <x:c r="J275" s="81"/>
      <x:c r="K275" s="81"/>
      <x:c r="L275" s="81"/>
      <x:c r="M275" s="81"/>
      <x:c r="N275" s="81"/>
      <x:c r="O275" s="81"/>
      <x:c r="P275" s="81"/>
      <x:c r="Q275" s="81"/>
      <x:c r="R275" s="81"/>
      <x:c r="S275" s="81"/>
      <x:c r="T275" s="81"/>
      <x:c r="U275" s="81"/>
      <x:c r="V275" s="81"/>
      <x:c r="W275" s="81"/>
      <x:c r="X275" s="81"/>
      <x:c r="Y275" s="81"/>
      <x:c r="Z275" s="81"/>
    </x:row>
    <x:row r="276">
      <x:c r="A276" s="81"/>
      <x:c r="B276" s="81"/>
      <x:c r="C276" s="81"/>
      <x:c r="D276" s="81"/>
      <x:c r="E276" s="81"/>
      <x:c r="F276" s="81"/>
      <x:c r="G276" s="81"/>
      <x:c r="H276" s="81"/>
      <x:c r="I276" s="81"/>
      <x:c r="J276" s="81"/>
      <x:c r="K276" s="81"/>
      <x:c r="L276" s="81"/>
      <x:c r="M276" s="81"/>
      <x:c r="N276" s="81"/>
      <x:c r="O276" s="81"/>
      <x:c r="P276" s="81"/>
      <x:c r="Q276" s="81"/>
      <x:c r="R276" s="81"/>
      <x:c r="S276" s="81"/>
      <x:c r="T276" s="81"/>
      <x:c r="U276" s="81"/>
      <x:c r="V276" s="81"/>
      <x:c r="W276" s="81"/>
      <x:c r="X276" s="81"/>
      <x:c r="Y276" s="81"/>
      <x:c r="Z276" s="81"/>
    </x:row>
    <x:row r="277">
      <x:c r="A277" s="81"/>
      <x:c r="B277" s="81"/>
      <x:c r="C277" s="81"/>
      <x:c r="D277" s="81"/>
      <x:c r="E277" s="81"/>
      <x:c r="F277" s="81"/>
      <x:c r="G277" s="81"/>
      <x:c r="H277" s="81"/>
      <x:c r="I277" s="81"/>
      <x:c r="J277" s="81"/>
      <x:c r="K277" s="81"/>
      <x:c r="L277" s="81"/>
      <x:c r="M277" s="81"/>
      <x:c r="N277" s="81"/>
      <x:c r="O277" s="81"/>
      <x:c r="P277" s="81"/>
      <x:c r="Q277" s="81"/>
      <x:c r="R277" s="81"/>
      <x:c r="S277" s="81"/>
      <x:c r="T277" s="81"/>
      <x:c r="U277" s="81"/>
      <x:c r="V277" s="81"/>
      <x:c r="W277" s="81"/>
      <x:c r="X277" s="81"/>
      <x:c r="Y277" s="81"/>
      <x:c r="Z277" s="81"/>
    </x:row>
    <x:row r="278">
      <x:c r="A278" s="81"/>
      <x:c r="B278" s="81"/>
      <x:c r="C278" s="81"/>
      <x:c r="D278" s="81"/>
      <x:c r="E278" s="81"/>
      <x:c r="F278" s="81"/>
      <x:c r="G278" s="81"/>
      <x:c r="H278" s="81"/>
      <x:c r="I278" s="81"/>
      <x:c r="J278" s="81"/>
      <x:c r="K278" s="81"/>
      <x:c r="L278" s="81"/>
      <x:c r="M278" s="81"/>
      <x:c r="N278" s="81"/>
      <x:c r="O278" s="81"/>
      <x:c r="P278" s="81"/>
      <x:c r="Q278" s="81"/>
      <x:c r="R278" s="81"/>
      <x:c r="S278" s="81"/>
      <x:c r="T278" s="81"/>
      <x:c r="U278" s="81"/>
      <x:c r="V278" s="81"/>
      <x:c r="W278" s="81"/>
      <x:c r="X278" s="81"/>
      <x:c r="Y278" s="81"/>
      <x:c r="Z278" s="81"/>
    </x:row>
    <x:row r="279">
      <x:c r="A279" s="81"/>
      <x:c r="B279" s="81"/>
      <x:c r="C279" s="81"/>
      <x:c r="D279" s="81"/>
      <x:c r="E279" s="81"/>
      <x:c r="F279" s="81"/>
      <x:c r="G279" s="81"/>
      <x:c r="H279" s="81"/>
      <x:c r="I279" s="81"/>
      <x:c r="J279" s="81"/>
      <x:c r="K279" s="81"/>
      <x:c r="L279" s="81"/>
      <x:c r="M279" s="81"/>
      <x:c r="N279" s="81"/>
      <x:c r="O279" s="81"/>
      <x:c r="P279" s="81"/>
      <x:c r="Q279" s="81"/>
      <x:c r="R279" s="81"/>
      <x:c r="S279" s="81"/>
      <x:c r="T279" s="81"/>
      <x:c r="U279" s="81"/>
      <x:c r="V279" s="81"/>
      <x:c r="W279" s="81"/>
      <x:c r="X279" s="81"/>
      <x:c r="Y279" s="81"/>
      <x:c r="Z279" s="81"/>
    </x:row>
    <x:row r="280">
      <x:c r="A280" s="81"/>
      <x:c r="B280" s="81"/>
      <x:c r="C280" s="81"/>
      <x:c r="D280" s="81"/>
      <x:c r="E280" s="81"/>
      <x:c r="F280" s="81"/>
      <x:c r="G280" s="81"/>
      <x:c r="H280" s="81"/>
      <x:c r="I280" s="81"/>
      <x:c r="J280" s="81"/>
      <x:c r="K280" s="81"/>
      <x:c r="L280" s="81"/>
      <x:c r="M280" s="81"/>
      <x:c r="N280" s="81"/>
      <x:c r="O280" s="81"/>
      <x:c r="P280" s="81"/>
      <x:c r="Q280" s="81"/>
      <x:c r="R280" s="81"/>
      <x:c r="S280" s="81"/>
      <x:c r="T280" s="81"/>
      <x:c r="U280" s="81"/>
      <x:c r="V280" s="81"/>
      <x:c r="W280" s="81"/>
      <x:c r="X280" s="81"/>
      <x:c r="Y280" s="81"/>
      <x:c r="Z280" s="81"/>
    </x:row>
    <x:row r="281">
      <x:c r="A281" s="81"/>
      <x:c r="B281" s="81"/>
      <x:c r="C281" s="81"/>
      <x:c r="D281" s="81"/>
      <x:c r="E281" s="81"/>
      <x:c r="F281" s="81"/>
      <x:c r="G281" s="81"/>
      <x:c r="H281" s="81"/>
      <x:c r="I281" s="81"/>
      <x:c r="J281" s="81"/>
      <x:c r="K281" s="81"/>
      <x:c r="L281" s="81"/>
      <x:c r="M281" s="81"/>
      <x:c r="N281" s="81"/>
      <x:c r="O281" s="81"/>
      <x:c r="P281" s="81"/>
      <x:c r="Q281" s="81"/>
      <x:c r="R281" s="81"/>
      <x:c r="S281" s="81"/>
      <x:c r="T281" s="81"/>
      <x:c r="U281" s="81"/>
      <x:c r="V281" s="81"/>
      <x:c r="W281" s="81"/>
      <x:c r="X281" s="81"/>
      <x:c r="Y281" s="81"/>
      <x:c r="Z281" s="81"/>
    </x:row>
    <x:row r="282">
      <x:c r="A282" s="81"/>
      <x:c r="B282" s="81"/>
      <x:c r="C282" s="81"/>
      <x:c r="D282" s="81"/>
      <x:c r="E282" s="81"/>
      <x:c r="F282" s="81"/>
      <x:c r="G282" s="81"/>
      <x:c r="H282" s="81"/>
      <x:c r="I282" s="81"/>
      <x:c r="J282" s="81"/>
      <x:c r="K282" s="81"/>
      <x:c r="L282" s="81"/>
      <x:c r="M282" s="81"/>
      <x:c r="N282" s="81"/>
      <x:c r="O282" s="81"/>
      <x:c r="P282" s="81"/>
      <x:c r="Q282" s="81"/>
      <x:c r="R282" s="81"/>
      <x:c r="S282" s="81"/>
      <x:c r="T282" s="81"/>
      <x:c r="U282" s="81"/>
      <x:c r="V282" s="81"/>
      <x:c r="W282" s="81"/>
      <x:c r="X282" s="81"/>
      <x:c r="Y282" s="81"/>
      <x:c r="Z282" s="81"/>
    </x:row>
    <x:row r="283">
      <x:c r="A283" s="81"/>
      <x:c r="B283" s="81"/>
      <x:c r="C283" s="81"/>
      <x:c r="D283" s="81"/>
      <x:c r="E283" s="81"/>
      <x:c r="F283" s="81"/>
      <x:c r="G283" s="81"/>
      <x:c r="H283" s="81"/>
      <x:c r="I283" s="81"/>
      <x:c r="J283" s="81"/>
      <x:c r="K283" s="81"/>
      <x:c r="L283" s="81"/>
      <x:c r="M283" s="81"/>
      <x:c r="N283" s="81"/>
      <x:c r="O283" s="81"/>
      <x:c r="P283" s="81"/>
      <x:c r="Q283" s="81"/>
      <x:c r="R283" s="81"/>
      <x:c r="S283" s="81"/>
      <x:c r="T283" s="81"/>
      <x:c r="U283" s="81"/>
      <x:c r="V283" s="81"/>
      <x:c r="W283" s="81"/>
      <x:c r="X283" s="81"/>
      <x:c r="Y283" s="81"/>
      <x:c r="Z283" s="81"/>
    </x:row>
    <x:row r="284">
      <x:c r="A284" s="81"/>
      <x:c r="B284" s="81"/>
      <x:c r="C284" s="81"/>
      <x:c r="D284" s="81"/>
      <x:c r="E284" s="81"/>
      <x:c r="F284" s="81"/>
      <x:c r="G284" s="81"/>
      <x:c r="H284" s="81"/>
      <x:c r="I284" s="81"/>
      <x:c r="J284" s="81"/>
      <x:c r="K284" s="81"/>
      <x:c r="L284" s="81"/>
      <x:c r="M284" s="81"/>
      <x:c r="N284" s="81"/>
      <x:c r="O284" s="81"/>
      <x:c r="P284" s="81"/>
      <x:c r="Q284" s="81"/>
      <x:c r="R284" s="81"/>
      <x:c r="S284" s="81"/>
      <x:c r="T284" s="81"/>
      <x:c r="U284" s="81"/>
      <x:c r="V284" s="81"/>
      <x:c r="W284" s="81"/>
      <x:c r="X284" s="81"/>
      <x:c r="Y284" s="81"/>
      <x:c r="Z284" s="81"/>
    </x:row>
    <x:row r="285">
      <x:c r="A285" s="81"/>
      <x:c r="B285" s="81"/>
      <x:c r="C285" s="81"/>
      <x:c r="D285" s="81"/>
      <x:c r="E285" s="81"/>
      <x:c r="F285" s="81"/>
      <x:c r="G285" s="81"/>
      <x:c r="H285" s="81"/>
      <x:c r="I285" s="81"/>
      <x:c r="J285" s="81"/>
      <x:c r="K285" s="81"/>
      <x:c r="L285" s="81"/>
      <x:c r="M285" s="81"/>
      <x:c r="N285" s="81"/>
      <x:c r="O285" s="81"/>
      <x:c r="P285" s="81"/>
      <x:c r="Q285" s="81"/>
      <x:c r="R285" s="81"/>
      <x:c r="S285" s="81"/>
      <x:c r="T285" s="81"/>
      <x:c r="U285" s="81"/>
      <x:c r="V285" s="81"/>
      <x:c r="W285" s="81"/>
      <x:c r="X285" s="81"/>
      <x:c r="Y285" s="81"/>
      <x:c r="Z285" s="81"/>
    </x:row>
    <x:row r="286">
      <x:c r="A286" s="81"/>
      <x:c r="B286" s="81"/>
      <x:c r="C286" s="81"/>
      <x:c r="D286" s="81"/>
      <x:c r="E286" s="81"/>
      <x:c r="F286" s="81"/>
      <x:c r="G286" s="81"/>
      <x:c r="H286" s="81"/>
      <x:c r="I286" s="81"/>
      <x:c r="J286" s="81"/>
      <x:c r="K286" s="81"/>
      <x:c r="L286" s="81"/>
      <x:c r="M286" s="81"/>
      <x:c r="N286" s="81"/>
      <x:c r="O286" s="81"/>
      <x:c r="P286" s="81"/>
      <x:c r="Q286" s="81"/>
      <x:c r="R286" s="81"/>
      <x:c r="S286" s="81"/>
      <x:c r="T286" s="81"/>
      <x:c r="U286" s="81"/>
      <x:c r="V286" s="81"/>
      <x:c r="W286" s="81"/>
      <x:c r="X286" s="81"/>
      <x:c r="Y286" s="81"/>
      <x:c r="Z286" s="81"/>
    </x:row>
    <x:row r="287">
      <x:c r="A287" s="81"/>
      <x:c r="B287" s="81"/>
      <x:c r="C287" s="81"/>
      <x:c r="D287" s="81"/>
      <x:c r="E287" s="81"/>
      <x:c r="F287" s="81"/>
      <x:c r="G287" s="81"/>
      <x:c r="H287" s="81"/>
      <x:c r="I287" s="81"/>
      <x:c r="J287" s="81"/>
      <x:c r="K287" s="81"/>
      <x:c r="L287" s="81"/>
      <x:c r="M287" s="81"/>
      <x:c r="N287" s="81"/>
      <x:c r="O287" s="81"/>
      <x:c r="P287" s="81"/>
      <x:c r="Q287" s="81"/>
      <x:c r="R287" s="81"/>
      <x:c r="S287" s="81"/>
      <x:c r="T287" s="81"/>
      <x:c r="U287" s="81"/>
      <x:c r="V287" s="81"/>
      <x:c r="W287" s="81"/>
      <x:c r="X287" s="81"/>
      <x:c r="Y287" s="81"/>
      <x:c r="Z287" s="81"/>
    </x:row>
    <x:row r="288">
      <x:c r="A288" s="81"/>
      <x:c r="B288" s="81"/>
      <x:c r="C288" s="81"/>
      <x:c r="D288" s="81"/>
      <x:c r="E288" s="81"/>
      <x:c r="F288" s="81"/>
      <x:c r="G288" s="81"/>
      <x:c r="H288" s="81"/>
      <x:c r="I288" s="81"/>
      <x:c r="J288" s="81"/>
      <x:c r="K288" s="81"/>
      <x:c r="L288" s="81"/>
      <x:c r="M288" s="81"/>
      <x:c r="N288" s="81"/>
      <x:c r="O288" s="81"/>
      <x:c r="P288" s="81"/>
      <x:c r="Q288" s="81"/>
      <x:c r="R288" s="81"/>
      <x:c r="S288" s="81"/>
      <x:c r="T288" s="81"/>
      <x:c r="U288" s="81"/>
      <x:c r="V288" s="81"/>
      <x:c r="W288" s="81"/>
      <x:c r="X288" s="81"/>
      <x:c r="Y288" s="81"/>
      <x:c r="Z288" s="81"/>
    </x:row>
    <x:row r="289">
      <x:c r="A289" s="81"/>
      <x:c r="B289" s="81"/>
      <x:c r="C289" s="81"/>
      <x:c r="D289" s="81"/>
      <x:c r="E289" s="81"/>
      <x:c r="F289" s="81"/>
      <x:c r="G289" s="81"/>
      <x:c r="H289" s="81"/>
      <x:c r="I289" s="81"/>
      <x:c r="J289" s="81"/>
      <x:c r="K289" s="81"/>
      <x:c r="L289" s="81"/>
      <x:c r="M289" s="81"/>
      <x:c r="N289" s="81"/>
      <x:c r="O289" s="81"/>
      <x:c r="P289" s="81"/>
      <x:c r="Q289" s="81"/>
      <x:c r="R289" s="81"/>
      <x:c r="S289" s="81"/>
      <x:c r="T289" s="81"/>
      <x:c r="U289" s="81"/>
      <x:c r="V289" s="81"/>
      <x:c r="W289" s="81"/>
      <x:c r="X289" s="81"/>
      <x:c r="Y289" s="81"/>
      <x:c r="Z289" s="81"/>
    </x:row>
    <x:row r="290">
      <x:c r="A290" s="81"/>
      <x:c r="B290" s="81"/>
      <x:c r="C290" s="81"/>
      <x:c r="D290" s="81"/>
      <x:c r="E290" s="81"/>
      <x:c r="F290" s="81"/>
      <x:c r="G290" s="81"/>
      <x:c r="H290" s="81"/>
      <x:c r="I290" s="81"/>
      <x:c r="J290" s="81"/>
      <x:c r="K290" s="81"/>
      <x:c r="L290" s="81"/>
      <x:c r="M290" s="81"/>
      <x:c r="N290" s="81"/>
      <x:c r="O290" s="81"/>
      <x:c r="P290" s="81"/>
      <x:c r="Q290" s="81"/>
      <x:c r="R290" s="81"/>
      <x:c r="S290" s="81"/>
      <x:c r="T290" s="81"/>
      <x:c r="U290" s="81"/>
      <x:c r="V290" s="81"/>
      <x:c r="W290" s="81"/>
      <x:c r="X290" s="81"/>
      <x:c r="Y290" s="81"/>
      <x:c r="Z290" s="81"/>
    </x:row>
    <x:row r="291">
      <x:c r="A291" s="81"/>
      <x:c r="B291" s="81"/>
      <x:c r="C291" s="81"/>
      <x:c r="D291" s="81"/>
      <x:c r="E291" s="81"/>
      <x:c r="F291" s="81"/>
      <x:c r="G291" s="81"/>
      <x:c r="H291" s="81"/>
      <x:c r="I291" s="81"/>
      <x:c r="J291" s="81"/>
      <x:c r="K291" s="81"/>
      <x:c r="L291" s="81"/>
      <x:c r="M291" s="81"/>
      <x:c r="N291" s="81"/>
      <x:c r="O291" s="81"/>
      <x:c r="P291" s="81"/>
      <x:c r="Q291" s="81"/>
      <x:c r="R291" s="81"/>
      <x:c r="S291" s="81"/>
      <x:c r="T291" s="81"/>
      <x:c r="U291" s="81"/>
      <x:c r="V291" s="81"/>
      <x:c r="W291" s="81"/>
      <x:c r="X291" s="81"/>
      <x:c r="Y291" s="81"/>
      <x:c r="Z291" s="81"/>
    </x:row>
    <x:row r="292">
      <x:c r="A292" s="81"/>
      <x:c r="B292" s="81"/>
      <x:c r="C292" s="81"/>
      <x:c r="D292" s="81"/>
      <x:c r="E292" s="81"/>
      <x:c r="F292" s="81"/>
      <x:c r="G292" s="81"/>
      <x:c r="H292" s="81"/>
      <x:c r="I292" s="81"/>
      <x:c r="J292" s="81"/>
      <x:c r="K292" s="81"/>
      <x:c r="L292" s="81"/>
      <x:c r="M292" s="81"/>
      <x:c r="N292" s="81"/>
      <x:c r="O292" s="81"/>
      <x:c r="P292" s="81"/>
      <x:c r="Q292" s="81"/>
      <x:c r="R292" s="81"/>
      <x:c r="S292" s="81"/>
      <x:c r="T292" s="81"/>
      <x:c r="U292" s="81"/>
      <x:c r="V292" s="81"/>
      <x:c r="W292" s="81"/>
      <x:c r="X292" s="81"/>
      <x:c r="Y292" s="81"/>
      <x:c r="Z292" s="81"/>
    </x:row>
    <x:row r="293">
      <x:c r="A293" s="81"/>
      <x:c r="B293" s="81"/>
      <x:c r="C293" s="81"/>
      <x:c r="D293" s="81"/>
      <x:c r="E293" s="81"/>
      <x:c r="F293" s="81"/>
      <x:c r="G293" s="81"/>
      <x:c r="H293" s="81"/>
      <x:c r="I293" s="81"/>
      <x:c r="J293" s="81"/>
      <x:c r="K293" s="81"/>
      <x:c r="L293" s="81"/>
      <x:c r="M293" s="81"/>
      <x:c r="N293" s="81"/>
      <x:c r="O293" s="81"/>
      <x:c r="P293" s="81"/>
      <x:c r="Q293" s="81"/>
      <x:c r="R293" s="81"/>
      <x:c r="S293" s="81"/>
      <x:c r="T293" s="81"/>
      <x:c r="U293" s="81"/>
      <x:c r="V293" s="81"/>
      <x:c r="W293" s="81"/>
      <x:c r="X293" s="81"/>
      <x:c r="Y293" s="81"/>
      <x:c r="Z293" s="81"/>
    </x:row>
    <x:row r="294">
      <x:c r="A294" s="81"/>
      <x:c r="B294" s="81"/>
      <x:c r="C294" s="81"/>
      <x:c r="D294" s="81"/>
      <x:c r="E294" s="81"/>
      <x:c r="F294" s="81"/>
      <x:c r="G294" s="81"/>
      <x:c r="H294" s="81"/>
      <x:c r="I294" s="81"/>
      <x:c r="J294" s="81"/>
      <x:c r="K294" s="81"/>
      <x:c r="L294" s="81"/>
      <x:c r="M294" s="81"/>
      <x:c r="N294" s="81"/>
      <x:c r="O294" s="81"/>
      <x:c r="P294" s="81"/>
      <x:c r="Q294" s="81"/>
      <x:c r="R294" s="81"/>
      <x:c r="S294" s="81"/>
      <x:c r="T294" s="81"/>
      <x:c r="U294" s="81"/>
      <x:c r="V294" s="81"/>
      <x:c r="W294" s="81"/>
      <x:c r="X294" s="81"/>
      <x:c r="Y294" s="81"/>
      <x:c r="Z294" s="81"/>
    </x:row>
    <x:row r="295">
      <x:c r="A295" s="81"/>
      <x:c r="B295" s="81"/>
      <x:c r="C295" s="81"/>
      <x:c r="D295" s="81"/>
      <x:c r="E295" s="81"/>
      <x:c r="F295" s="81"/>
      <x:c r="G295" s="81"/>
      <x:c r="H295" s="81"/>
      <x:c r="I295" s="81"/>
      <x:c r="J295" s="81"/>
      <x:c r="K295" s="81"/>
      <x:c r="L295" s="81"/>
      <x:c r="M295" s="81"/>
      <x:c r="N295" s="81"/>
      <x:c r="O295" s="81"/>
      <x:c r="P295" s="81"/>
      <x:c r="Q295" s="81"/>
      <x:c r="R295" s="81"/>
      <x:c r="S295" s="81"/>
      <x:c r="T295" s="81"/>
      <x:c r="U295" s="81"/>
      <x:c r="V295" s="81"/>
      <x:c r="W295" s="81"/>
      <x:c r="X295" s="81"/>
      <x:c r="Y295" s="81"/>
      <x:c r="Z295" s="81"/>
    </x:row>
    <x:row r="296">
      <x:c r="A296" s="81"/>
      <x:c r="B296" s="81"/>
      <x:c r="C296" s="81"/>
      <x:c r="D296" s="81"/>
      <x:c r="E296" s="81"/>
      <x:c r="F296" s="81"/>
      <x:c r="G296" s="81"/>
      <x:c r="H296" s="81"/>
      <x:c r="I296" s="81"/>
      <x:c r="J296" s="81"/>
      <x:c r="K296" s="81"/>
      <x:c r="L296" s="81"/>
      <x:c r="M296" s="81"/>
      <x:c r="N296" s="81"/>
      <x:c r="O296" s="81"/>
      <x:c r="P296" s="81"/>
      <x:c r="Q296" s="81"/>
      <x:c r="R296" s="81"/>
      <x:c r="S296" s="81"/>
      <x:c r="T296" s="81"/>
      <x:c r="U296" s="81"/>
      <x:c r="V296" s="81"/>
      <x:c r="W296" s="81"/>
      <x:c r="X296" s="81"/>
      <x:c r="Y296" s="81"/>
      <x:c r="Z296" s="81"/>
    </x:row>
    <x:row r="297">
      <x:c r="A297" s="81"/>
      <x:c r="B297" s="81"/>
      <x:c r="C297" s="81"/>
      <x:c r="D297" s="81"/>
      <x:c r="E297" s="81"/>
      <x:c r="F297" s="81"/>
      <x:c r="G297" s="81"/>
      <x:c r="H297" s="81"/>
      <x:c r="I297" s="81"/>
      <x:c r="J297" s="81"/>
      <x:c r="K297" s="81"/>
      <x:c r="L297" s="81"/>
      <x:c r="M297" s="81"/>
      <x:c r="N297" s="81"/>
      <x:c r="O297" s="81"/>
      <x:c r="P297" s="81"/>
      <x:c r="Q297" s="81"/>
      <x:c r="R297" s="81"/>
      <x:c r="S297" s="81"/>
      <x:c r="T297" s="81"/>
      <x:c r="U297" s="81"/>
      <x:c r="V297" s="81"/>
      <x:c r="W297" s="81"/>
      <x:c r="X297" s="81"/>
      <x:c r="Y297" s="81"/>
      <x:c r="Z297" s="81"/>
    </x:row>
    <x:row r="298">
      <x:c r="A298" s="81"/>
      <x:c r="B298" s="81"/>
      <x:c r="C298" s="81"/>
      <x:c r="D298" s="81"/>
      <x:c r="E298" s="81"/>
      <x:c r="F298" s="81"/>
      <x:c r="G298" s="81"/>
      <x:c r="H298" s="81"/>
      <x:c r="I298" s="81"/>
      <x:c r="J298" s="81"/>
      <x:c r="K298" s="81"/>
      <x:c r="L298" s="81"/>
      <x:c r="M298" s="81"/>
      <x:c r="N298" s="81"/>
      <x:c r="O298" s="81"/>
      <x:c r="P298" s="81"/>
      <x:c r="Q298" s="81"/>
      <x:c r="R298" s="81"/>
      <x:c r="S298" s="81"/>
      <x:c r="T298" s="81"/>
      <x:c r="U298" s="81"/>
      <x:c r="V298" s="81"/>
      <x:c r="W298" s="81"/>
      <x:c r="X298" s="81"/>
      <x:c r="Y298" s="81"/>
      <x:c r="Z298" s="81"/>
    </x:row>
    <x:row r="299">
      <x:c r="A299" s="81"/>
      <x:c r="B299" s="81"/>
      <x:c r="C299" s="81"/>
      <x:c r="D299" s="81"/>
      <x:c r="E299" s="81"/>
      <x:c r="F299" s="81"/>
      <x:c r="G299" s="81"/>
      <x:c r="H299" s="81"/>
      <x:c r="I299" s="81"/>
      <x:c r="J299" s="81"/>
      <x:c r="K299" s="81"/>
      <x:c r="L299" s="81"/>
      <x:c r="M299" s="81"/>
      <x:c r="N299" s="81"/>
      <x:c r="O299" s="81"/>
      <x:c r="P299" s="81"/>
      <x:c r="Q299" s="81"/>
      <x:c r="R299" s="81"/>
      <x:c r="S299" s="81"/>
      <x:c r="T299" s="81"/>
      <x:c r="U299" s="81"/>
      <x:c r="V299" s="81"/>
      <x:c r="W299" s="81"/>
      <x:c r="X299" s="81"/>
      <x:c r="Y299" s="81"/>
      <x:c r="Z299" s="81"/>
    </x:row>
    <x:row r="300">
      <x:c r="A300" s="81"/>
      <x:c r="B300" s="81"/>
      <x:c r="C300" s="81"/>
      <x:c r="D300" s="81"/>
      <x:c r="E300" s="81"/>
      <x:c r="F300" s="81"/>
      <x:c r="G300" s="81"/>
      <x:c r="H300" s="81"/>
      <x:c r="I300" s="81"/>
      <x:c r="J300" s="81"/>
      <x:c r="K300" s="81"/>
      <x:c r="L300" s="81"/>
      <x:c r="M300" s="81"/>
      <x:c r="N300" s="81"/>
      <x:c r="O300" s="81"/>
      <x:c r="P300" s="81"/>
      <x:c r="Q300" s="81"/>
      <x:c r="R300" s="81"/>
      <x:c r="S300" s="81"/>
      <x:c r="T300" s="81"/>
      <x:c r="U300" s="81"/>
      <x:c r="V300" s="81"/>
      <x:c r="W300" s="81"/>
      <x:c r="X300" s="81"/>
      <x:c r="Y300" s="81"/>
      <x:c r="Z300" s="81"/>
    </x:row>
    <x:row r="301">
      <x:c r="A301" s="81"/>
      <x:c r="B301" s="81"/>
      <x:c r="C301" s="81"/>
      <x:c r="D301" s="81"/>
      <x:c r="E301" s="81"/>
      <x:c r="F301" s="81"/>
      <x:c r="G301" s="81"/>
      <x:c r="H301" s="81"/>
      <x:c r="I301" s="81"/>
      <x:c r="J301" s="81"/>
      <x:c r="K301" s="81"/>
      <x:c r="L301" s="81"/>
      <x:c r="M301" s="81"/>
      <x:c r="N301" s="81"/>
      <x:c r="O301" s="81"/>
      <x:c r="P301" s="81"/>
      <x:c r="Q301" s="81"/>
      <x:c r="R301" s="81"/>
      <x:c r="S301" s="81"/>
      <x:c r="T301" s="81"/>
      <x:c r="U301" s="81"/>
      <x:c r="V301" s="81"/>
      <x:c r="W301" s="81"/>
      <x:c r="X301" s="81"/>
      <x:c r="Y301" s="81"/>
      <x:c r="Z301" s="81"/>
    </x:row>
    <x:row r="302">
      <x:c r="A302" s="81"/>
      <x:c r="B302" s="81"/>
      <x:c r="C302" s="81"/>
      <x:c r="D302" s="81"/>
      <x:c r="E302" s="81"/>
      <x:c r="F302" s="81"/>
      <x:c r="G302" s="81"/>
      <x:c r="H302" s="81"/>
      <x:c r="I302" s="81"/>
      <x:c r="J302" s="81"/>
      <x:c r="K302" s="81"/>
      <x:c r="L302" s="81"/>
      <x:c r="M302" s="81"/>
      <x:c r="N302" s="81"/>
      <x:c r="O302" s="81"/>
      <x:c r="P302" s="81"/>
      <x:c r="Q302" s="81"/>
      <x:c r="R302" s="81"/>
      <x:c r="S302" s="81"/>
      <x:c r="T302" s="81"/>
      <x:c r="U302" s="81"/>
      <x:c r="V302" s="81"/>
      <x:c r="W302" s="81"/>
      <x:c r="X302" s="81"/>
      <x:c r="Y302" s="81"/>
      <x:c r="Z302" s="81"/>
    </x:row>
    <x:row r="303">
      <x:c r="A303" s="81"/>
      <x:c r="B303" s="81"/>
      <x:c r="C303" s="81"/>
      <x:c r="D303" s="81"/>
      <x:c r="E303" s="81"/>
      <x:c r="F303" s="81"/>
      <x:c r="G303" s="81"/>
      <x:c r="H303" s="81"/>
      <x:c r="I303" s="81"/>
      <x:c r="J303" s="81"/>
      <x:c r="K303" s="81"/>
      <x:c r="L303" s="81"/>
      <x:c r="M303" s="81"/>
      <x:c r="N303" s="81"/>
      <x:c r="O303" s="81"/>
      <x:c r="P303" s="81"/>
      <x:c r="Q303" s="81"/>
      <x:c r="R303" s="81"/>
      <x:c r="S303" s="81"/>
      <x:c r="T303" s="81"/>
      <x:c r="U303" s="81"/>
      <x:c r="V303" s="81"/>
      <x:c r="W303" s="81"/>
      <x:c r="X303" s="81"/>
      <x:c r="Y303" s="81"/>
      <x:c r="Z303" s="81"/>
    </x:row>
    <x:row r="304">
      <x:c r="A304" s="81"/>
      <x:c r="B304" s="81"/>
      <x:c r="C304" s="81"/>
      <x:c r="D304" s="81"/>
      <x:c r="E304" s="81"/>
      <x:c r="F304" s="81"/>
      <x:c r="G304" s="81"/>
      <x:c r="H304" s="81"/>
      <x:c r="I304" s="81"/>
      <x:c r="J304" s="81"/>
      <x:c r="K304" s="81"/>
      <x:c r="L304" s="81"/>
      <x:c r="M304" s="81"/>
      <x:c r="N304" s="81"/>
      <x:c r="O304" s="81"/>
      <x:c r="P304" s="81"/>
      <x:c r="Q304" s="81"/>
      <x:c r="R304" s="81"/>
      <x:c r="S304" s="81"/>
      <x:c r="T304" s="81"/>
      <x:c r="U304" s="81"/>
      <x:c r="V304" s="81"/>
      <x:c r="W304" s="81"/>
      <x:c r="X304" s="81"/>
      <x:c r="Y304" s="81"/>
      <x:c r="Z304" s="81"/>
    </x:row>
    <x:row r="305">
      <x:c r="A305" s="81"/>
      <x:c r="B305" s="81"/>
      <x:c r="C305" s="81"/>
      <x:c r="D305" s="81"/>
      <x:c r="E305" s="81"/>
      <x:c r="F305" s="81"/>
      <x:c r="G305" s="81"/>
      <x:c r="H305" s="81"/>
      <x:c r="I305" s="81"/>
      <x:c r="J305" s="81"/>
      <x:c r="K305" s="81"/>
      <x:c r="L305" s="81"/>
      <x:c r="M305" s="81"/>
      <x:c r="N305" s="81"/>
      <x:c r="O305" s="81"/>
      <x:c r="P305" s="81"/>
      <x:c r="Q305" s="81"/>
      <x:c r="R305" s="81"/>
      <x:c r="S305" s="81"/>
      <x:c r="T305" s="81"/>
      <x:c r="U305" s="81"/>
      <x:c r="V305" s="81"/>
      <x:c r="W305" s="81"/>
      <x:c r="X305" s="81"/>
      <x:c r="Y305" s="81"/>
      <x:c r="Z305" s="81"/>
    </x:row>
    <x:row r="306">
      <x:c r="A306" s="81"/>
      <x:c r="B306" s="81"/>
      <x:c r="C306" s="81"/>
      <x:c r="D306" s="81"/>
      <x:c r="E306" s="81"/>
      <x:c r="F306" s="81"/>
      <x:c r="G306" s="81"/>
      <x:c r="H306" s="81"/>
      <x:c r="I306" s="81"/>
      <x:c r="J306" s="81"/>
      <x:c r="K306" s="81"/>
      <x:c r="L306" s="81"/>
      <x:c r="M306" s="81"/>
      <x:c r="N306" s="81"/>
      <x:c r="O306" s="81"/>
      <x:c r="P306" s="81"/>
      <x:c r="Q306" s="81"/>
      <x:c r="R306" s="81"/>
      <x:c r="S306" s="81"/>
      <x:c r="T306" s="81"/>
      <x:c r="U306" s="81"/>
      <x:c r="V306" s="81"/>
      <x:c r="W306" s="81"/>
      <x:c r="X306" s="81"/>
      <x:c r="Y306" s="81"/>
      <x:c r="Z306" s="81"/>
    </x:row>
    <x:row r="307">
      <x:c r="A307" s="81"/>
      <x:c r="B307" s="81"/>
      <x:c r="C307" s="81"/>
      <x:c r="D307" s="81"/>
      <x:c r="E307" s="81"/>
      <x:c r="F307" s="81"/>
      <x:c r="G307" s="81"/>
      <x:c r="H307" s="81"/>
      <x:c r="I307" s="81"/>
      <x:c r="J307" s="81"/>
      <x:c r="K307" s="81"/>
      <x:c r="L307" s="81"/>
      <x:c r="M307" s="81"/>
      <x:c r="N307" s="81"/>
      <x:c r="O307" s="81"/>
      <x:c r="P307" s="81"/>
      <x:c r="Q307" s="81"/>
      <x:c r="R307" s="81"/>
      <x:c r="S307" s="81"/>
      <x:c r="T307" s="81"/>
      <x:c r="U307" s="81"/>
      <x:c r="V307" s="81"/>
      <x:c r="W307" s="81"/>
      <x:c r="X307" s="81"/>
      <x:c r="Y307" s="81"/>
      <x:c r="Z307" s="81"/>
    </x:row>
    <x:row r="308">
      <x:c r="A308" s="81"/>
      <x:c r="B308" s="81"/>
      <x:c r="C308" s="81"/>
      <x:c r="D308" s="81"/>
      <x:c r="E308" s="81"/>
      <x:c r="F308" s="81"/>
      <x:c r="G308" s="81"/>
      <x:c r="H308" s="81"/>
      <x:c r="I308" s="81"/>
      <x:c r="J308" s="81"/>
      <x:c r="K308" s="81"/>
      <x:c r="L308" s="81"/>
      <x:c r="M308" s="81"/>
      <x:c r="N308" s="81"/>
      <x:c r="O308" s="81"/>
      <x:c r="P308" s="81"/>
      <x:c r="Q308" s="81"/>
      <x:c r="R308" s="81"/>
      <x:c r="S308" s="81"/>
      <x:c r="T308" s="81"/>
      <x:c r="U308" s="81"/>
      <x:c r="V308" s="81"/>
      <x:c r="W308" s="81"/>
      <x:c r="X308" s="81"/>
      <x:c r="Y308" s="81"/>
      <x:c r="Z308" s="81"/>
    </x:row>
    <x:row r="309">
      <x:c r="A309" s="81"/>
      <x:c r="B309" s="81"/>
      <x:c r="C309" s="81"/>
      <x:c r="D309" s="81"/>
      <x:c r="E309" s="81"/>
      <x:c r="F309" s="81"/>
      <x:c r="G309" s="81"/>
      <x:c r="H309" s="81"/>
      <x:c r="I309" s="81"/>
      <x:c r="J309" s="81"/>
      <x:c r="K309" s="81"/>
      <x:c r="L309" s="81"/>
      <x:c r="M309" s="81"/>
      <x:c r="N309" s="81"/>
      <x:c r="O309" s="81"/>
      <x:c r="P309" s="81"/>
      <x:c r="Q309" s="81"/>
      <x:c r="R309" s="81"/>
      <x:c r="S309" s="81"/>
      <x:c r="T309" s="81"/>
      <x:c r="U309" s="81"/>
      <x:c r="V309" s="81"/>
      <x:c r="W309" s="81"/>
      <x:c r="X309" s="81"/>
      <x:c r="Y309" s="81"/>
      <x:c r="Z309" s="81"/>
    </x:row>
    <x:row r="310">
      <x:c r="A310" s="81"/>
      <x:c r="B310" s="81"/>
      <x:c r="C310" s="81"/>
      <x:c r="D310" s="81"/>
      <x:c r="E310" s="81"/>
      <x:c r="F310" s="81"/>
      <x:c r="G310" s="81"/>
      <x:c r="H310" s="81"/>
      <x:c r="I310" s="81"/>
      <x:c r="J310" s="81"/>
      <x:c r="K310" s="81"/>
      <x:c r="L310" s="81"/>
      <x:c r="M310" s="81"/>
      <x:c r="N310" s="81"/>
      <x:c r="O310" s="81"/>
      <x:c r="P310" s="81"/>
      <x:c r="Q310" s="81"/>
      <x:c r="R310" s="81"/>
      <x:c r="S310" s="81"/>
      <x:c r="T310" s="81"/>
      <x:c r="U310" s="81"/>
      <x:c r="V310" s="81"/>
      <x:c r="W310" s="81"/>
      <x:c r="X310" s="81"/>
      <x:c r="Y310" s="81"/>
      <x:c r="Z310" s="81"/>
    </x:row>
    <x:row r="311">
      <x:c r="A311" s="81"/>
      <x:c r="B311" s="81"/>
      <x:c r="C311" s="81"/>
      <x:c r="D311" s="81"/>
      <x:c r="E311" s="81"/>
      <x:c r="F311" s="81"/>
      <x:c r="G311" s="81"/>
      <x:c r="H311" s="81"/>
      <x:c r="I311" s="81"/>
      <x:c r="J311" s="81"/>
      <x:c r="K311" s="81"/>
      <x:c r="L311" s="81"/>
      <x:c r="M311" s="81"/>
      <x:c r="N311" s="81"/>
      <x:c r="O311" s="81"/>
      <x:c r="P311" s="81"/>
      <x:c r="Q311" s="81"/>
      <x:c r="R311" s="81"/>
      <x:c r="S311" s="81"/>
      <x:c r="T311" s="81"/>
      <x:c r="U311" s="81"/>
      <x:c r="V311" s="81"/>
      <x:c r="W311" s="81"/>
      <x:c r="X311" s="81"/>
      <x:c r="Y311" s="81"/>
      <x:c r="Z311" s="81"/>
    </x:row>
    <x:row r="312">
      <x:c r="A312" s="81"/>
      <x:c r="B312" s="81"/>
      <x:c r="C312" s="81"/>
      <x:c r="D312" s="81"/>
      <x:c r="E312" s="81"/>
      <x:c r="F312" s="81"/>
      <x:c r="G312" s="81"/>
      <x:c r="H312" s="81"/>
      <x:c r="I312" s="81"/>
      <x:c r="J312" s="81"/>
      <x:c r="K312" s="81"/>
      <x:c r="L312" s="81"/>
      <x:c r="M312" s="81"/>
      <x:c r="N312" s="81"/>
      <x:c r="O312" s="81"/>
      <x:c r="P312" s="81"/>
      <x:c r="Q312" s="81"/>
      <x:c r="R312" s="81"/>
      <x:c r="S312" s="81"/>
      <x:c r="T312" s="81"/>
      <x:c r="U312" s="81"/>
      <x:c r="V312" s="81"/>
      <x:c r="W312" s="81"/>
      <x:c r="X312" s="81"/>
      <x:c r="Y312" s="81"/>
      <x:c r="Z312" s="81"/>
    </x:row>
    <x:row r="313">
      <x:c r="A313" s="81"/>
      <x:c r="B313" s="81"/>
      <x:c r="C313" s="81"/>
      <x:c r="D313" s="81"/>
      <x:c r="E313" s="81"/>
      <x:c r="F313" s="81"/>
      <x:c r="G313" s="81"/>
      <x:c r="H313" s="81"/>
      <x:c r="I313" s="81"/>
      <x:c r="J313" s="81"/>
      <x:c r="K313" s="81"/>
      <x:c r="L313" s="81"/>
      <x:c r="M313" s="81"/>
      <x:c r="N313" s="81"/>
      <x:c r="O313" s="81"/>
      <x:c r="P313" s="81"/>
      <x:c r="Q313" s="81"/>
      <x:c r="R313" s="81"/>
      <x:c r="S313" s="81"/>
      <x:c r="T313" s="81"/>
      <x:c r="U313" s="81"/>
      <x:c r="V313" s="81"/>
      <x:c r="W313" s="81"/>
      <x:c r="X313" s="81"/>
      <x:c r="Y313" s="81"/>
      <x:c r="Z313" s="81"/>
    </x:row>
    <x:row r="314">
      <x:c r="A314" s="81"/>
      <x:c r="B314" s="81"/>
      <x:c r="C314" s="81"/>
      <x:c r="D314" s="81"/>
      <x:c r="E314" s="81"/>
      <x:c r="F314" s="81"/>
      <x:c r="G314" s="81"/>
      <x:c r="H314" s="81"/>
      <x:c r="I314" s="81"/>
      <x:c r="J314" s="81"/>
      <x:c r="K314" s="81"/>
      <x:c r="L314" s="81"/>
      <x:c r="M314" s="81"/>
      <x:c r="N314" s="81"/>
      <x:c r="O314" s="81"/>
      <x:c r="P314" s="81"/>
      <x:c r="Q314" s="81"/>
      <x:c r="R314" s="81"/>
      <x:c r="S314" s="81"/>
      <x:c r="T314" s="81"/>
      <x:c r="U314" s="81"/>
      <x:c r="V314" s="81"/>
      <x:c r="W314" s="81"/>
      <x:c r="X314" s="81"/>
      <x:c r="Y314" s="81"/>
      <x:c r="Z314" s="81"/>
    </x:row>
    <x:row r="315">
      <x:c r="A315" s="81"/>
      <x:c r="B315" s="81"/>
      <x:c r="C315" s="81"/>
      <x:c r="D315" s="81"/>
      <x:c r="E315" s="81"/>
      <x:c r="F315" s="81"/>
      <x:c r="G315" s="81"/>
      <x:c r="H315" s="81"/>
      <x:c r="I315" s="81"/>
      <x:c r="J315" s="81"/>
      <x:c r="K315" s="81"/>
      <x:c r="L315" s="81"/>
      <x:c r="M315" s="81"/>
      <x:c r="N315" s="81"/>
      <x:c r="O315" s="81"/>
      <x:c r="P315" s="81"/>
      <x:c r="Q315" s="81"/>
      <x:c r="R315" s="81"/>
      <x:c r="S315" s="81"/>
      <x:c r="T315" s="81"/>
      <x:c r="U315" s="81"/>
      <x:c r="V315" s="81"/>
      <x:c r="W315" s="81"/>
      <x:c r="X315" s="81"/>
      <x:c r="Y315" s="81"/>
      <x:c r="Z315" s="81"/>
    </x:row>
    <x:row r="316">
      <x:c r="A316" s="81"/>
      <x:c r="B316" s="81"/>
      <x:c r="C316" s="81"/>
      <x:c r="D316" s="81"/>
      <x:c r="E316" s="81"/>
      <x:c r="F316" s="81"/>
      <x:c r="G316" s="81"/>
      <x:c r="H316" s="81"/>
      <x:c r="I316" s="81"/>
      <x:c r="J316" s="81"/>
      <x:c r="K316" s="81"/>
      <x:c r="L316" s="81"/>
      <x:c r="M316" s="81"/>
      <x:c r="N316" s="81"/>
      <x:c r="O316" s="81"/>
      <x:c r="P316" s="81"/>
      <x:c r="Q316" s="81"/>
      <x:c r="R316" s="81"/>
      <x:c r="S316" s="81"/>
      <x:c r="T316" s="81"/>
      <x:c r="U316" s="81"/>
      <x:c r="V316" s="81"/>
      <x:c r="W316" s="81"/>
      <x:c r="X316" s="81"/>
      <x:c r="Y316" s="81"/>
      <x:c r="Z316" s="81"/>
    </x:row>
    <x:row r="317">
      <x:c r="A317" s="81"/>
      <x:c r="B317" s="81"/>
      <x:c r="C317" s="81"/>
      <x:c r="D317" s="81"/>
      <x:c r="E317" s="81"/>
      <x:c r="F317" s="81"/>
      <x:c r="G317" s="81"/>
      <x:c r="H317" s="81"/>
      <x:c r="I317" s="81"/>
      <x:c r="J317" s="81"/>
      <x:c r="K317" s="81"/>
      <x:c r="L317" s="81"/>
      <x:c r="M317" s="81"/>
      <x:c r="N317" s="81"/>
      <x:c r="O317" s="81"/>
      <x:c r="P317" s="81"/>
      <x:c r="Q317" s="81"/>
      <x:c r="R317" s="81"/>
      <x:c r="S317" s="81"/>
      <x:c r="T317" s="81"/>
      <x:c r="U317" s="81"/>
      <x:c r="V317" s="81"/>
      <x:c r="W317" s="81"/>
      <x:c r="X317" s="81"/>
      <x:c r="Y317" s="81"/>
      <x:c r="Z317" s="81"/>
    </x:row>
    <x:row r="318">
      <x:c r="A318" s="81"/>
      <x:c r="B318" s="81"/>
      <x:c r="C318" s="81"/>
      <x:c r="D318" s="81"/>
      <x:c r="E318" s="81"/>
      <x:c r="F318" s="81"/>
      <x:c r="G318" s="81"/>
      <x:c r="H318" s="81"/>
      <x:c r="I318" s="81"/>
      <x:c r="J318" s="81"/>
      <x:c r="K318" s="81"/>
      <x:c r="L318" s="81"/>
      <x:c r="M318" s="81"/>
      <x:c r="N318" s="81"/>
      <x:c r="O318" s="81"/>
      <x:c r="P318" s="81"/>
      <x:c r="Q318" s="81"/>
      <x:c r="R318" s="81"/>
      <x:c r="S318" s="81"/>
      <x:c r="T318" s="81"/>
      <x:c r="U318" s="81"/>
      <x:c r="V318" s="81"/>
      <x:c r="W318" s="81"/>
      <x:c r="X318" s="81"/>
      <x:c r="Y318" s="81"/>
      <x:c r="Z318" s="81"/>
    </x:row>
    <x:row r="319">
      <x:c r="A319" s="81"/>
      <x:c r="B319" s="81"/>
      <x:c r="C319" s="81"/>
      <x:c r="D319" s="81"/>
      <x:c r="E319" s="81"/>
      <x:c r="F319" s="81"/>
      <x:c r="G319" s="81"/>
      <x:c r="H319" s="81"/>
      <x:c r="I319" s="81"/>
      <x:c r="J319" s="81"/>
      <x:c r="K319" s="81"/>
      <x:c r="L319" s="81"/>
      <x:c r="M319" s="81"/>
      <x:c r="N319" s="81"/>
      <x:c r="O319" s="81"/>
      <x:c r="P319" s="81"/>
      <x:c r="Q319" s="81"/>
      <x:c r="R319" s="81"/>
      <x:c r="S319" s="81"/>
      <x:c r="T319" s="81"/>
      <x:c r="U319" s="81"/>
      <x:c r="V319" s="81"/>
      <x:c r="W319" s="81"/>
      <x:c r="X319" s="81"/>
      <x:c r="Y319" s="81"/>
      <x:c r="Z319" s="81"/>
    </x:row>
    <x:row r="320">
      <x:c r="A320" s="81"/>
      <x:c r="B320" s="81"/>
      <x:c r="C320" s="81"/>
      <x:c r="D320" s="81"/>
      <x:c r="E320" s="81"/>
      <x:c r="F320" s="81"/>
      <x:c r="G320" s="81"/>
      <x:c r="H320" s="81"/>
      <x:c r="I320" s="81"/>
      <x:c r="J320" s="81"/>
      <x:c r="K320" s="81"/>
      <x:c r="L320" s="81"/>
      <x:c r="M320" s="81"/>
      <x:c r="N320" s="81"/>
      <x:c r="O320" s="81"/>
      <x:c r="P320" s="81"/>
      <x:c r="Q320" s="81"/>
      <x:c r="R320" s="81"/>
      <x:c r="S320" s="81"/>
      <x:c r="T320" s="81"/>
      <x:c r="U320" s="81"/>
      <x:c r="V320" s="81"/>
      <x:c r="W320" s="81"/>
      <x:c r="X320" s="81"/>
      <x:c r="Y320" s="81"/>
      <x:c r="Z320" s="81"/>
    </x:row>
    <x:row r="321">
      <x:c r="A321" s="81"/>
      <x:c r="B321" s="81"/>
      <x:c r="C321" s="81"/>
      <x:c r="D321" s="81"/>
      <x:c r="E321" s="81"/>
      <x:c r="F321" s="81"/>
      <x:c r="G321" s="81"/>
      <x:c r="H321" s="81"/>
      <x:c r="I321" s="81"/>
      <x:c r="J321" s="81"/>
      <x:c r="K321" s="81"/>
      <x:c r="L321" s="81"/>
      <x:c r="M321" s="81"/>
      <x:c r="N321" s="81"/>
      <x:c r="O321" s="81"/>
      <x:c r="P321" s="81"/>
      <x:c r="Q321" s="81"/>
      <x:c r="R321" s="81"/>
      <x:c r="S321" s="81"/>
      <x:c r="T321" s="81"/>
      <x:c r="U321" s="81"/>
      <x:c r="V321" s="81"/>
      <x:c r="W321" s="81"/>
      <x:c r="X321" s="81"/>
      <x:c r="Y321" s="81"/>
      <x:c r="Z321" s="81"/>
    </x:row>
    <x:row r="322">
      <x:c r="A322" s="81"/>
      <x:c r="B322" s="81"/>
      <x:c r="C322" s="81"/>
      <x:c r="D322" s="81"/>
      <x:c r="E322" s="81"/>
      <x:c r="F322" s="81"/>
      <x:c r="G322" s="81"/>
      <x:c r="H322" s="81"/>
      <x:c r="I322" s="81"/>
      <x:c r="J322" s="81"/>
      <x:c r="K322" s="81"/>
      <x:c r="L322" s="81"/>
      <x:c r="M322" s="81"/>
      <x:c r="N322" s="81"/>
      <x:c r="O322" s="81"/>
      <x:c r="P322" s="81"/>
      <x:c r="Q322" s="81"/>
      <x:c r="R322" s="81"/>
      <x:c r="S322" s="81"/>
      <x:c r="T322" s="81"/>
      <x:c r="U322" s="81"/>
      <x:c r="V322" s="81"/>
      <x:c r="W322" s="81"/>
      <x:c r="X322" s="81"/>
      <x:c r="Y322" s="81"/>
      <x:c r="Z322" s="81"/>
    </x:row>
    <x:row r="323">
      <x:c r="A323" s="81"/>
      <x:c r="B323" s="81"/>
      <x:c r="C323" s="81"/>
      <x:c r="D323" s="81"/>
      <x:c r="E323" s="81"/>
      <x:c r="F323" s="81"/>
      <x:c r="G323" s="81"/>
      <x:c r="H323" s="81"/>
      <x:c r="I323" s="81"/>
      <x:c r="J323" s="81"/>
      <x:c r="K323" s="81"/>
      <x:c r="L323" s="81"/>
      <x:c r="M323" s="81"/>
      <x:c r="N323" s="81"/>
      <x:c r="O323" s="81"/>
      <x:c r="P323" s="81"/>
      <x:c r="Q323" s="81"/>
      <x:c r="R323" s="81"/>
      <x:c r="S323" s="81"/>
      <x:c r="T323" s="81"/>
      <x:c r="U323" s="81"/>
      <x:c r="V323" s="81"/>
      <x:c r="W323" s="81"/>
      <x:c r="X323" s="81"/>
      <x:c r="Y323" s="81"/>
      <x:c r="Z323" s="81"/>
    </x:row>
    <x:row r="324">
      <x:c r="A324" s="81"/>
      <x:c r="B324" s="81"/>
      <x:c r="C324" s="81"/>
      <x:c r="D324" s="81"/>
      <x:c r="E324" s="81"/>
      <x:c r="F324" s="81"/>
      <x:c r="G324" s="81"/>
      <x:c r="H324" s="81"/>
      <x:c r="I324" s="81"/>
      <x:c r="J324" s="81"/>
      <x:c r="K324" s="81"/>
      <x:c r="L324" s="81"/>
      <x:c r="M324" s="81"/>
      <x:c r="N324" s="81"/>
      <x:c r="O324" s="81"/>
      <x:c r="P324" s="81"/>
      <x:c r="Q324" s="81"/>
      <x:c r="R324" s="81"/>
      <x:c r="S324" s="81"/>
      <x:c r="T324" s="81"/>
      <x:c r="U324" s="81"/>
      <x:c r="V324" s="81"/>
      <x:c r="W324" s="81"/>
      <x:c r="X324" s="81"/>
      <x:c r="Y324" s="81"/>
      <x:c r="Z324" s="81"/>
    </x:row>
    <x:row r="325">
      <x:c r="A325" s="81"/>
      <x:c r="B325" s="81"/>
      <x:c r="C325" s="81"/>
      <x:c r="D325" s="81"/>
      <x:c r="E325" s="81"/>
      <x:c r="F325" s="81"/>
      <x:c r="G325" s="81"/>
      <x:c r="H325" s="81"/>
      <x:c r="I325" s="81"/>
      <x:c r="J325" s="81"/>
      <x:c r="K325" s="81"/>
      <x:c r="L325" s="81"/>
      <x:c r="M325" s="81"/>
      <x:c r="N325" s="81"/>
      <x:c r="O325" s="81"/>
      <x:c r="P325" s="81"/>
      <x:c r="Q325" s="81"/>
      <x:c r="R325" s="81"/>
      <x:c r="S325" s="81"/>
      <x:c r="T325" s="81"/>
      <x:c r="U325" s="81"/>
      <x:c r="V325" s="81"/>
      <x:c r="W325" s="81"/>
      <x:c r="X325" s="81"/>
      <x:c r="Y325" s="81"/>
      <x:c r="Z325" s="81"/>
    </x:row>
    <x:row r="326">
      <x:c r="A326" s="81"/>
      <x:c r="B326" s="81"/>
      <x:c r="C326" s="81"/>
      <x:c r="D326" s="81"/>
      <x:c r="E326" s="81"/>
      <x:c r="F326" s="81"/>
      <x:c r="G326" s="81"/>
      <x:c r="H326" s="81"/>
      <x:c r="I326" s="81"/>
      <x:c r="J326" s="81"/>
      <x:c r="K326" s="81"/>
      <x:c r="L326" s="81"/>
      <x:c r="M326" s="81"/>
      <x:c r="N326" s="81"/>
      <x:c r="O326" s="81"/>
      <x:c r="P326" s="81"/>
      <x:c r="Q326" s="81"/>
      <x:c r="R326" s="81"/>
      <x:c r="S326" s="81"/>
      <x:c r="T326" s="81"/>
      <x:c r="U326" s="81"/>
      <x:c r="V326" s="81"/>
      <x:c r="W326" s="81"/>
      <x:c r="X326" s="81"/>
      <x:c r="Y326" s="81"/>
      <x:c r="Z326" s="81"/>
    </x:row>
    <x:row r="327">
      <x:c r="A327" s="81"/>
      <x:c r="B327" s="81"/>
      <x:c r="C327" s="81"/>
      <x:c r="D327" s="81"/>
      <x:c r="E327" s="81"/>
      <x:c r="F327" s="81"/>
      <x:c r="G327" s="81"/>
      <x:c r="H327" s="81"/>
      <x:c r="I327" s="81"/>
      <x:c r="J327" s="81"/>
      <x:c r="K327" s="81"/>
      <x:c r="L327" s="81"/>
      <x:c r="M327" s="81"/>
      <x:c r="N327" s="81"/>
      <x:c r="O327" s="81"/>
      <x:c r="P327" s="81"/>
      <x:c r="Q327" s="81"/>
      <x:c r="R327" s="81"/>
      <x:c r="S327" s="81"/>
      <x:c r="T327" s="81"/>
      <x:c r="U327" s="81"/>
      <x:c r="V327" s="81"/>
      <x:c r="W327" s="81"/>
      <x:c r="X327" s="81"/>
      <x:c r="Y327" s="81"/>
      <x:c r="Z327" s="81"/>
    </x:row>
    <x:row r="328">
      <x:c r="A328" s="81"/>
      <x:c r="B328" s="81"/>
      <x:c r="C328" s="81"/>
      <x:c r="D328" s="81"/>
      <x:c r="E328" s="81"/>
      <x:c r="F328" s="81"/>
      <x:c r="G328" s="81"/>
      <x:c r="H328" s="81"/>
      <x:c r="I328" s="81"/>
      <x:c r="J328" s="81"/>
      <x:c r="K328" s="81"/>
      <x:c r="L328" s="81"/>
      <x:c r="M328" s="81"/>
      <x:c r="N328" s="81"/>
      <x:c r="O328" s="81"/>
      <x:c r="P328" s="81"/>
      <x:c r="Q328" s="81"/>
      <x:c r="R328" s="81"/>
      <x:c r="S328" s="81"/>
      <x:c r="T328" s="81"/>
      <x:c r="U328" s="81"/>
      <x:c r="V328" s="81"/>
      <x:c r="W328" s="81"/>
      <x:c r="X328" s="81"/>
      <x:c r="Y328" s="81"/>
      <x:c r="Z328" s="81"/>
    </x:row>
    <x:row r="329">
      <x:c r="A329" s="81"/>
      <x:c r="B329" s="81"/>
      <x:c r="C329" s="81"/>
      <x:c r="D329" s="81"/>
      <x:c r="E329" s="81"/>
      <x:c r="F329" s="81"/>
      <x:c r="G329" s="81"/>
      <x:c r="H329" s="81"/>
      <x:c r="I329" s="81"/>
      <x:c r="J329" s="81"/>
      <x:c r="K329" s="81"/>
      <x:c r="L329" s="81"/>
      <x:c r="M329" s="81"/>
      <x:c r="N329" s="81"/>
      <x:c r="O329" s="81"/>
      <x:c r="P329" s="81"/>
      <x:c r="Q329" s="81"/>
      <x:c r="R329" s="81"/>
      <x:c r="S329" s="81"/>
      <x:c r="T329" s="81"/>
      <x:c r="U329" s="81"/>
      <x:c r="V329" s="81"/>
      <x:c r="W329" s="81"/>
      <x:c r="X329" s="81"/>
      <x:c r="Y329" s="81"/>
      <x:c r="Z329" s="81"/>
    </x:row>
    <x:row r="330">
      <x:c r="A330" s="81"/>
      <x:c r="B330" s="81"/>
      <x:c r="C330" s="81"/>
      <x:c r="D330" s="81"/>
      <x:c r="E330" s="81"/>
      <x:c r="F330" s="81"/>
      <x:c r="G330" s="81"/>
      <x:c r="H330" s="81"/>
      <x:c r="I330" s="81"/>
      <x:c r="J330" s="81"/>
      <x:c r="K330" s="81"/>
      <x:c r="L330" s="81"/>
      <x:c r="M330" s="81"/>
      <x:c r="N330" s="81"/>
      <x:c r="O330" s="81"/>
      <x:c r="P330" s="81"/>
      <x:c r="Q330" s="81"/>
      <x:c r="R330" s="81"/>
      <x:c r="S330" s="81"/>
      <x:c r="T330" s="81"/>
      <x:c r="U330" s="81"/>
      <x:c r="V330" s="81"/>
      <x:c r="W330" s="81"/>
      <x:c r="X330" s="81"/>
      <x:c r="Y330" s="81"/>
      <x:c r="Z330" s="81"/>
    </x:row>
    <x:row r="331">
      <x:c r="A331" s="81"/>
      <x:c r="B331" s="81"/>
      <x:c r="C331" s="81"/>
      <x:c r="D331" s="81"/>
      <x:c r="E331" s="81"/>
      <x:c r="F331" s="81"/>
      <x:c r="G331" s="81"/>
      <x:c r="H331" s="81"/>
      <x:c r="I331" s="81"/>
      <x:c r="J331" s="81"/>
      <x:c r="K331" s="81"/>
      <x:c r="L331" s="81"/>
      <x:c r="M331" s="81"/>
      <x:c r="N331" s="81"/>
      <x:c r="O331" s="81"/>
      <x:c r="P331" s="81"/>
      <x:c r="Q331" s="81"/>
      <x:c r="R331" s="81"/>
      <x:c r="S331" s="81"/>
      <x:c r="T331" s="81"/>
      <x:c r="U331" s="81"/>
      <x:c r="V331" s="81"/>
      <x:c r="W331" s="81"/>
      <x:c r="X331" s="81"/>
      <x:c r="Y331" s="81"/>
      <x:c r="Z331" s="81"/>
    </x:row>
    <x:row r="332">
      <x:c r="A332" s="81"/>
      <x:c r="B332" s="81"/>
      <x:c r="C332" s="81"/>
      <x:c r="D332" s="81"/>
      <x:c r="E332" s="81"/>
      <x:c r="F332" s="81"/>
      <x:c r="G332" s="81"/>
      <x:c r="H332" s="81"/>
      <x:c r="I332" s="81"/>
      <x:c r="J332" s="81"/>
      <x:c r="K332" s="81"/>
      <x:c r="L332" s="81"/>
      <x:c r="M332" s="81"/>
      <x:c r="N332" s="81"/>
      <x:c r="O332" s="81"/>
      <x:c r="P332" s="81"/>
      <x:c r="Q332" s="81"/>
      <x:c r="R332" s="81"/>
      <x:c r="S332" s="81"/>
      <x:c r="T332" s="81"/>
      <x:c r="U332" s="81"/>
      <x:c r="V332" s="81"/>
      <x:c r="W332" s="81"/>
      <x:c r="X332" s="81"/>
      <x:c r="Y332" s="81"/>
      <x:c r="Z332" s="81"/>
    </x:row>
    <x:row r="333">
      <x:c r="A333" s="81"/>
      <x:c r="B333" s="81"/>
      <x:c r="C333" s="81"/>
      <x:c r="D333" s="81"/>
      <x:c r="E333" s="81"/>
      <x:c r="F333" s="81"/>
      <x:c r="G333" s="81"/>
      <x:c r="H333" s="81"/>
      <x:c r="I333" s="81"/>
      <x:c r="J333" s="81"/>
      <x:c r="K333" s="81"/>
      <x:c r="L333" s="81"/>
      <x:c r="M333" s="81"/>
      <x:c r="N333" s="81"/>
      <x:c r="O333" s="81"/>
      <x:c r="P333" s="81"/>
      <x:c r="Q333" s="81"/>
      <x:c r="R333" s="81"/>
      <x:c r="S333" s="81"/>
      <x:c r="T333" s="81"/>
      <x:c r="U333" s="81"/>
      <x:c r="V333" s="81"/>
      <x:c r="W333" s="81"/>
      <x:c r="X333" s="81"/>
      <x:c r="Y333" s="81"/>
      <x:c r="Z333" s="81"/>
    </x:row>
    <x:row r="334">
      <x:c r="A334" s="81"/>
      <x:c r="B334" s="81"/>
      <x:c r="C334" s="81"/>
      <x:c r="D334" s="81"/>
      <x:c r="E334" s="81"/>
      <x:c r="F334" s="81"/>
      <x:c r="G334" s="81"/>
      <x:c r="H334" s="81"/>
      <x:c r="I334" s="81"/>
      <x:c r="J334" s="81"/>
      <x:c r="K334" s="81"/>
      <x:c r="L334" s="81"/>
      <x:c r="M334" s="81"/>
      <x:c r="N334" s="81"/>
      <x:c r="O334" s="81"/>
      <x:c r="P334" s="81"/>
      <x:c r="Q334" s="81"/>
      <x:c r="R334" s="81"/>
      <x:c r="S334" s="81"/>
      <x:c r="T334" s="81"/>
      <x:c r="U334" s="81"/>
      <x:c r="V334" s="81"/>
      <x:c r="W334" s="81"/>
      <x:c r="X334" s="81"/>
      <x:c r="Y334" s="81"/>
      <x:c r="Z334" s="81"/>
    </x:row>
    <x:row r="335">
      <x:c r="A335" s="81"/>
      <x:c r="B335" s="81"/>
      <x:c r="C335" s="81"/>
      <x:c r="D335" s="81"/>
      <x:c r="E335" s="81"/>
      <x:c r="F335" s="81"/>
      <x:c r="G335" s="81"/>
      <x:c r="H335" s="81"/>
      <x:c r="I335" s="81"/>
      <x:c r="J335" s="81"/>
      <x:c r="K335" s="81"/>
      <x:c r="L335" s="81"/>
      <x:c r="M335" s="81"/>
      <x:c r="N335" s="81"/>
      <x:c r="O335" s="81"/>
      <x:c r="P335" s="81"/>
      <x:c r="Q335" s="81"/>
      <x:c r="R335" s="81"/>
      <x:c r="S335" s="81"/>
      <x:c r="T335" s="81"/>
      <x:c r="U335" s="81"/>
      <x:c r="V335" s="81"/>
      <x:c r="W335" s="81"/>
      <x:c r="X335" s="81"/>
      <x:c r="Y335" s="81"/>
      <x:c r="Z335" s="81"/>
    </x:row>
    <x:row r="336">
      <x:c r="A336" s="81"/>
      <x:c r="B336" s="81"/>
      <x:c r="C336" s="81"/>
      <x:c r="D336" s="81"/>
      <x:c r="E336" s="81"/>
      <x:c r="F336" s="81"/>
      <x:c r="G336" s="81"/>
      <x:c r="H336" s="81"/>
      <x:c r="I336" s="81"/>
      <x:c r="J336" s="81"/>
      <x:c r="K336" s="81"/>
      <x:c r="L336" s="81"/>
      <x:c r="M336" s="81"/>
      <x:c r="N336" s="81"/>
      <x:c r="O336" s="81"/>
      <x:c r="P336" s="81"/>
      <x:c r="Q336" s="81"/>
      <x:c r="R336" s="81"/>
      <x:c r="S336" s="81"/>
      <x:c r="T336" s="81"/>
      <x:c r="U336" s="81"/>
      <x:c r="V336" s="81"/>
      <x:c r="W336" s="81"/>
      <x:c r="X336" s="81"/>
      <x:c r="Y336" s="81"/>
      <x:c r="Z336" s="81"/>
    </x:row>
    <x:row r="337">
      <x:c r="A337" s="81"/>
      <x:c r="B337" s="81"/>
      <x:c r="C337" s="81"/>
      <x:c r="D337" s="81"/>
      <x:c r="E337" s="81"/>
      <x:c r="F337" s="81"/>
      <x:c r="G337" s="81"/>
      <x:c r="H337" s="81"/>
      <x:c r="I337" s="81"/>
      <x:c r="J337" s="81"/>
      <x:c r="K337" s="81"/>
      <x:c r="L337" s="81"/>
      <x:c r="M337" s="81"/>
      <x:c r="N337" s="81"/>
      <x:c r="O337" s="81"/>
      <x:c r="P337" s="81"/>
      <x:c r="Q337" s="81"/>
      <x:c r="R337" s="81"/>
      <x:c r="S337" s="81"/>
      <x:c r="T337" s="81"/>
      <x:c r="U337" s="81"/>
      <x:c r="V337" s="81"/>
      <x:c r="W337" s="81"/>
      <x:c r="X337" s="81"/>
      <x:c r="Y337" s="81"/>
      <x:c r="Z337" s="81"/>
    </x:row>
    <x:row r="338">
      <x:c r="A338" s="81"/>
      <x:c r="B338" s="81"/>
      <x:c r="C338" s="81"/>
      <x:c r="D338" s="81"/>
      <x:c r="E338" s="81"/>
      <x:c r="F338" s="81"/>
      <x:c r="G338" s="81"/>
      <x:c r="H338" s="81"/>
      <x:c r="I338" s="81"/>
      <x:c r="J338" s="81"/>
      <x:c r="K338" s="81"/>
      <x:c r="L338" s="81"/>
      <x:c r="M338" s="81"/>
      <x:c r="N338" s="81"/>
      <x:c r="O338" s="81"/>
      <x:c r="P338" s="81"/>
      <x:c r="Q338" s="81"/>
      <x:c r="R338" s="81"/>
      <x:c r="S338" s="81"/>
      <x:c r="T338" s="81"/>
      <x:c r="U338" s="81"/>
      <x:c r="V338" s="81"/>
      <x:c r="W338" s="81"/>
      <x:c r="X338" s="81"/>
      <x:c r="Y338" s="81"/>
      <x:c r="Z338" s="81"/>
    </x:row>
    <x:row r="339">
      <x:c r="A339" s="81"/>
      <x:c r="B339" s="81"/>
      <x:c r="C339" s="81"/>
      <x:c r="D339" s="81"/>
      <x:c r="E339" s="81"/>
      <x:c r="F339" s="81"/>
      <x:c r="G339" s="81"/>
      <x:c r="H339" s="81"/>
      <x:c r="I339" s="81"/>
      <x:c r="J339" s="81"/>
      <x:c r="K339" s="81"/>
      <x:c r="L339" s="81"/>
      <x:c r="M339" s="81"/>
      <x:c r="N339" s="81"/>
      <x:c r="O339" s="81"/>
      <x:c r="P339" s="81"/>
      <x:c r="Q339" s="81"/>
      <x:c r="R339" s="81"/>
      <x:c r="S339" s="81"/>
      <x:c r="T339" s="81"/>
      <x:c r="U339" s="81"/>
      <x:c r="V339" s="81"/>
      <x:c r="W339" s="81"/>
      <x:c r="X339" s="81"/>
      <x:c r="Y339" s="81"/>
      <x:c r="Z339" s="81"/>
    </x:row>
    <x:row r="340">
      <x:c r="A340" s="81"/>
      <x:c r="B340" s="81"/>
      <x:c r="C340" s="81"/>
      <x:c r="D340" s="81"/>
      <x:c r="E340" s="81"/>
      <x:c r="F340" s="81"/>
      <x:c r="G340" s="81"/>
      <x:c r="H340" s="81"/>
      <x:c r="I340" s="81"/>
      <x:c r="J340" s="81"/>
      <x:c r="K340" s="81"/>
      <x:c r="L340" s="81"/>
      <x:c r="M340" s="81"/>
      <x:c r="N340" s="81"/>
      <x:c r="O340" s="81"/>
      <x:c r="P340" s="81"/>
      <x:c r="Q340" s="81"/>
      <x:c r="R340" s="81"/>
      <x:c r="S340" s="81"/>
      <x:c r="T340" s="81"/>
      <x:c r="U340" s="81"/>
      <x:c r="V340" s="81"/>
      <x:c r="W340" s="81"/>
      <x:c r="X340" s="81"/>
      <x:c r="Y340" s="81"/>
      <x:c r="Z340" s="81"/>
    </x:row>
    <x:row r="341">
      <x:c r="A341" s="81"/>
      <x:c r="B341" s="81"/>
      <x:c r="C341" s="81"/>
      <x:c r="D341" s="81"/>
      <x:c r="E341" s="81"/>
      <x:c r="F341" s="81"/>
      <x:c r="G341" s="81"/>
      <x:c r="H341" s="81"/>
      <x:c r="I341" s="81"/>
      <x:c r="J341" s="81"/>
      <x:c r="K341" s="81"/>
      <x:c r="L341" s="81"/>
      <x:c r="M341" s="81"/>
      <x:c r="N341" s="81"/>
      <x:c r="O341" s="81"/>
      <x:c r="P341" s="81"/>
      <x:c r="Q341" s="81"/>
      <x:c r="R341" s="81"/>
      <x:c r="S341" s="81"/>
      <x:c r="T341" s="81"/>
      <x:c r="U341" s="81"/>
      <x:c r="V341" s="81"/>
      <x:c r="W341" s="81"/>
      <x:c r="X341" s="81"/>
      <x:c r="Y341" s="81"/>
      <x:c r="Z341" s="81"/>
    </x:row>
    <x:row r="342">
      <x:c r="A342" s="81"/>
      <x:c r="B342" s="81"/>
      <x:c r="C342" s="81"/>
      <x:c r="D342" s="81"/>
      <x:c r="E342" s="81"/>
      <x:c r="F342" s="81"/>
      <x:c r="G342" s="81"/>
      <x:c r="H342" s="81"/>
      <x:c r="I342" s="81"/>
      <x:c r="J342" s="81"/>
      <x:c r="K342" s="81"/>
      <x:c r="L342" s="81"/>
      <x:c r="M342" s="81"/>
      <x:c r="N342" s="81"/>
      <x:c r="O342" s="81"/>
      <x:c r="P342" s="81"/>
      <x:c r="Q342" s="81"/>
      <x:c r="R342" s="81"/>
      <x:c r="S342" s="81"/>
      <x:c r="T342" s="81"/>
      <x:c r="U342" s="81"/>
      <x:c r="V342" s="81"/>
      <x:c r="W342" s="81"/>
      <x:c r="X342" s="81"/>
      <x:c r="Y342" s="81"/>
      <x:c r="Z342" s="81"/>
    </x:row>
    <x:row r="343">
      <x:c r="A343" s="81"/>
      <x:c r="B343" s="81"/>
      <x:c r="C343" s="81"/>
      <x:c r="D343" s="81"/>
      <x:c r="E343" s="81"/>
      <x:c r="F343" s="81"/>
      <x:c r="G343" s="81"/>
      <x:c r="H343" s="81"/>
      <x:c r="I343" s="81"/>
      <x:c r="J343" s="81"/>
      <x:c r="K343" s="81"/>
      <x:c r="L343" s="81"/>
      <x:c r="M343" s="81"/>
      <x:c r="N343" s="81"/>
      <x:c r="O343" s="81"/>
      <x:c r="P343" s="81"/>
      <x:c r="Q343" s="81"/>
      <x:c r="R343" s="81"/>
      <x:c r="S343" s="81"/>
      <x:c r="T343" s="81"/>
      <x:c r="U343" s="81"/>
      <x:c r="V343" s="81"/>
      <x:c r="W343" s="81"/>
      <x:c r="X343" s="81"/>
      <x:c r="Y343" s="81"/>
      <x:c r="Z343" s="81"/>
    </x:row>
    <x:row r="344">
      <x:c r="A344" s="81"/>
      <x:c r="B344" s="81"/>
      <x:c r="C344" s="81"/>
      <x:c r="D344" s="81"/>
      <x:c r="E344" s="81"/>
      <x:c r="F344" s="81"/>
      <x:c r="G344" s="81"/>
      <x:c r="H344" s="81"/>
      <x:c r="I344" s="81"/>
      <x:c r="J344" s="81"/>
      <x:c r="K344" s="81"/>
      <x:c r="L344" s="81"/>
      <x:c r="M344" s="81"/>
      <x:c r="N344" s="81"/>
      <x:c r="O344" s="81"/>
      <x:c r="P344" s="81"/>
      <x:c r="Q344" s="81"/>
      <x:c r="R344" s="81"/>
      <x:c r="S344" s="81"/>
      <x:c r="T344" s="81"/>
      <x:c r="U344" s="81"/>
      <x:c r="V344" s="81"/>
      <x:c r="W344" s="81"/>
      <x:c r="X344" s="81"/>
      <x:c r="Y344" s="81"/>
      <x:c r="Z344" s="81"/>
    </x:row>
    <x:row r="345">
      <x:c r="A345" s="81"/>
      <x:c r="B345" s="81"/>
      <x:c r="C345" s="81"/>
      <x:c r="D345" s="81"/>
      <x:c r="E345" s="81"/>
      <x:c r="F345" s="81"/>
      <x:c r="G345" s="81"/>
      <x:c r="H345" s="81"/>
      <x:c r="I345" s="81"/>
      <x:c r="J345" s="81"/>
      <x:c r="K345" s="81"/>
      <x:c r="L345" s="81"/>
      <x:c r="M345" s="81"/>
      <x:c r="N345" s="81"/>
      <x:c r="O345" s="81"/>
      <x:c r="P345" s="81"/>
      <x:c r="Q345" s="81"/>
      <x:c r="R345" s="81"/>
      <x:c r="S345" s="81"/>
      <x:c r="T345" s="81"/>
      <x:c r="U345" s="81"/>
      <x:c r="V345" s="81"/>
      <x:c r="W345" s="81"/>
      <x:c r="X345" s="81"/>
      <x:c r="Y345" s="81"/>
      <x:c r="Z345" s="81"/>
    </x:row>
    <x:row r="346">
      <x:c r="A346" s="81"/>
      <x:c r="B346" s="81"/>
      <x:c r="C346" s="81"/>
      <x:c r="D346" s="81"/>
      <x:c r="E346" s="81"/>
      <x:c r="F346" s="81"/>
      <x:c r="G346" s="81"/>
      <x:c r="H346" s="81"/>
      <x:c r="I346" s="81"/>
      <x:c r="J346" s="81"/>
      <x:c r="K346" s="81"/>
      <x:c r="L346" s="81"/>
      <x:c r="M346" s="81"/>
      <x:c r="N346" s="81"/>
      <x:c r="O346" s="81"/>
      <x:c r="P346" s="81"/>
      <x:c r="Q346" s="81"/>
      <x:c r="R346" s="81"/>
      <x:c r="S346" s="81"/>
      <x:c r="T346" s="81"/>
      <x:c r="U346" s="81"/>
      <x:c r="V346" s="81"/>
      <x:c r="W346" s="81"/>
      <x:c r="X346" s="81"/>
      <x:c r="Y346" s="81"/>
      <x:c r="Z346" s="81"/>
    </x:row>
    <x:row r="347">
      <x:c r="A347" s="81"/>
      <x:c r="B347" s="81"/>
      <x:c r="C347" s="81"/>
      <x:c r="D347" s="81"/>
      <x:c r="E347" s="81"/>
      <x:c r="F347" s="81"/>
      <x:c r="G347" s="81"/>
      <x:c r="H347" s="81"/>
      <x:c r="I347" s="81"/>
      <x:c r="J347" s="81"/>
      <x:c r="K347" s="81"/>
      <x:c r="L347" s="81"/>
      <x:c r="M347" s="81"/>
      <x:c r="N347" s="81"/>
      <x:c r="O347" s="81"/>
      <x:c r="P347" s="81"/>
      <x:c r="Q347" s="81"/>
      <x:c r="R347" s="81"/>
      <x:c r="S347" s="81"/>
      <x:c r="T347" s="81"/>
      <x:c r="U347" s="81"/>
      <x:c r="V347" s="81"/>
      <x:c r="W347" s="81"/>
      <x:c r="X347" s="81"/>
      <x:c r="Y347" s="81"/>
      <x:c r="Z347" s="81"/>
    </x:row>
    <x:row r="348">
      <x:c r="A348" s="81"/>
      <x:c r="B348" s="81"/>
      <x:c r="C348" s="81"/>
      <x:c r="D348" s="81"/>
      <x:c r="E348" s="81"/>
      <x:c r="F348" s="81"/>
      <x:c r="G348" s="81"/>
      <x:c r="H348" s="81"/>
      <x:c r="I348" s="81"/>
      <x:c r="J348" s="81"/>
      <x:c r="K348" s="81"/>
      <x:c r="L348" s="81"/>
      <x:c r="M348" s="81"/>
      <x:c r="N348" s="81"/>
      <x:c r="O348" s="81"/>
      <x:c r="P348" s="81"/>
      <x:c r="Q348" s="81"/>
      <x:c r="R348" s="81"/>
      <x:c r="S348" s="81"/>
      <x:c r="T348" s="81"/>
      <x:c r="U348" s="81"/>
      <x:c r="V348" s="81"/>
      <x:c r="W348" s="81"/>
      <x:c r="X348" s="81"/>
      <x:c r="Y348" s="81"/>
      <x:c r="Z348" s="81"/>
    </x:row>
    <x:row r="349">
      <x:c r="A349" s="81"/>
      <x:c r="B349" s="81"/>
      <x:c r="C349" s="81"/>
      <x:c r="D349" s="81"/>
      <x:c r="E349" s="81"/>
      <x:c r="F349" s="81"/>
      <x:c r="G349" s="81"/>
      <x:c r="H349" s="81"/>
      <x:c r="I349" s="81"/>
      <x:c r="J349" s="81"/>
      <x:c r="K349" s="81"/>
      <x:c r="L349" s="81"/>
      <x:c r="M349" s="81"/>
      <x:c r="N349" s="81"/>
      <x:c r="O349" s="81"/>
      <x:c r="P349" s="81"/>
      <x:c r="Q349" s="81"/>
      <x:c r="R349" s="81"/>
      <x:c r="S349" s="81"/>
      <x:c r="T349" s="81"/>
      <x:c r="U349" s="81"/>
      <x:c r="V349" s="81"/>
      <x:c r="W349" s="81"/>
      <x:c r="X349" s="81"/>
      <x:c r="Y349" s="81"/>
      <x:c r="Z349" s="81"/>
    </x:row>
    <x:row r="350">
      <x:c r="A350" s="81"/>
      <x:c r="B350" s="81"/>
      <x:c r="C350" s="81"/>
      <x:c r="D350" s="81"/>
      <x:c r="E350" s="81"/>
      <x:c r="F350" s="81"/>
      <x:c r="G350" s="81"/>
      <x:c r="H350" s="81"/>
      <x:c r="I350" s="81"/>
      <x:c r="J350" s="81"/>
      <x:c r="K350" s="81"/>
      <x:c r="L350" s="81"/>
      <x:c r="M350" s="81"/>
      <x:c r="N350" s="81"/>
      <x:c r="O350" s="81"/>
      <x:c r="P350" s="81"/>
      <x:c r="Q350" s="81"/>
      <x:c r="R350" s="81"/>
      <x:c r="S350" s="81"/>
      <x:c r="T350" s="81"/>
      <x:c r="U350" s="81"/>
      <x:c r="V350" s="81"/>
      <x:c r="W350" s="81"/>
      <x:c r="X350" s="81"/>
      <x:c r="Y350" s="81"/>
      <x:c r="Z350" s="81"/>
    </x:row>
    <x:row r="351">
      <x:c r="A351" s="81"/>
      <x:c r="B351" s="81"/>
      <x:c r="C351" s="81"/>
      <x:c r="D351" s="81"/>
      <x:c r="E351" s="81"/>
      <x:c r="F351" s="81"/>
      <x:c r="G351" s="81"/>
      <x:c r="H351" s="81"/>
      <x:c r="I351" s="81"/>
      <x:c r="J351" s="81"/>
      <x:c r="K351" s="81"/>
      <x:c r="L351" s="81"/>
      <x:c r="M351" s="81"/>
      <x:c r="N351" s="81"/>
      <x:c r="O351" s="81"/>
      <x:c r="P351" s="81"/>
      <x:c r="Q351" s="81"/>
      <x:c r="R351" s="81"/>
      <x:c r="S351" s="81"/>
      <x:c r="T351" s="81"/>
      <x:c r="U351" s="81"/>
      <x:c r="V351" s="81"/>
      <x:c r="W351" s="81"/>
      <x:c r="X351" s="81"/>
      <x:c r="Y351" s="81"/>
      <x:c r="Z351" s="81"/>
    </x:row>
    <x:row r="352">
      <x:c r="A352" s="81"/>
      <x:c r="B352" s="81"/>
      <x:c r="C352" s="81"/>
      <x:c r="D352" s="81"/>
      <x:c r="E352" s="81"/>
      <x:c r="F352" s="81"/>
      <x:c r="G352" s="81"/>
      <x:c r="H352" s="81"/>
      <x:c r="I352" s="81"/>
      <x:c r="J352" s="81"/>
      <x:c r="K352" s="81"/>
      <x:c r="L352" s="81"/>
      <x:c r="M352" s="81"/>
      <x:c r="N352" s="81"/>
      <x:c r="O352" s="81"/>
      <x:c r="P352" s="81"/>
      <x:c r="Q352" s="81"/>
      <x:c r="R352" s="81"/>
      <x:c r="S352" s="81"/>
      <x:c r="T352" s="81"/>
      <x:c r="U352" s="81"/>
      <x:c r="V352" s="81"/>
      <x:c r="W352" s="81"/>
      <x:c r="X352" s="81"/>
      <x:c r="Y352" s="81"/>
      <x:c r="Z352" s="81"/>
    </x:row>
    <x:row r="353">
      <x:c r="A353" s="81"/>
      <x:c r="B353" s="81"/>
      <x:c r="C353" s="81"/>
      <x:c r="D353" s="81"/>
      <x:c r="E353" s="81"/>
      <x:c r="F353" s="81"/>
      <x:c r="G353" s="81"/>
      <x:c r="H353" s="81"/>
      <x:c r="I353" s="81"/>
      <x:c r="J353" s="81"/>
      <x:c r="K353" s="81"/>
      <x:c r="L353" s="81"/>
      <x:c r="M353" s="81"/>
      <x:c r="N353" s="81"/>
      <x:c r="O353" s="81"/>
      <x:c r="P353" s="81"/>
      <x:c r="Q353" s="81"/>
      <x:c r="R353" s="81"/>
      <x:c r="S353" s="81"/>
      <x:c r="T353" s="81"/>
      <x:c r="U353" s="81"/>
      <x:c r="V353" s="81"/>
      <x:c r="W353" s="81"/>
      <x:c r="X353" s="81"/>
      <x:c r="Y353" s="81"/>
      <x:c r="Z353" s="81"/>
    </x:row>
    <x:row r="354">
      <x:c r="A354" s="81"/>
      <x:c r="B354" s="81"/>
      <x:c r="C354" s="81"/>
      <x:c r="D354" s="81"/>
      <x:c r="E354" s="81"/>
      <x:c r="F354" s="81"/>
      <x:c r="G354" s="81"/>
      <x:c r="H354" s="81"/>
      <x:c r="I354" s="81"/>
      <x:c r="J354" s="81"/>
      <x:c r="K354" s="81"/>
      <x:c r="L354" s="81"/>
      <x:c r="M354" s="81"/>
      <x:c r="N354" s="81"/>
      <x:c r="O354" s="81"/>
      <x:c r="P354" s="81"/>
      <x:c r="Q354" s="81"/>
      <x:c r="R354" s="81"/>
      <x:c r="S354" s="81"/>
      <x:c r="T354" s="81"/>
      <x:c r="U354" s="81"/>
      <x:c r="V354" s="81"/>
      <x:c r="W354" s="81"/>
      <x:c r="X354" s="81"/>
      <x:c r="Y354" s="81"/>
      <x:c r="Z354" s="81"/>
    </x:row>
    <x:row r="355">
      <x:c r="A355" s="81"/>
      <x:c r="B355" s="81"/>
      <x:c r="C355" s="81"/>
      <x:c r="D355" s="81"/>
      <x:c r="E355" s="81"/>
      <x:c r="F355" s="81"/>
      <x:c r="G355" s="81"/>
      <x:c r="H355" s="81"/>
      <x:c r="I355" s="81"/>
      <x:c r="J355" s="81"/>
      <x:c r="K355" s="81"/>
      <x:c r="L355" s="81"/>
      <x:c r="M355" s="81"/>
      <x:c r="N355" s="81"/>
      <x:c r="O355" s="81"/>
      <x:c r="P355" s="81"/>
      <x:c r="Q355" s="81"/>
      <x:c r="R355" s="81"/>
      <x:c r="S355" s="81"/>
      <x:c r="T355" s="81"/>
      <x:c r="U355" s="81"/>
      <x:c r="V355" s="81"/>
      <x:c r="W355" s="81"/>
      <x:c r="X355" s="81"/>
      <x:c r="Y355" s="81"/>
      <x:c r="Z355" s="81"/>
    </x:row>
    <x:row r="356">
      <x:c r="A356" s="81"/>
      <x:c r="B356" s="81"/>
      <x:c r="C356" s="81"/>
      <x:c r="D356" s="81"/>
      <x:c r="E356" s="81"/>
      <x:c r="F356" s="81"/>
      <x:c r="G356" s="81"/>
      <x:c r="H356" s="81"/>
      <x:c r="I356" s="81"/>
      <x:c r="J356" s="81"/>
      <x:c r="K356" s="81"/>
      <x:c r="L356" s="81"/>
      <x:c r="M356" s="81"/>
      <x:c r="N356" s="81"/>
      <x:c r="O356" s="81"/>
      <x:c r="P356" s="81"/>
      <x:c r="Q356" s="81"/>
      <x:c r="R356" s="81"/>
      <x:c r="S356" s="81"/>
      <x:c r="T356" s="81"/>
      <x:c r="U356" s="81"/>
      <x:c r="V356" s="81"/>
      <x:c r="W356" s="81"/>
      <x:c r="X356" s="81"/>
      <x:c r="Y356" s="81"/>
      <x:c r="Z356" s="81"/>
    </x:row>
    <x:row r="357">
      <x:c r="A357" s="81"/>
      <x:c r="B357" s="81"/>
      <x:c r="C357" s="81"/>
      <x:c r="D357" s="81"/>
      <x:c r="E357" s="81"/>
      <x:c r="F357" s="81"/>
      <x:c r="G357" s="81"/>
      <x:c r="H357" s="81"/>
      <x:c r="I357" s="81"/>
      <x:c r="J357" s="81"/>
      <x:c r="K357" s="81"/>
      <x:c r="L357" s="81"/>
      <x:c r="M357" s="81"/>
      <x:c r="N357" s="81"/>
      <x:c r="O357" s="81"/>
      <x:c r="P357" s="81"/>
      <x:c r="Q357" s="81"/>
      <x:c r="R357" s="81"/>
      <x:c r="S357" s="81"/>
      <x:c r="T357" s="81"/>
      <x:c r="U357" s="81"/>
      <x:c r="V357" s="81"/>
      <x:c r="W357" s="81"/>
      <x:c r="X357" s="81"/>
      <x:c r="Y357" s="81"/>
      <x:c r="Z357" s="81"/>
    </x:row>
    <x:row r="358">
      <x:c r="A358" s="81"/>
      <x:c r="B358" s="81"/>
      <x:c r="C358" s="81"/>
      <x:c r="D358" s="81"/>
      <x:c r="E358" s="81"/>
      <x:c r="F358" s="81"/>
      <x:c r="G358" s="81"/>
      <x:c r="H358" s="81"/>
      <x:c r="I358" s="81"/>
      <x:c r="J358" s="81"/>
      <x:c r="K358" s="81"/>
      <x:c r="L358" s="81"/>
      <x:c r="M358" s="81"/>
      <x:c r="N358" s="81"/>
      <x:c r="O358" s="81"/>
      <x:c r="P358" s="81"/>
      <x:c r="Q358" s="81"/>
      <x:c r="R358" s="81"/>
      <x:c r="S358" s="81"/>
      <x:c r="T358" s="81"/>
      <x:c r="U358" s="81"/>
      <x:c r="V358" s="81"/>
      <x:c r="W358" s="81"/>
      <x:c r="X358" s="81"/>
      <x:c r="Y358" s="81"/>
      <x:c r="Z358" s="81"/>
    </x:row>
    <x:row r="359">
      <x:c r="A359" s="81"/>
      <x:c r="B359" s="81"/>
      <x:c r="C359" s="81"/>
      <x:c r="D359" s="81"/>
      <x:c r="E359" s="81"/>
      <x:c r="F359" s="81"/>
      <x:c r="G359" s="81"/>
      <x:c r="H359" s="81"/>
      <x:c r="I359" s="81"/>
      <x:c r="J359" s="81"/>
      <x:c r="K359" s="81"/>
      <x:c r="L359" s="81"/>
      <x:c r="M359" s="81"/>
      <x:c r="N359" s="81"/>
      <x:c r="O359" s="81"/>
      <x:c r="P359" s="81"/>
      <x:c r="Q359" s="81"/>
      <x:c r="R359" s="81"/>
      <x:c r="S359" s="81"/>
      <x:c r="T359" s="81"/>
      <x:c r="U359" s="81"/>
      <x:c r="V359" s="81"/>
      <x:c r="W359" s="81"/>
      <x:c r="X359" s="81"/>
      <x:c r="Y359" s="81"/>
      <x:c r="Z359" s="81"/>
    </x:row>
    <x:row r="360">
      <x:c r="A360" s="81"/>
      <x:c r="B360" s="81"/>
      <x:c r="C360" s="81"/>
      <x:c r="D360" s="81"/>
      <x:c r="E360" s="81"/>
      <x:c r="F360" s="81"/>
      <x:c r="G360" s="81"/>
      <x:c r="H360" s="81"/>
      <x:c r="I360" s="81"/>
      <x:c r="J360" s="81"/>
      <x:c r="K360" s="81"/>
      <x:c r="L360" s="81"/>
      <x:c r="M360" s="81"/>
      <x:c r="N360" s="81"/>
      <x:c r="O360" s="81"/>
      <x:c r="P360" s="81"/>
      <x:c r="Q360" s="81"/>
      <x:c r="R360" s="81"/>
      <x:c r="S360" s="81"/>
      <x:c r="T360" s="81"/>
      <x:c r="U360" s="81"/>
      <x:c r="V360" s="81"/>
      <x:c r="W360" s="81"/>
      <x:c r="X360" s="81"/>
      <x:c r="Y360" s="81"/>
      <x:c r="Z360" s="81"/>
    </x:row>
    <x:row r="361">
      <x:c r="A361" s="81"/>
      <x:c r="B361" s="81"/>
      <x:c r="C361" s="81"/>
      <x:c r="D361" s="81"/>
      <x:c r="E361" s="81"/>
      <x:c r="F361" s="81"/>
      <x:c r="G361" s="81"/>
      <x:c r="H361" s="81"/>
      <x:c r="I361" s="81"/>
      <x:c r="J361" s="81"/>
      <x:c r="K361" s="81"/>
      <x:c r="L361" s="81"/>
      <x:c r="M361" s="81"/>
      <x:c r="N361" s="81"/>
      <x:c r="O361" s="81"/>
      <x:c r="P361" s="81"/>
      <x:c r="Q361" s="81"/>
      <x:c r="R361" s="81"/>
      <x:c r="S361" s="81"/>
      <x:c r="T361" s="81"/>
      <x:c r="U361" s="81"/>
      <x:c r="V361" s="81"/>
      <x:c r="W361" s="81"/>
      <x:c r="X361" s="81"/>
      <x:c r="Y361" s="81"/>
      <x:c r="Z361" s="81"/>
    </x:row>
    <x:row r="362">
      <x:c r="A362" s="81"/>
      <x:c r="B362" s="81"/>
      <x:c r="C362" s="81"/>
      <x:c r="D362" s="81"/>
      <x:c r="E362" s="81"/>
      <x:c r="F362" s="81"/>
      <x:c r="G362" s="81"/>
      <x:c r="H362" s="81"/>
      <x:c r="I362" s="81"/>
      <x:c r="J362" s="81"/>
      <x:c r="K362" s="81"/>
      <x:c r="L362" s="81"/>
      <x:c r="M362" s="81"/>
      <x:c r="N362" s="81"/>
      <x:c r="O362" s="81"/>
      <x:c r="P362" s="81"/>
      <x:c r="Q362" s="81"/>
      <x:c r="R362" s="81"/>
      <x:c r="S362" s="81"/>
      <x:c r="T362" s="81"/>
      <x:c r="U362" s="81"/>
      <x:c r="V362" s="81"/>
      <x:c r="W362" s="81"/>
      <x:c r="X362" s="81"/>
      <x:c r="Y362" s="81"/>
      <x:c r="Z362" s="81"/>
    </x:row>
    <x:row r="363">
      <x:c r="A363" s="81"/>
      <x:c r="B363" s="81"/>
      <x:c r="C363" s="81"/>
      <x:c r="D363" s="81"/>
      <x:c r="E363" s="81"/>
      <x:c r="F363" s="81"/>
      <x:c r="G363" s="81"/>
      <x:c r="H363" s="81"/>
      <x:c r="I363" s="81"/>
      <x:c r="J363" s="81"/>
      <x:c r="K363" s="81"/>
      <x:c r="L363" s="81"/>
      <x:c r="M363" s="81"/>
      <x:c r="N363" s="81"/>
      <x:c r="O363" s="81"/>
      <x:c r="P363" s="81"/>
      <x:c r="Q363" s="81"/>
      <x:c r="R363" s="81"/>
      <x:c r="S363" s="81"/>
      <x:c r="T363" s="81"/>
      <x:c r="U363" s="81"/>
      <x:c r="V363" s="81"/>
      <x:c r="W363" s="81"/>
      <x:c r="X363" s="81"/>
      <x:c r="Y363" s="81"/>
      <x:c r="Z363" s="81"/>
    </x:row>
    <x:row r="364">
      <x:c r="A364" s="81"/>
      <x:c r="B364" s="81"/>
      <x:c r="C364" s="81"/>
      <x:c r="D364" s="81"/>
      <x:c r="E364" s="81"/>
      <x:c r="F364" s="81"/>
      <x:c r="G364" s="81"/>
      <x:c r="H364" s="81"/>
      <x:c r="I364" s="81"/>
      <x:c r="J364" s="81"/>
      <x:c r="K364" s="81"/>
      <x:c r="L364" s="81"/>
      <x:c r="M364" s="81"/>
      <x:c r="N364" s="81"/>
      <x:c r="O364" s="81"/>
      <x:c r="P364" s="81"/>
      <x:c r="Q364" s="81"/>
      <x:c r="R364" s="81"/>
      <x:c r="S364" s="81"/>
      <x:c r="T364" s="81"/>
      <x:c r="U364" s="81"/>
      <x:c r="V364" s="81"/>
      <x:c r="W364" s="81"/>
      <x:c r="X364" s="81"/>
      <x:c r="Y364" s="81"/>
      <x:c r="Z364" s="81"/>
    </x:row>
    <x:row r="365">
      <x:c r="A365" s="81"/>
      <x:c r="B365" s="81"/>
      <x:c r="C365" s="81"/>
      <x:c r="D365" s="81"/>
      <x:c r="E365" s="81"/>
      <x:c r="F365" s="81"/>
      <x:c r="G365" s="81"/>
      <x:c r="H365" s="81"/>
      <x:c r="I365" s="81"/>
      <x:c r="J365" s="81"/>
      <x:c r="K365" s="81"/>
      <x:c r="L365" s="81"/>
      <x:c r="M365" s="81"/>
      <x:c r="N365" s="81"/>
      <x:c r="O365" s="81"/>
      <x:c r="P365" s="81"/>
      <x:c r="Q365" s="81"/>
      <x:c r="R365" s="81"/>
      <x:c r="S365" s="81"/>
      <x:c r="T365" s="81"/>
      <x:c r="U365" s="81"/>
      <x:c r="V365" s="81"/>
      <x:c r="W365" s="81"/>
      <x:c r="X365" s="81"/>
      <x:c r="Y365" s="81"/>
      <x:c r="Z365" s="81"/>
    </x:row>
    <x:row r="366">
      <x:c r="A366" s="81"/>
      <x:c r="B366" s="81"/>
      <x:c r="C366" s="81"/>
      <x:c r="D366" s="81"/>
      <x:c r="E366" s="81"/>
      <x:c r="F366" s="81"/>
      <x:c r="G366" s="81"/>
      <x:c r="H366" s="81"/>
      <x:c r="I366" s="81"/>
      <x:c r="J366" s="81"/>
      <x:c r="K366" s="81"/>
      <x:c r="L366" s="81"/>
      <x:c r="M366" s="81"/>
      <x:c r="N366" s="81"/>
      <x:c r="O366" s="81"/>
      <x:c r="P366" s="81"/>
      <x:c r="Q366" s="81"/>
      <x:c r="R366" s="81"/>
      <x:c r="S366" s="81"/>
      <x:c r="T366" s="81"/>
      <x:c r="U366" s="81"/>
      <x:c r="V366" s="81"/>
      <x:c r="W366" s="81"/>
      <x:c r="X366" s="81"/>
      <x:c r="Y366" s="81"/>
      <x:c r="Z366" s="81"/>
    </x:row>
    <x:row r="367">
      <x:c r="A367" s="81"/>
      <x:c r="B367" s="81"/>
      <x:c r="C367" s="81"/>
      <x:c r="D367" s="81"/>
      <x:c r="E367" s="81"/>
      <x:c r="F367" s="81"/>
      <x:c r="G367" s="81"/>
      <x:c r="H367" s="81"/>
      <x:c r="I367" s="81"/>
      <x:c r="J367" s="81"/>
      <x:c r="K367" s="81"/>
      <x:c r="L367" s="81"/>
      <x:c r="M367" s="81"/>
      <x:c r="N367" s="81"/>
      <x:c r="O367" s="81"/>
      <x:c r="P367" s="81"/>
      <x:c r="Q367" s="81"/>
      <x:c r="R367" s="81"/>
      <x:c r="S367" s="81"/>
      <x:c r="T367" s="81"/>
      <x:c r="U367" s="81"/>
      <x:c r="V367" s="81"/>
      <x:c r="W367" s="81"/>
      <x:c r="X367" s="81"/>
      <x:c r="Y367" s="81"/>
      <x:c r="Z367" s="81"/>
    </x:row>
    <x:row r="368">
      <x:c r="A368" s="81"/>
      <x:c r="B368" s="81"/>
      <x:c r="C368" s="81"/>
      <x:c r="D368" s="81"/>
      <x:c r="E368" s="81"/>
      <x:c r="F368" s="81"/>
      <x:c r="G368" s="81"/>
      <x:c r="H368" s="81"/>
      <x:c r="I368" s="81"/>
      <x:c r="J368" s="81"/>
      <x:c r="K368" s="81"/>
      <x:c r="L368" s="81"/>
      <x:c r="M368" s="81"/>
      <x:c r="N368" s="81"/>
      <x:c r="O368" s="81"/>
      <x:c r="P368" s="81"/>
      <x:c r="Q368" s="81"/>
      <x:c r="R368" s="81"/>
      <x:c r="S368" s="81"/>
      <x:c r="T368" s="81"/>
      <x:c r="U368" s="81"/>
      <x:c r="V368" s="81"/>
      <x:c r="W368" s="81"/>
      <x:c r="X368" s="81"/>
      <x:c r="Y368" s="81"/>
      <x:c r="Z368" s="81"/>
    </x:row>
    <x:row r="369">
      <x:c r="A369" s="81"/>
      <x:c r="B369" s="81"/>
      <x:c r="C369" s="81"/>
      <x:c r="D369" s="81"/>
      <x:c r="E369" s="81"/>
      <x:c r="F369" s="81"/>
      <x:c r="G369" s="81"/>
      <x:c r="H369" s="81"/>
      <x:c r="I369" s="81"/>
      <x:c r="J369" s="81"/>
      <x:c r="K369" s="81"/>
      <x:c r="L369" s="81"/>
      <x:c r="M369" s="81"/>
      <x:c r="N369" s="81"/>
      <x:c r="O369" s="81"/>
      <x:c r="P369" s="81"/>
      <x:c r="Q369" s="81"/>
      <x:c r="R369" s="81"/>
      <x:c r="S369" s="81"/>
      <x:c r="T369" s="81"/>
      <x:c r="U369" s="81"/>
      <x:c r="V369" s="81"/>
      <x:c r="W369" s="81"/>
      <x:c r="X369" s="81"/>
      <x:c r="Y369" s="81"/>
      <x:c r="Z369" s="81"/>
    </x:row>
    <x:row r="370">
      <x:c r="A370" s="81"/>
      <x:c r="B370" s="81"/>
      <x:c r="C370" s="81"/>
      <x:c r="D370" s="81"/>
      <x:c r="E370" s="81"/>
      <x:c r="F370" s="81"/>
      <x:c r="G370" s="81"/>
      <x:c r="H370" s="81"/>
      <x:c r="I370" s="81"/>
      <x:c r="J370" s="81"/>
      <x:c r="K370" s="81"/>
      <x:c r="L370" s="81"/>
      <x:c r="M370" s="81"/>
      <x:c r="N370" s="81"/>
      <x:c r="O370" s="81"/>
      <x:c r="P370" s="81"/>
      <x:c r="Q370" s="81"/>
      <x:c r="R370" s="81"/>
      <x:c r="S370" s="81"/>
      <x:c r="T370" s="81"/>
      <x:c r="U370" s="81"/>
      <x:c r="V370" s="81"/>
      <x:c r="W370" s="81"/>
      <x:c r="X370" s="81"/>
      <x:c r="Y370" s="81"/>
      <x:c r="Z370" s="81"/>
    </x:row>
    <x:row r="371">
      <x:c r="A371" s="81"/>
      <x:c r="B371" s="81"/>
      <x:c r="C371" s="81"/>
      <x:c r="D371" s="81"/>
      <x:c r="E371" s="81"/>
      <x:c r="F371" s="81"/>
      <x:c r="G371" s="81"/>
      <x:c r="H371" s="81"/>
      <x:c r="I371" s="81"/>
      <x:c r="J371" s="81"/>
      <x:c r="K371" s="81"/>
      <x:c r="L371" s="81"/>
      <x:c r="M371" s="81"/>
      <x:c r="N371" s="81"/>
      <x:c r="O371" s="81"/>
      <x:c r="P371" s="81"/>
      <x:c r="Q371" s="81"/>
      <x:c r="R371" s="81"/>
      <x:c r="S371" s="81"/>
      <x:c r="T371" s="81"/>
      <x:c r="U371" s="81"/>
      <x:c r="V371" s="81"/>
      <x:c r="W371" s="81"/>
      <x:c r="X371" s="81"/>
      <x:c r="Y371" s="81"/>
      <x:c r="Z371" s="81"/>
    </x:row>
    <x:row r="372">
      <x:c r="A372" s="81"/>
      <x:c r="B372" s="81"/>
      <x:c r="C372" s="81"/>
      <x:c r="D372" s="81"/>
      <x:c r="E372" s="81"/>
      <x:c r="F372" s="81"/>
      <x:c r="G372" s="81"/>
      <x:c r="H372" s="81"/>
      <x:c r="I372" s="81"/>
      <x:c r="J372" s="81"/>
      <x:c r="K372" s="81"/>
      <x:c r="L372" s="81"/>
      <x:c r="M372" s="81"/>
      <x:c r="N372" s="81"/>
      <x:c r="O372" s="81"/>
      <x:c r="P372" s="81"/>
      <x:c r="Q372" s="81"/>
      <x:c r="R372" s="81"/>
      <x:c r="S372" s="81"/>
      <x:c r="T372" s="81"/>
      <x:c r="U372" s="81"/>
      <x:c r="V372" s="81"/>
      <x:c r="W372" s="81"/>
      <x:c r="X372" s="81"/>
      <x:c r="Y372" s="81"/>
      <x:c r="Z372" s="81"/>
    </x:row>
    <x:row r="373">
      <x:c r="A373" s="81"/>
      <x:c r="B373" s="81"/>
      <x:c r="C373" s="81"/>
      <x:c r="D373" s="81"/>
      <x:c r="E373" s="81"/>
      <x:c r="F373" s="81"/>
      <x:c r="G373" s="81"/>
      <x:c r="H373" s="81"/>
      <x:c r="I373" s="81"/>
      <x:c r="J373" s="81"/>
      <x:c r="K373" s="81"/>
      <x:c r="L373" s="81"/>
      <x:c r="M373" s="81"/>
      <x:c r="N373" s="81"/>
      <x:c r="O373" s="81"/>
      <x:c r="P373" s="81"/>
      <x:c r="Q373" s="81"/>
      <x:c r="R373" s="81"/>
      <x:c r="S373" s="81"/>
      <x:c r="T373" s="81"/>
      <x:c r="U373" s="81"/>
      <x:c r="V373" s="81"/>
      <x:c r="W373" s="81"/>
      <x:c r="X373" s="81"/>
      <x:c r="Y373" s="81"/>
      <x:c r="Z373" s="81"/>
    </x:row>
    <x:row r="374">
      <x:c r="A374" s="81"/>
      <x:c r="B374" s="81"/>
      <x:c r="C374" s="81"/>
      <x:c r="D374" s="81"/>
      <x:c r="E374" s="81"/>
      <x:c r="F374" s="81"/>
      <x:c r="G374" s="81"/>
      <x:c r="H374" s="81"/>
      <x:c r="I374" s="81"/>
      <x:c r="J374" s="81"/>
      <x:c r="K374" s="81"/>
      <x:c r="L374" s="81"/>
      <x:c r="M374" s="81"/>
      <x:c r="N374" s="81"/>
      <x:c r="O374" s="81"/>
      <x:c r="P374" s="81"/>
      <x:c r="Q374" s="81"/>
      <x:c r="R374" s="81"/>
      <x:c r="S374" s="81"/>
      <x:c r="T374" s="81"/>
      <x:c r="U374" s="81"/>
      <x:c r="V374" s="81"/>
      <x:c r="W374" s="81"/>
      <x:c r="X374" s="81"/>
      <x:c r="Y374" s="81"/>
      <x:c r="Z374" s="81"/>
    </x:row>
    <x:row r="375">
      <x:c r="A375" s="81"/>
      <x:c r="B375" s="81"/>
      <x:c r="C375" s="81"/>
      <x:c r="D375" s="81"/>
      <x:c r="E375" s="81"/>
      <x:c r="F375" s="81"/>
      <x:c r="G375" s="81"/>
      <x:c r="H375" s="81"/>
      <x:c r="I375" s="81"/>
      <x:c r="J375" s="81"/>
      <x:c r="K375" s="81"/>
      <x:c r="L375" s="81"/>
      <x:c r="M375" s="81"/>
      <x:c r="N375" s="81"/>
      <x:c r="O375" s="81"/>
      <x:c r="P375" s="81"/>
      <x:c r="Q375" s="81"/>
      <x:c r="R375" s="81"/>
      <x:c r="S375" s="81"/>
      <x:c r="T375" s="81"/>
      <x:c r="U375" s="81"/>
      <x:c r="V375" s="81"/>
      <x:c r="W375" s="81"/>
      <x:c r="X375" s="81"/>
      <x:c r="Y375" s="81"/>
      <x:c r="Z375" s="81"/>
    </x:row>
    <x:row r="376">
      <x:c r="A376" s="81"/>
      <x:c r="B376" s="81"/>
      <x:c r="C376" s="81"/>
      <x:c r="D376" s="81"/>
      <x:c r="E376" s="81"/>
      <x:c r="F376" s="81"/>
      <x:c r="G376" s="81"/>
      <x:c r="H376" s="81"/>
      <x:c r="I376" s="81"/>
      <x:c r="J376" s="81"/>
      <x:c r="K376" s="81"/>
      <x:c r="L376" s="81"/>
      <x:c r="M376" s="81"/>
      <x:c r="N376" s="81"/>
      <x:c r="O376" s="81"/>
      <x:c r="P376" s="81"/>
      <x:c r="Q376" s="81"/>
      <x:c r="R376" s="81"/>
      <x:c r="S376" s="81"/>
      <x:c r="T376" s="81"/>
      <x:c r="U376" s="81"/>
      <x:c r="V376" s="81"/>
      <x:c r="W376" s="81"/>
      <x:c r="X376" s="81"/>
      <x:c r="Y376" s="81"/>
      <x:c r="Z376" s="81"/>
    </x:row>
    <x:row r="377">
      <x:c r="A377" s="81"/>
      <x:c r="B377" s="81"/>
      <x:c r="C377" s="81"/>
      <x:c r="D377" s="81"/>
      <x:c r="E377" s="81"/>
      <x:c r="F377" s="81"/>
      <x:c r="G377" s="81"/>
      <x:c r="H377" s="81"/>
      <x:c r="I377" s="81"/>
      <x:c r="J377" s="81"/>
      <x:c r="K377" s="81"/>
      <x:c r="L377" s="81"/>
      <x:c r="M377" s="81"/>
      <x:c r="N377" s="81"/>
      <x:c r="O377" s="81"/>
      <x:c r="P377" s="81"/>
      <x:c r="Q377" s="81"/>
      <x:c r="R377" s="81"/>
      <x:c r="S377" s="81"/>
      <x:c r="T377" s="81"/>
      <x:c r="U377" s="81"/>
      <x:c r="V377" s="81"/>
      <x:c r="W377" s="81"/>
      <x:c r="X377" s="81"/>
      <x:c r="Y377" s="81"/>
      <x:c r="Z377" s="81"/>
    </x:row>
    <x:row r="378">
      <x:c r="A378" s="81"/>
      <x:c r="B378" s="81"/>
      <x:c r="C378" s="81"/>
      <x:c r="D378" s="81"/>
      <x:c r="E378" s="81"/>
      <x:c r="F378" s="81"/>
      <x:c r="G378" s="81"/>
      <x:c r="H378" s="81"/>
      <x:c r="I378" s="81"/>
      <x:c r="J378" s="81"/>
      <x:c r="K378" s="81"/>
      <x:c r="L378" s="81"/>
      <x:c r="M378" s="81"/>
      <x:c r="N378" s="81"/>
      <x:c r="O378" s="81"/>
      <x:c r="P378" s="81"/>
      <x:c r="Q378" s="81"/>
      <x:c r="R378" s="81"/>
      <x:c r="S378" s="81"/>
      <x:c r="T378" s="81"/>
      <x:c r="U378" s="81"/>
      <x:c r="V378" s="81"/>
      <x:c r="W378" s="81"/>
      <x:c r="X378" s="81"/>
      <x:c r="Y378" s="81"/>
      <x:c r="Z378" s="81"/>
    </x:row>
    <x:row r="379">
      <x:c r="A379" s="81"/>
      <x:c r="B379" s="81"/>
      <x:c r="C379" s="81"/>
      <x:c r="D379" s="81"/>
      <x:c r="E379" s="81"/>
      <x:c r="F379" s="81"/>
      <x:c r="G379" s="81"/>
      <x:c r="H379" s="81"/>
      <x:c r="I379" s="81"/>
      <x:c r="J379" s="81"/>
      <x:c r="K379" s="81"/>
      <x:c r="L379" s="81"/>
      <x:c r="M379" s="81"/>
      <x:c r="N379" s="81"/>
      <x:c r="O379" s="81"/>
      <x:c r="P379" s="81"/>
      <x:c r="Q379" s="81"/>
      <x:c r="R379" s="81"/>
      <x:c r="S379" s="81"/>
      <x:c r="T379" s="81"/>
      <x:c r="U379" s="81"/>
      <x:c r="V379" s="81"/>
      <x:c r="W379" s="81"/>
      <x:c r="X379" s="81"/>
      <x:c r="Y379" s="81"/>
      <x:c r="Z379" s="81"/>
    </x:row>
    <x:row r="380">
      <x:c r="A380" s="81"/>
      <x:c r="B380" s="81"/>
      <x:c r="C380" s="81"/>
      <x:c r="D380" s="81"/>
      <x:c r="E380" s="81"/>
      <x:c r="F380" s="81"/>
      <x:c r="G380" s="81"/>
      <x:c r="H380" s="81"/>
      <x:c r="I380" s="81"/>
      <x:c r="J380" s="81"/>
      <x:c r="K380" s="81"/>
      <x:c r="L380" s="81"/>
      <x:c r="M380" s="81"/>
      <x:c r="N380" s="81"/>
      <x:c r="O380" s="81"/>
      <x:c r="P380" s="81"/>
      <x:c r="Q380" s="81"/>
      <x:c r="R380" s="81"/>
      <x:c r="S380" s="81"/>
      <x:c r="T380" s="81"/>
      <x:c r="U380" s="81"/>
      <x:c r="V380" s="81"/>
      <x:c r="W380" s="81"/>
      <x:c r="X380" s="81"/>
      <x:c r="Y380" s="81"/>
      <x:c r="Z380" s="81"/>
    </x:row>
    <x:row r="381">
      <x:c r="A381" s="81"/>
      <x:c r="B381" s="81"/>
      <x:c r="C381" s="81"/>
      <x:c r="D381" s="81"/>
      <x:c r="E381" s="81"/>
      <x:c r="F381" s="81"/>
      <x:c r="G381" s="81"/>
      <x:c r="H381" s="81"/>
      <x:c r="I381" s="81"/>
      <x:c r="J381" s="81"/>
      <x:c r="K381" s="81"/>
      <x:c r="L381" s="81"/>
      <x:c r="M381" s="81"/>
      <x:c r="N381" s="81"/>
      <x:c r="O381" s="81"/>
      <x:c r="P381" s="81"/>
      <x:c r="Q381" s="81"/>
      <x:c r="R381" s="81"/>
      <x:c r="S381" s="81"/>
      <x:c r="T381" s="81"/>
      <x:c r="U381" s="81"/>
      <x:c r="V381" s="81"/>
      <x:c r="W381" s="81"/>
      <x:c r="X381" s="81"/>
      <x:c r="Y381" s="81"/>
      <x:c r="Z381" s="81"/>
    </x:row>
    <x:row r="382">
      <x:c r="A382" s="81"/>
      <x:c r="B382" s="81"/>
      <x:c r="C382" s="81"/>
      <x:c r="D382" s="81"/>
      <x:c r="E382" s="81"/>
      <x:c r="F382" s="81"/>
      <x:c r="G382" s="81"/>
      <x:c r="H382" s="81"/>
      <x:c r="I382" s="81"/>
      <x:c r="J382" s="81"/>
      <x:c r="K382" s="81"/>
      <x:c r="L382" s="81"/>
      <x:c r="M382" s="81"/>
      <x:c r="N382" s="81"/>
      <x:c r="O382" s="81"/>
      <x:c r="P382" s="81"/>
      <x:c r="Q382" s="81"/>
      <x:c r="R382" s="81"/>
      <x:c r="S382" s="81"/>
      <x:c r="T382" s="81"/>
      <x:c r="U382" s="81"/>
      <x:c r="V382" s="81"/>
      <x:c r="W382" s="81"/>
      <x:c r="X382" s="81"/>
      <x:c r="Y382" s="81"/>
      <x:c r="Z382" s="81"/>
    </x:row>
    <x:row r="383">
      <x:c r="A383" s="81"/>
      <x:c r="B383" s="81"/>
      <x:c r="C383" s="81"/>
      <x:c r="D383" s="81"/>
      <x:c r="E383" s="81"/>
      <x:c r="F383" s="81"/>
      <x:c r="G383" s="81"/>
      <x:c r="H383" s="81"/>
      <x:c r="I383" s="81"/>
      <x:c r="J383" s="81"/>
      <x:c r="K383" s="81"/>
      <x:c r="L383" s="81"/>
      <x:c r="M383" s="81"/>
      <x:c r="N383" s="81"/>
      <x:c r="O383" s="81"/>
      <x:c r="P383" s="81"/>
      <x:c r="Q383" s="81"/>
      <x:c r="R383" s="81"/>
      <x:c r="S383" s="81"/>
      <x:c r="T383" s="81"/>
      <x:c r="U383" s="81"/>
      <x:c r="V383" s="81"/>
      <x:c r="W383" s="81"/>
      <x:c r="X383" s="81"/>
      <x:c r="Y383" s="81"/>
      <x:c r="Z383" s="81"/>
    </x:row>
    <x:row r="384">
      <x:c r="A384" s="81"/>
      <x:c r="B384" s="81"/>
      <x:c r="C384" s="81"/>
      <x:c r="D384" s="81"/>
      <x:c r="E384" s="81"/>
      <x:c r="F384" s="81"/>
      <x:c r="G384" s="81"/>
      <x:c r="H384" s="81"/>
      <x:c r="I384" s="81"/>
      <x:c r="J384" s="81"/>
      <x:c r="K384" s="81"/>
      <x:c r="L384" s="81"/>
      <x:c r="M384" s="81"/>
      <x:c r="N384" s="81"/>
      <x:c r="O384" s="81"/>
      <x:c r="P384" s="81"/>
      <x:c r="Q384" s="81"/>
      <x:c r="R384" s="81"/>
      <x:c r="S384" s="81"/>
      <x:c r="T384" s="81"/>
      <x:c r="U384" s="81"/>
      <x:c r="V384" s="81"/>
      <x:c r="W384" s="81"/>
      <x:c r="X384" s="81"/>
      <x:c r="Y384" s="81"/>
      <x:c r="Z384" s="81"/>
    </x:row>
    <x:row r="385">
      <x:c r="A385" s="81"/>
      <x:c r="B385" s="81"/>
      <x:c r="C385" s="81"/>
      <x:c r="D385" s="81"/>
      <x:c r="E385" s="81"/>
      <x:c r="F385" s="81"/>
      <x:c r="G385" s="81"/>
      <x:c r="H385" s="81"/>
      <x:c r="I385" s="81"/>
      <x:c r="J385" s="81"/>
      <x:c r="K385" s="81"/>
      <x:c r="L385" s="81"/>
      <x:c r="M385" s="81"/>
      <x:c r="N385" s="81"/>
      <x:c r="O385" s="81"/>
      <x:c r="P385" s="81"/>
      <x:c r="Q385" s="81"/>
      <x:c r="R385" s="81"/>
      <x:c r="S385" s="81"/>
      <x:c r="T385" s="81"/>
      <x:c r="U385" s="81"/>
      <x:c r="V385" s="81"/>
      <x:c r="W385" s="81"/>
      <x:c r="X385" s="81"/>
      <x:c r="Y385" s="81"/>
      <x:c r="Z385" s="81"/>
    </x:row>
    <x:row r="386">
      <x:c r="A386" s="81"/>
      <x:c r="B386" s="81"/>
      <x:c r="C386" s="81"/>
      <x:c r="D386" s="81"/>
      <x:c r="E386" s="81"/>
      <x:c r="F386" s="81"/>
      <x:c r="G386" s="81"/>
      <x:c r="H386" s="81"/>
      <x:c r="I386" s="81"/>
      <x:c r="J386" s="81"/>
      <x:c r="K386" s="81"/>
      <x:c r="L386" s="81"/>
      <x:c r="M386" s="81"/>
      <x:c r="N386" s="81"/>
      <x:c r="O386" s="81"/>
      <x:c r="P386" s="81"/>
      <x:c r="Q386" s="81"/>
      <x:c r="R386" s="81"/>
      <x:c r="S386" s="81"/>
      <x:c r="T386" s="81"/>
      <x:c r="U386" s="81"/>
      <x:c r="V386" s="81"/>
      <x:c r="W386" s="81"/>
      <x:c r="X386" s="81"/>
      <x:c r="Y386" s="81"/>
      <x:c r="Z386" s="81"/>
    </x:row>
    <x:row r="387">
      <x:c r="A387" s="81"/>
      <x:c r="B387" s="81"/>
      <x:c r="C387" s="81"/>
      <x:c r="D387" s="81"/>
      <x:c r="E387" s="81"/>
      <x:c r="F387" s="81"/>
      <x:c r="G387" s="81"/>
      <x:c r="H387" s="81"/>
      <x:c r="I387" s="81"/>
      <x:c r="J387" s="81"/>
      <x:c r="K387" s="81"/>
      <x:c r="L387" s="81"/>
      <x:c r="M387" s="81"/>
      <x:c r="N387" s="81"/>
      <x:c r="O387" s="81"/>
      <x:c r="P387" s="81"/>
      <x:c r="Q387" s="81"/>
      <x:c r="R387" s="81"/>
      <x:c r="S387" s="81"/>
      <x:c r="T387" s="81"/>
      <x:c r="U387" s="81"/>
      <x:c r="V387" s="81"/>
      <x:c r="W387" s="81"/>
      <x:c r="X387" s="81"/>
      <x:c r="Y387" s="81"/>
      <x:c r="Z387" s="81"/>
    </x:row>
    <x:row r="388">
      <x:c r="A388" s="81"/>
      <x:c r="B388" s="81"/>
      <x:c r="C388" s="81"/>
      <x:c r="D388" s="81"/>
      <x:c r="E388" s="81"/>
      <x:c r="F388" s="81"/>
      <x:c r="G388" s="81"/>
      <x:c r="H388" s="81"/>
      <x:c r="I388" s="81"/>
      <x:c r="J388" s="81"/>
      <x:c r="K388" s="81"/>
      <x:c r="L388" s="81"/>
      <x:c r="M388" s="81"/>
      <x:c r="N388" s="81"/>
      <x:c r="O388" s="81"/>
      <x:c r="P388" s="81"/>
      <x:c r="Q388" s="81"/>
      <x:c r="R388" s="81"/>
      <x:c r="S388" s="81"/>
      <x:c r="T388" s="81"/>
      <x:c r="U388" s="81"/>
      <x:c r="V388" s="81"/>
      <x:c r="W388" s="81"/>
      <x:c r="X388" s="81"/>
      <x:c r="Y388" s="81"/>
      <x:c r="Z388" s="81"/>
    </x:row>
    <x:row r="389">
      <x:c r="A389" s="81"/>
      <x:c r="B389" s="81"/>
      <x:c r="C389" s="81"/>
      <x:c r="D389" s="81"/>
      <x:c r="E389" s="81"/>
      <x:c r="F389" s="81"/>
      <x:c r="G389" s="81"/>
      <x:c r="H389" s="81"/>
      <x:c r="I389" s="81"/>
      <x:c r="J389" s="81"/>
      <x:c r="K389" s="81"/>
      <x:c r="L389" s="81"/>
      <x:c r="M389" s="81"/>
      <x:c r="N389" s="81"/>
      <x:c r="O389" s="81"/>
      <x:c r="P389" s="81"/>
      <x:c r="Q389" s="81"/>
      <x:c r="R389" s="81"/>
      <x:c r="S389" s="81"/>
      <x:c r="T389" s="81"/>
      <x:c r="U389" s="81"/>
      <x:c r="V389" s="81"/>
      <x:c r="W389" s="81"/>
      <x:c r="X389" s="81"/>
      <x:c r="Y389" s="81"/>
      <x:c r="Z389" s="81"/>
    </x:row>
    <x:row r="390">
      <x:c r="A390" s="81"/>
      <x:c r="B390" s="81"/>
      <x:c r="C390" s="81"/>
      <x:c r="D390" s="81"/>
      <x:c r="E390" s="81"/>
      <x:c r="F390" s="81"/>
      <x:c r="G390" s="81"/>
      <x:c r="H390" s="81"/>
      <x:c r="I390" s="81"/>
      <x:c r="J390" s="81"/>
      <x:c r="K390" s="81"/>
      <x:c r="L390" s="81"/>
      <x:c r="M390" s="81"/>
      <x:c r="N390" s="81"/>
      <x:c r="O390" s="81"/>
      <x:c r="P390" s="81"/>
      <x:c r="Q390" s="81"/>
      <x:c r="R390" s="81"/>
      <x:c r="S390" s="81"/>
      <x:c r="T390" s="81"/>
      <x:c r="U390" s="81"/>
      <x:c r="V390" s="81"/>
      <x:c r="W390" s="81"/>
      <x:c r="X390" s="81"/>
      <x:c r="Y390" s="81"/>
      <x:c r="Z390" s="81"/>
    </x:row>
    <x:row r="391">
      <x:c r="A391" s="81"/>
      <x:c r="B391" s="81"/>
      <x:c r="C391" s="81"/>
      <x:c r="D391" s="81"/>
      <x:c r="E391" s="81"/>
      <x:c r="F391" s="81"/>
      <x:c r="G391" s="81"/>
      <x:c r="H391" s="81"/>
      <x:c r="I391" s="81"/>
      <x:c r="J391" s="81"/>
      <x:c r="K391" s="81"/>
      <x:c r="L391" s="81"/>
      <x:c r="M391" s="81"/>
      <x:c r="N391" s="81"/>
      <x:c r="O391" s="81"/>
      <x:c r="P391" s="81"/>
      <x:c r="Q391" s="81"/>
      <x:c r="R391" s="81"/>
      <x:c r="S391" s="81"/>
      <x:c r="T391" s="81"/>
      <x:c r="U391" s="81"/>
      <x:c r="V391" s="81"/>
      <x:c r="W391" s="81"/>
      <x:c r="X391" s="81"/>
      <x:c r="Y391" s="81"/>
      <x:c r="Z391" s="81"/>
    </x:row>
    <x:row r="392">
      <x:c r="A392" s="81"/>
      <x:c r="B392" s="81"/>
      <x:c r="C392" s="81"/>
      <x:c r="D392" s="81"/>
      <x:c r="E392" s="81"/>
      <x:c r="F392" s="81"/>
      <x:c r="G392" s="81"/>
      <x:c r="H392" s="81"/>
      <x:c r="I392" s="81"/>
      <x:c r="J392" s="81"/>
      <x:c r="K392" s="81"/>
      <x:c r="L392" s="81"/>
      <x:c r="M392" s="81"/>
      <x:c r="N392" s="81"/>
      <x:c r="O392" s="81"/>
      <x:c r="P392" s="81"/>
      <x:c r="Q392" s="81"/>
      <x:c r="R392" s="81"/>
      <x:c r="S392" s="81"/>
      <x:c r="T392" s="81"/>
      <x:c r="U392" s="81"/>
      <x:c r="V392" s="81"/>
      <x:c r="W392" s="81"/>
      <x:c r="X392" s="81"/>
      <x:c r="Y392" s="81"/>
      <x:c r="Z392" s="81"/>
    </x:row>
    <x:row r="393">
      <x:c r="A393" s="81"/>
      <x:c r="B393" s="81"/>
      <x:c r="C393" s="81"/>
      <x:c r="D393" s="81"/>
      <x:c r="E393" s="81"/>
      <x:c r="F393" s="81"/>
      <x:c r="G393" s="81"/>
      <x:c r="H393" s="81"/>
      <x:c r="I393" s="81"/>
      <x:c r="J393" s="81"/>
      <x:c r="K393" s="81"/>
      <x:c r="L393" s="81"/>
      <x:c r="M393" s="81"/>
      <x:c r="N393" s="81"/>
      <x:c r="O393" s="81"/>
      <x:c r="P393" s="81"/>
      <x:c r="Q393" s="81"/>
      <x:c r="R393" s="81"/>
      <x:c r="S393" s="81"/>
      <x:c r="T393" s="81"/>
      <x:c r="U393" s="81"/>
      <x:c r="V393" s="81"/>
      <x:c r="W393" s="81"/>
      <x:c r="X393" s="81"/>
      <x:c r="Y393" s="81"/>
      <x:c r="Z393" s="81"/>
    </x:row>
    <x:row r="394">
      <x:c r="A394" s="81"/>
      <x:c r="B394" s="81"/>
      <x:c r="C394" s="81"/>
      <x:c r="D394" s="81"/>
      <x:c r="E394" s="81"/>
      <x:c r="F394" s="81"/>
      <x:c r="G394" s="81"/>
      <x:c r="H394" s="81"/>
      <x:c r="I394" s="81"/>
      <x:c r="J394" s="81"/>
      <x:c r="K394" s="81"/>
      <x:c r="L394" s="81"/>
      <x:c r="M394" s="81"/>
      <x:c r="N394" s="81"/>
      <x:c r="O394" s="81"/>
      <x:c r="P394" s="81"/>
      <x:c r="Q394" s="81"/>
      <x:c r="R394" s="81"/>
      <x:c r="S394" s="81"/>
      <x:c r="T394" s="81"/>
      <x:c r="U394" s="81"/>
      <x:c r="V394" s="81"/>
      <x:c r="W394" s="81"/>
      <x:c r="X394" s="81"/>
      <x:c r="Y394" s="81"/>
      <x:c r="Z394" s="81"/>
    </x:row>
    <x:row r="395">
      <x:c r="A395" s="81"/>
      <x:c r="B395" s="81"/>
      <x:c r="C395" s="81"/>
      <x:c r="D395" s="81"/>
      <x:c r="E395" s="81"/>
      <x:c r="F395" s="81"/>
      <x:c r="G395" s="81"/>
      <x:c r="H395" s="81"/>
      <x:c r="I395" s="81"/>
      <x:c r="J395" s="81"/>
      <x:c r="K395" s="81"/>
      <x:c r="L395" s="81"/>
      <x:c r="M395" s="81"/>
      <x:c r="N395" s="81"/>
      <x:c r="O395" s="81"/>
      <x:c r="P395" s="81"/>
      <x:c r="Q395" s="81"/>
      <x:c r="R395" s="81"/>
      <x:c r="S395" s="81"/>
      <x:c r="T395" s="81"/>
      <x:c r="U395" s="81"/>
      <x:c r="V395" s="81"/>
      <x:c r="W395" s="81"/>
      <x:c r="X395" s="81"/>
      <x:c r="Y395" s="81"/>
      <x:c r="Z395" s="81"/>
    </x:row>
    <x:row r="396">
      <x:c r="A396" s="81"/>
      <x:c r="B396" s="81"/>
      <x:c r="C396" s="81"/>
      <x:c r="D396" s="81"/>
      <x:c r="E396" s="81"/>
      <x:c r="F396" s="81"/>
      <x:c r="G396" s="81"/>
      <x:c r="H396" s="81"/>
      <x:c r="I396" s="81"/>
      <x:c r="J396" s="81"/>
      <x:c r="K396" s="81"/>
      <x:c r="L396" s="81"/>
      <x:c r="M396" s="81"/>
      <x:c r="N396" s="81"/>
      <x:c r="O396" s="81"/>
      <x:c r="P396" s="81"/>
      <x:c r="Q396" s="81"/>
      <x:c r="R396" s="81"/>
      <x:c r="S396" s="81"/>
      <x:c r="T396" s="81"/>
      <x:c r="U396" s="81"/>
      <x:c r="V396" s="81"/>
      <x:c r="W396" s="81"/>
      <x:c r="X396" s="81"/>
      <x:c r="Y396" s="81"/>
      <x:c r="Z396" s="81"/>
    </x:row>
    <x:row r="397">
      <x:c r="A397" s="81"/>
      <x:c r="B397" s="81"/>
      <x:c r="C397" s="81"/>
      <x:c r="D397" s="81"/>
      <x:c r="E397" s="81"/>
      <x:c r="F397" s="81"/>
      <x:c r="G397" s="81"/>
      <x:c r="H397" s="81"/>
      <x:c r="I397" s="81"/>
      <x:c r="J397" s="81"/>
      <x:c r="K397" s="81"/>
      <x:c r="L397" s="81"/>
      <x:c r="M397" s="81"/>
      <x:c r="N397" s="81"/>
      <x:c r="O397" s="81"/>
      <x:c r="P397" s="81"/>
      <x:c r="Q397" s="81"/>
      <x:c r="R397" s="81"/>
      <x:c r="S397" s="81"/>
      <x:c r="T397" s="81"/>
      <x:c r="U397" s="81"/>
      <x:c r="V397" s="81"/>
      <x:c r="W397" s="81"/>
      <x:c r="X397" s="81"/>
      <x:c r="Y397" s="81"/>
      <x:c r="Z397" s="81"/>
    </x:row>
    <x:row r="398">
      <x:c r="A398" s="81"/>
      <x:c r="B398" s="81"/>
      <x:c r="C398" s="81"/>
      <x:c r="D398" s="81"/>
      <x:c r="E398" s="81"/>
      <x:c r="F398" s="81"/>
      <x:c r="G398" s="81"/>
      <x:c r="H398" s="81"/>
      <x:c r="I398" s="81"/>
      <x:c r="J398" s="81"/>
      <x:c r="K398" s="81"/>
      <x:c r="L398" s="81"/>
      <x:c r="M398" s="81"/>
      <x:c r="N398" s="81"/>
      <x:c r="O398" s="81"/>
      <x:c r="P398" s="81"/>
      <x:c r="Q398" s="81"/>
      <x:c r="R398" s="81"/>
      <x:c r="S398" s="81"/>
      <x:c r="T398" s="81"/>
      <x:c r="U398" s="81"/>
      <x:c r="V398" s="81"/>
      <x:c r="W398" s="81"/>
      <x:c r="X398" s="81"/>
      <x:c r="Y398" s="81"/>
      <x:c r="Z398" s="81"/>
    </x:row>
    <x:row r="399">
      <x:c r="A399" s="81"/>
      <x:c r="B399" s="81"/>
      <x:c r="C399" s="81"/>
      <x:c r="D399" s="81"/>
      <x:c r="E399" s="81"/>
      <x:c r="F399" s="81"/>
      <x:c r="G399" s="81"/>
      <x:c r="H399" s="81"/>
      <x:c r="I399" s="81"/>
      <x:c r="J399" s="81"/>
      <x:c r="K399" s="81"/>
      <x:c r="L399" s="81"/>
      <x:c r="M399" s="81"/>
      <x:c r="N399" s="81"/>
      <x:c r="O399" s="81"/>
      <x:c r="P399" s="81"/>
      <x:c r="Q399" s="81"/>
      <x:c r="R399" s="81"/>
      <x:c r="S399" s="81"/>
      <x:c r="T399" s="81"/>
      <x:c r="U399" s="81"/>
      <x:c r="V399" s="81"/>
      <x:c r="W399" s="81"/>
      <x:c r="X399" s="81"/>
      <x:c r="Y399" s="81"/>
      <x:c r="Z399" s="81"/>
    </x:row>
    <x:row r="400">
      <x:c r="A400" s="81"/>
      <x:c r="B400" s="81"/>
      <x:c r="C400" s="81"/>
      <x:c r="D400" s="81"/>
      <x:c r="E400" s="81"/>
      <x:c r="F400" s="81"/>
      <x:c r="G400" s="81"/>
      <x:c r="H400" s="81"/>
      <x:c r="I400" s="81"/>
      <x:c r="J400" s="81"/>
      <x:c r="K400" s="81"/>
      <x:c r="L400" s="81"/>
      <x:c r="M400" s="81"/>
      <x:c r="N400" s="81"/>
      <x:c r="O400" s="81"/>
      <x:c r="P400" s="81"/>
      <x:c r="Q400" s="81"/>
      <x:c r="R400" s="81"/>
      <x:c r="S400" s="81"/>
      <x:c r="T400" s="81"/>
      <x:c r="U400" s="81"/>
      <x:c r="V400" s="81"/>
      <x:c r="W400" s="81"/>
      <x:c r="X400" s="81"/>
      <x:c r="Y400" s="81"/>
      <x:c r="Z400" s="81"/>
    </x:row>
    <x:row r="401">
      <x:c r="A401" s="81"/>
      <x:c r="B401" s="81"/>
      <x:c r="C401" s="81"/>
      <x:c r="D401" s="81"/>
      <x:c r="E401" s="81"/>
      <x:c r="F401" s="81"/>
      <x:c r="G401" s="81"/>
      <x:c r="H401" s="81"/>
      <x:c r="I401" s="81"/>
      <x:c r="J401" s="81"/>
      <x:c r="K401" s="81"/>
      <x:c r="L401" s="81"/>
      <x:c r="M401" s="81"/>
      <x:c r="N401" s="81"/>
      <x:c r="O401" s="81"/>
      <x:c r="P401" s="81"/>
      <x:c r="Q401" s="81"/>
      <x:c r="R401" s="81"/>
      <x:c r="S401" s="81"/>
      <x:c r="T401" s="81"/>
      <x:c r="U401" s="81"/>
      <x:c r="V401" s="81"/>
      <x:c r="W401" s="81"/>
      <x:c r="X401" s="81"/>
      <x:c r="Y401" s="81"/>
      <x:c r="Z401" s="81"/>
    </x:row>
    <x:row r="402">
      <x:c r="A402" s="81"/>
      <x:c r="B402" s="81"/>
      <x:c r="C402" s="81"/>
      <x:c r="D402" s="81"/>
      <x:c r="E402" s="81"/>
      <x:c r="F402" s="81"/>
      <x:c r="G402" s="81"/>
      <x:c r="H402" s="81"/>
      <x:c r="I402" s="81"/>
      <x:c r="J402" s="81"/>
      <x:c r="K402" s="81"/>
      <x:c r="L402" s="81"/>
      <x:c r="M402" s="81"/>
      <x:c r="N402" s="81"/>
      <x:c r="O402" s="81"/>
      <x:c r="P402" s="81"/>
      <x:c r="Q402" s="81"/>
      <x:c r="R402" s="81"/>
      <x:c r="S402" s="81"/>
      <x:c r="T402" s="81"/>
      <x:c r="U402" s="81"/>
      <x:c r="V402" s="81"/>
      <x:c r="W402" s="81"/>
      <x:c r="X402" s="81"/>
      <x:c r="Y402" s="81"/>
      <x:c r="Z402" s="81"/>
    </x:row>
    <x:row r="403">
      <x:c r="A403" s="81"/>
      <x:c r="B403" s="81"/>
      <x:c r="C403" s="81"/>
      <x:c r="D403" s="81"/>
      <x:c r="E403" s="81"/>
      <x:c r="F403" s="81"/>
      <x:c r="G403" s="81"/>
      <x:c r="H403" s="81"/>
      <x:c r="I403" s="81"/>
      <x:c r="J403" s="81"/>
      <x:c r="K403" s="81"/>
      <x:c r="L403" s="81"/>
      <x:c r="M403" s="81"/>
      <x:c r="N403" s="81"/>
      <x:c r="O403" s="81"/>
      <x:c r="P403" s="81"/>
      <x:c r="Q403" s="81"/>
      <x:c r="R403" s="81"/>
      <x:c r="S403" s="81"/>
      <x:c r="T403" s="81"/>
      <x:c r="U403" s="81"/>
      <x:c r="V403" s="81"/>
      <x:c r="W403" s="81"/>
      <x:c r="X403" s="81"/>
      <x:c r="Y403" s="81"/>
      <x:c r="Z403" s="81"/>
    </x:row>
    <x:row r="404">
      <x:c r="A404" s="81"/>
      <x:c r="B404" s="81"/>
      <x:c r="C404" s="81"/>
      <x:c r="D404" s="81"/>
      <x:c r="E404" s="81"/>
      <x:c r="F404" s="81"/>
      <x:c r="G404" s="81"/>
      <x:c r="H404" s="81"/>
      <x:c r="I404" s="81"/>
      <x:c r="J404" s="81"/>
      <x:c r="K404" s="81"/>
      <x:c r="L404" s="81"/>
      <x:c r="M404" s="81"/>
      <x:c r="N404" s="81"/>
      <x:c r="O404" s="81"/>
      <x:c r="P404" s="81"/>
      <x:c r="Q404" s="81"/>
      <x:c r="R404" s="81"/>
      <x:c r="S404" s="81"/>
      <x:c r="T404" s="81"/>
      <x:c r="U404" s="81"/>
      <x:c r="V404" s="81"/>
      <x:c r="W404" s="81"/>
      <x:c r="X404" s="81"/>
      <x:c r="Y404" s="81"/>
      <x:c r="Z404" s="81"/>
    </x:row>
    <x:row r="405">
      <x:c r="A405" s="81"/>
      <x:c r="B405" s="81"/>
      <x:c r="C405" s="81"/>
      <x:c r="D405" s="81"/>
      <x:c r="E405" s="81"/>
      <x:c r="F405" s="81"/>
      <x:c r="G405" s="81"/>
      <x:c r="H405" s="81"/>
      <x:c r="I405" s="81"/>
      <x:c r="J405" s="81"/>
      <x:c r="K405" s="81"/>
      <x:c r="L405" s="81"/>
      <x:c r="M405" s="81"/>
      <x:c r="N405" s="81"/>
      <x:c r="O405" s="81"/>
      <x:c r="P405" s="81"/>
      <x:c r="Q405" s="81"/>
      <x:c r="R405" s="81"/>
      <x:c r="S405" s="81"/>
      <x:c r="T405" s="81"/>
      <x:c r="U405" s="81"/>
      <x:c r="V405" s="81"/>
      <x:c r="W405" s="81"/>
      <x:c r="X405" s="81"/>
      <x:c r="Y405" s="81"/>
      <x:c r="Z405" s="81"/>
    </x:row>
    <x:row r="406">
      <x:c r="A406" s="81"/>
      <x:c r="B406" s="81"/>
      <x:c r="C406" s="81"/>
      <x:c r="D406" s="81"/>
      <x:c r="E406" s="81"/>
      <x:c r="F406" s="81"/>
      <x:c r="G406" s="81"/>
      <x:c r="H406" s="81"/>
      <x:c r="I406" s="81"/>
      <x:c r="J406" s="81"/>
      <x:c r="K406" s="81"/>
      <x:c r="L406" s="81"/>
      <x:c r="M406" s="81"/>
      <x:c r="N406" s="81"/>
      <x:c r="O406" s="81"/>
      <x:c r="P406" s="81"/>
      <x:c r="Q406" s="81"/>
      <x:c r="R406" s="81"/>
      <x:c r="S406" s="81"/>
      <x:c r="T406" s="81"/>
      <x:c r="U406" s="81"/>
      <x:c r="V406" s="81"/>
      <x:c r="W406" s="81"/>
      <x:c r="X406" s="81"/>
      <x:c r="Y406" s="81"/>
      <x:c r="Z406" s="81"/>
    </x:row>
    <x:row r="407">
      <x:c r="A407" s="81"/>
      <x:c r="B407" s="81"/>
      <x:c r="C407" s="81"/>
      <x:c r="D407" s="81"/>
      <x:c r="E407" s="81"/>
      <x:c r="F407" s="81"/>
      <x:c r="G407" s="81"/>
      <x:c r="H407" s="81"/>
      <x:c r="I407" s="81"/>
      <x:c r="J407" s="81"/>
      <x:c r="K407" s="81"/>
      <x:c r="L407" s="81"/>
      <x:c r="M407" s="81"/>
      <x:c r="N407" s="81"/>
      <x:c r="O407" s="81"/>
      <x:c r="P407" s="81"/>
      <x:c r="Q407" s="81"/>
      <x:c r="R407" s="81"/>
      <x:c r="S407" s="81"/>
      <x:c r="T407" s="81"/>
      <x:c r="U407" s="81"/>
      <x:c r="V407" s="81"/>
      <x:c r="W407" s="81"/>
      <x:c r="X407" s="81"/>
      <x:c r="Y407" s="81"/>
      <x:c r="Z407" s="81"/>
    </x:row>
    <x:row r="408">
      <x:c r="A408" s="81"/>
      <x:c r="B408" s="81"/>
      <x:c r="C408" s="81"/>
      <x:c r="D408" s="81"/>
      <x:c r="E408" s="81"/>
      <x:c r="F408" s="81"/>
      <x:c r="G408" s="81"/>
      <x:c r="H408" s="81"/>
      <x:c r="I408" s="81"/>
      <x:c r="J408" s="81"/>
      <x:c r="K408" s="81"/>
      <x:c r="L408" s="81"/>
      <x:c r="M408" s="81"/>
      <x:c r="N408" s="81"/>
      <x:c r="O408" s="81"/>
      <x:c r="P408" s="81"/>
      <x:c r="Q408" s="81"/>
      <x:c r="R408" s="81"/>
      <x:c r="S408" s="81"/>
      <x:c r="T408" s="81"/>
      <x:c r="U408" s="81"/>
      <x:c r="V408" s="81"/>
      <x:c r="W408" s="81"/>
      <x:c r="X408" s="81"/>
      <x:c r="Y408" s="81"/>
      <x:c r="Z408" s="81"/>
    </x:row>
    <x:row r="409">
      <x:c r="A409" s="81"/>
      <x:c r="B409" s="81"/>
      <x:c r="C409" s="81"/>
      <x:c r="D409" s="81"/>
      <x:c r="E409" s="81"/>
      <x:c r="F409" s="81"/>
      <x:c r="G409" s="81"/>
      <x:c r="H409" s="81"/>
      <x:c r="I409" s="81"/>
      <x:c r="J409" s="81"/>
      <x:c r="K409" s="81"/>
      <x:c r="L409" s="81"/>
      <x:c r="M409" s="81"/>
      <x:c r="N409" s="81"/>
      <x:c r="O409" s="81"/>
      <x:c r="P409" s="81"/>
      <x:c r="Q409" s="81"/>
      <x:c r="R409" s="81"/>
      <x:c r="S409" s="81"/>
      <x:c r="T409" s="81"/>
      <x:c r="U409" s="81"/>
      <x:c r="V409" s="81"/>
      <x:c r="W409" s="81"/>
      <x:c r="X409" s="81"/>
      <x:c r="Y409" s="81"/>
      <x:c r="Z409" s="81"/>
    </x:row>
    <x:row r="410">
      <x:c r="A410" s="81"/>
      <x:c r="B410" s="81"/>
      <x:c r="C410" s="81"/>
      <x:c r="D410" s="81"/>
      <x:c r="E410" s="81"/>
      <x:c r="F410" s="81"/>
      <x:c r="G410" s="81"/>
      <x:c r="H410" s="81"/>
      <x:c r="I410" s="81"/>
      <x:c r="J410" s="81"/>
      <x:c r="K410" s="81"/>
      <x:c r="L410" s="81"/>
      <x:c r="M410" s="81"/>
      <x:c r="N410" s="81"/>
      <x:c r="O410" s="81"/>
      <x:c r="P410" s="81"/>
      <x:c r="Q410" s="81"/>
      <x:c r="R410" s="81"/>
      <x:c r="S410" s="81"/>
      <x:c r="T410" s="81"/>
      <x:c r="U410" s="81"/>
      <x:c r="V410" s="81"/>
      <x:c r="W410" s="81"/>
      <x:c r="X410" s="81"/>
      <x:c r="Y410" s="81"/>
      <x:c r="Z410" s="81"/>
    </x:row>
    <x:row r="411">
      <x:c r="A411" s="81"/>
      <x:c r="B411" s="81"/>
      <x:c r="C411" s="81"/>
      <x:c r="D411" s="81"/>
      <x:c r="E411" s="81"/>
      <x:c r="F411" s="81"/>
      <x:c r="G411" s="81"/>
      <x:c r="H411" s="81"/>
      <x:c r="I411" s="81"/>
      <x:c r="J411" s="81"/>
      <x:c r="K411" s="81"/>
      <x:c r="L411" s="81"/>
      <x:c r="M411" s="81"/>
      <x:c r="N411" s="81"/>
      <x:c r="O411" s="81"/>
      <x:c r="P411" s="81"/>
      <x:c r="Q411" s="81"/>
      <x:c r="R411" s="81"/>
      <x:c r="S411" s="81"/>
      <x:c r="T411" s="81"/>
      <x:c r="U411" s="81"/>
      <x:c r="V411" s="81"/>
      <x:c r="W411" s="81"/>
      <x:c r="X411" s="81"/>
      <x:c r="Y411" s="81"/>
      <x:c r="Z411" s="81"/>
    </x:row>
    <x:row r="412">
      <x:c r="A412" s="81"/>
      <x:c r="B412" s="81"/>
      <x:c r="C412" s="81"/>
      <x:c r="D412" s="81"/>
      <x:c r="E412" s="81"/>
      <x:c r="F412" s="81"/>
      <x:c r="G412" s="81"/>
      <x:c r="H412" s="81"/>
      <x:c r="I412" s="81"/>
      <x:c r="J412" s="81"/>
      <x:c r="K412" s="81"/>
      <x:c r="L412" s="81"/>
      <x:c r="M412" s="81"/>
      <x:c r="N412" s="81"/>
      <x:c r="O412" s="81"/>
      <x:c r="P412" s="81"/>
      <x:c r="Q412" s="81"/>
      <x:c r="R412" s="81"/>
      <x:c r="S412" s="81"/>
      <x:c r="T412" s="81"/>
      <x:c r="U412" s="81"/>
      <x:c r="V412" s="81"/>
      <x:c r="W412" s="81"/>
      <x:c r="X412" s="81"/>
      <x:c r="Y412" s="81"/>
      <x:c r="Z412" s="81"/>
    </x:row>
    <x:row r="413">
      <x:c r="A413" s="81"/>
      <x:c r="B413" s="81"/>
      <x:c r="C413" s="81"/>
      <x:c r="D413" s="81"/>
      <x:c r="E413" s="81"/>
      <x:c r="F413" s="81"/>
      <x:c r="G413" s="81"/>
      <x:c r="H413" s="81"/>
      <x:c r="I413" s="81"/>
      <x:c r="J413" s="81"/>
      <x:c r="K413" s="81"/>
      <x:c r="L413" s="81"/>
      <x:c r="M413" s="81"/>
      <x:c r="N413" s="81"/>
      <x:c r="O413" s="81"/>
      <x:c r="P413" s="81"/>
      <x:c r="Q413" s="81"/>
      <x:c r="R413" s="81"/>
      <x:c r="S413" s="81"/>
      <x:c r="T413" s="81"/>
      <x:c r="U413" s="81"/>
      <x:c r="V413" s="81"/>
      <x:c r="W413" s="81"/>
      <x:c r="X413" s="81"/>
      <x:c r="Y413" s="81"/>
      <x:c r="Z413" s="81"/>
    </x:row>
    <x:row r="414">
      <x:c r="A414" s="81"/>
      <x:c r="B414" s="81"/>
      <x:c r="C414" s="81"/>
      <x:c r="D414" s="81"/>
      <x:c r="E414" s="81"/>
      <x:c r="F414" s="81"/>
      <x:c r="G414" s="81"/>
      <x:c r="H414" s="81"/>
      <x:c r="I414" s="81"/>
      <x:c r="J414" s="81"/>
      <x:c r="K414" s="81"/>
      <x:c r="L414" s="81"/>
      <x:c r="M414" s="81"/>
      <x:c r="N414" s="81"/>
      <x:c r="O414" s="81"/>
      <x:c r="P414" s="81"/>
      <x:c r="Q414" s="81"/>
      <x:c r="R414" s="81"/>
      <x:c r="S414" s="81"/>
      <x:c r="T414" s="81"/>
      <x:c r="U414" s="81"/>
      <x:c r="V414" s="81"/>
      <x:c r="W414" s="81"/>
      <x:c r="X414" s="81"/>
      <x:c r="Y414" s="81"/>
      <x:c r="Z414" s="81"/>
    </x:row>
    <x:row r="415">
      <x:c r="A415" s="81"/>
      <x:c r="B415" s="81"/>
      <x:c r="C415" s="81"/>
      <x:c r="D415" s="81"/>
      <x:c r="E415" s="81"/>
      <x:c r="F415" s="81"/>
      <x:c r="G415" s="81"/>
      <x:c r="H415" s="81"/>
      <x:c r="I415" s="81"/>
      <x:c r="J415" s="81"/>
      <x:c r="K415" s="81"/>
      <x:c r="L415" s="81"/>
      <x:c r="M415" s="81"/>
      <x:c r="N415" s="81"/>
      <x:c r="O415" s="81"/>
      <x:c r="P415" s="81"/>
      <x:c r="Q415" s="81"/>
      <x:c r="R415" s="81"/>
      <x:c r="S415" s="81"/>
      <x:c r="T415" s="81"/>
      <x:c r="U415" s="81"/>
      <x:c r="V415" s="81"/>
      <x:c r="W415" s="81"/>
      <x:c r="X415" s="81"/>
      <x:c r="Y415" s="81"/>
      <x:c r="Z415" s="81"/>
    </x:row>
    <x:row r="416">
      <x:c r="A416" s="81"/>
      <x:c r="B416" s="81"/>
      <x:c r="C416" s="81"/>
      <x:c r="D416" s="81"/>
      <x:c r="E416" s="81"/>
      <x:c r="F416" s="81"/>
      <x:c r="G416" s="81"/>
      <x:c r="H416" s="81"/>
      <x:c r="I416" s="81"/>
      <x:c r="J416" s="81"/>
      <x:c r="K416" s="81"/>
      <x:c r="L416" s="81"/>
      <x:c r="M416" s="81"/>
      <x:c r="N416" s="81"/>
      <x:c r="O416" s="81"/>
      <x:c r="P416" s="81"/>
      <x:c r="Q416" s="81"/>
      <x:c r="R416" s="81"/>
      <x:c r="S416" s="81"/>
      <x:c r="T416" s="81"/>
      <x:c r="U416" s="81"/>
      <x:c r="V416" s="81"/>
      <x:c r="W416" s="81"/>
      <x:c r="X416" s="81"/>
      <x:c r="Y416" s="81"/>
      <x:c r="Z416" s="81"/>
    </x:row>
    <x:row r="417">
      <x:c r="A417" s="81"/>
      <x:c r="B417" s="81"/>
      <x:c r="C417" s="81"/>
      <x:c r="D417" s="81"/>
      <x:c r="E417" s="81"/>
      <x:c r="F417" s="81"/>
      <x:c r="G417" s="81"/>
      <x:c r="H417" s="81"/>
      <x:c r="I417" s="81"/>
      <x:c r="J417" s="81"/>
      <x:c r="K417" s="81"/>
      <x:c r="L417" s="81"/>
      <x:c r="M417" s="81"/>
      <x:c r="N417" s="81"/>
      <x:c r="O417" s="81"/>
      <x:c r="P417" s="81"/>
      <x:c r="Q417" s="81"/>
      <x:c r="R417" s="81"/>
      <x:c r="S417" s="81"/>
      <x:c r="T417" s="81"/>
      <x:c r="U417" s="81"/>
      <x:c r="V417" s="81"/>
      <x:c r="W417" s="81"/>
      <x:c r="X417" s="81"/>
      <x:c r="Y417" s="81"/>
      <x:c r="Z417" s="81"/>
    </x:row>
    <x:row r="418">
      <x:c r="A418" s="81"/>
      <x:c r="B418" s="81"/>
      <x:c r="C418" s="81"/>
      <x:c r="D418" s="81"/>
      <x:c r="E418" s="81"/>
      <x:c r="F418" s="81"/>
      <x:c r="G418" s="81"/>
      <x:c r="H418" s="81"/>
      <x:c r="I418" s="81"/>
      <x:c r="J418" s="81"/>
      <x:c r="K418" s="81"/>
      <x:c r="L418" s="81"/>
      <x:c r="M418" s="81"/>
      <x:c r="N418" s="81"/>
      <x:c r="O418" s="81"/>
      <x:c r="P418" s="81"/>
      <x:c r="Q418" s="81"/>
      <x:c r="R418" s="81"/>
      <x:c r="S418" s="81"/>
      <x:c r="T418" s="81"/>
      <x:c r="U418" s="81"/>
      <x:c r="V418" s="81"/>
      <x:c r="W418" s="81"/>
      <x:c r="X418" s="81"/>
      <x:c r="Y418" s="81"/>
      <x:c r="Z418" s="81"/>
    </x:row>
    <x:row r="419">
      <x:c r="A419" s="81"/>
      <x:c r="B419" s="81"/>
      <x:c r="C419" s="81"/>
      <x:c r="D419" s="81"/>
      <x:c r="E419" s="81"/>
      <x:c r="F419" s="81"/>
      <x:c r="G419" s="81"/>
      <x:c r="H419" s="81"/>
      <x:c r="I419" s="81"/>
      <x:c r="J419" s="81"/>
      <x:c r="K419" s="81"/>
      <x:c r="L419" s="81"/>
      <x:c r="M419" s="81"/>
      <x:c r="N419" s="81"/>
      <x:c r="O419" s="81"/>
      <x:c r="P419" s="81"/>
      <x:c r="Q419" s="81"/>
      <x:c r="R419" s="81"/>
      <x:c r="S419" s="81"/>
      <x:c r="T419" s="81"/>
      <x:c r="U419" s="81"/>
      <x:c r="V419" s="81"/>
      <x:c r="W419" s="81"/>
      <x:c r="X419" s="81"/>
      <x:c r="Y419" s="81"/>
      <x:c r="Z419" s="81"/>
    </x:row>
    <x:row r="420">
      <x:c r="A420" s="81"/>
      <x:c r="B420" s="81"/>
      <x:c r="C420" s="81"/>
      <x:c r="D420" s="81"/>
      <x:c r="E420" s="81"/>
      <x:c r="F420" s="81"/>
      <x:c r="G420" s="81"/>
      <x:c r="H420" s="81"/>
      <x:c r="I420" s="81"/>
      <x:c r="J420" s="81"/>
      <x:c r="K420" s="81"/>
      <x:c r="L420" s="81"/>
      <x:c r="M420" s="81"/>
      <x:c r="N420" s="81"/>
      <x:c r="O420" s="81"/>
      <x:c r="P420" s="81"/>
      <x:c r="Q420" s="81"/>
      <x:c r="R420" s="81"/>
      <x:c r="S420" s="81"/>
      <x:c r="T420" s="81"/>
      <x:c r="U420" s="81"/>
      <x:c r="V420" s="81"/>
      <x:c r="W420" s="81"/>
      <x:c r="X420" s="81"/>
      <x:c r="Y420" s="81"/>
      <x:c r="Z420" s="81"/>
    </x:row>
    <x:row r="421">
      <x:c r="A421" s="81"/>
      <x:c r="B421" s="81"/>
      <x:c r="C421" s="81"/>
      <x:c r="D421" s="81"/>
      <x:c r="E421" s="81"/>
      <x:c r="F421" s="81"/>
      <x:c r="G421" s="81"/>
      <x:c r="H421" s="81"/>
      <x:c r="I421" s="81"/>
      <x:c r="J421" s="81"/>
      <x:c r="K421" s="81"/>
      <x:c r="L421" s="81"/>
      <x:c r="M421" s="81"/>
      <x:c r="N421" s="81"/>
      <x:c r="O421" s="81"/>
      <x:c r="P421" s="81"/>
      <x:c r="Q421" s="81"/>
      <x:c r="R421" s="81"/>
      <x:c r="S421" s="81"/>
      <x:c r="T421" s="81"/>
      <x:c r="U421" s="81"/>
      <x:c r="V421" s="81"/>
      <x:c r="W421" s="81"/>
      <x:c r="X421" s="81"/>
      <x:c r="Y421" s="81"/>
      <x:c r="Z421" s="81"/>
    </x:row>
    <x:row r="422">
      <x:c r="A422" s="81"/>
      <x:c r="B422" s="81"/>
      <x:c r="C422" s="81"/>
      <x:c r="D422" s="81"/>
      <x:c r="E422" s="81"/>
      <x:c r="F422" s="81"/>
      <x:c r="G422" s="81"/>
      <x:c r="H422" s="81"/>
      <x:c r="I422" s="81"/>
      <x:c r="J422" s="81"/>
      <x:c r="K422" s="81"/>
      <x:c r="L422" s="81"/>
      <x:c r="M422" s="81"/>
      <x:c r="N422" s="81"/>
      <x:c r="O422" s="81"/>
      <x:c r="P422" s="81"/>
      <x:c r="Q422" s="81"/>
      <x:c r="R422" s="81"/>
      <x:c r="S422" s="81"/>
      <x:c r="T422" s="81"/>
      <x:c r="U422" s="81"/>
      <x:c r="V422" s="81"/>
      <x:c r="W422" s="81"/>
      <x:c r="X422" s="81"/>
      <x:c r="Y422" s="81"/>
      <x:c r="Z422" s="81"/>
    </x:row>
    <x:row r="423">
      <x:c r="A423" s="81"/>
      <x:c r="B423" s="81"/>
      <x:c r="C423" s="81"/>
      <x:c r="D423" s="81"/>
      <x:c r="E423" s="81"/>
      <x:c r="F423" s="81"/>
      <x:c r="G423" s="81"/>
      <x:c r="H423" s="81"/>
      <x:c r="I423" s="81"/>
      <x:c r="J423" s="81"/>
      <x:c r="K423" s="81"/>
      <x:c r="L423" s="81"/>
      <x:c r="M423" s="81"/>
      <x:c r="N423" s="81"/>
      <x:c r="O423" s="81"/>
      <x:c r="P423" s="81"/>
      <x:c r="Q423" s="81"/>
      <x:c r="R423" s="81"/>
      <x:c r="S423" s="81"/>
      <x:c r="T423" s="81"/>
      <x:c r="U423" s="81"/>
      <x:c r="V423" s="81"/>
      <x:c r="W423" s="81"/>
      <x:c r="X423" s="81"/>
      <x:c r="Y423" s="81"/>
      <x:c r="Z423" s="81"/>
    </x:row>
    <x:row r="424">
      <x:c r="A424" s="81"/>
      <x:c r="B424" s="81"/>
      <x:c r="C424" s="81"/>
      <x:c r="D424" s="81"/>
      <x:c r="E424" s="81"/>
      <x:c r="F424" s="81"/>
      <x:c r="G424" s="81"/>
      <x:c r="H424" s="81"/>
      <x:c r="I424" s="81"/>
      <x:c r="J424" s="81"/>
      <x:c r="K424" s="81"/>
      <x:c r="L424" s="81"/>
      <x:c r="M424" s="81"/>
      <x:c r="N424" s="81"/>
      <x:c r="O424" s="81"/>
      <x:c r="P424" s="81"/>
      <x:c r="Q424" s="81"/>
      <x:c r="R424" s="81"/>
      <x:c r="S424" s="81"/>
      <x:c r="T424" s="81"/>
      <x:c r="U424" s="81"/>
      <x:c r="V424" s="81"/>
      <x:c r="W424" s="81"/>
      <x:c r="X424" s="81"/>
      <x:c r="Y424" s="81"/>
      <x:c r="Z424" s="81"/>
    </x:row>
    <x:row r="425">
      <x:c r="A425" s="81"/>
      <x:c r="B425" s="81"/>
      <x:c r="C425" s="81"/>
      <x:c r="D425" s="81"/>
      <x:c r="E425" s="81"/>
      <x:c r="F425" s="81"/>
      <x:c r="G425" s="81"/>
      <x:c r="H425" s="81"/>
      <x:c r="I425" s="81"/>
      <x:c r="J425" s="81"/>
      <x:c r="K425" s="81"/>
      <x:c r="L425" s="81"/>
      <x:c r="M425" s="81"/>
      <x:c r="N425" s="81"/>
      <x:c r="O425" s="81"/>
      <x:c r="P425" s="81"/>
      <x:c r="Q425" s="81"/>
      <x:c r="R425" s="81"/>
      <x:c r="S425" s="81"/>
      <x:c r="T425" s="81"/>
      <x:c r="U425" s="81"/>
      <x:c r="V425" s="81"/>
      <x:c r="W425" s="81"/>
      <x:c r="X425" s="81"/>
      <x:c r="Y425" s="81"/>
      <x:c r="Z425" s="81"/>
    </x:row>
    <x:row r="426">
      <x:c r="A426" s="81"/>
      <x:c r="B426" s="81"/>
      <x:c r="C426" s="81"/>
      <x:c r="D426" s="81"/>
      <x:c r="E426" s="81"/>
      <x:c r="F426" s="81"/>
      <x:c r="G426" s="81"/>
      <x:c r="H426" s="81"/>
      <x:c r="I426" s="81"/>
      <x:c r="J426" s="81"/>
      <x:c r="K426" s="81"/>
      <x:c r="L426" s="81"/>
      <x:c r="M426" s="81"/>
      <x:c r="N426" s="81"/>
      <x:c r="O426" s="81"/>
      <x:c r="P426" s="81"/>
      <x:c r="Q426" s="81"/>
      <x:c r="R426" s="81"/>
      <x:c r="S426" s="81"/>
      <x:c r="T426" s="81"/>
      <x:c r="U426" s="81"/>
      <x:c r="V426" s="81"/>
      <x:c r="W426" s="81"/>
      <x:c r="X426" s="81"/>
      <x:c r="Y426" s="81"/>
      <x:c r="Z426" s="81"/>
    </x:row>
    <x:row r="427">
      <x:c r="A427" s="81"/>
      <x:c r="B427" s="81"/>
      <x:c r="C427" s="81"/>
      <x:c r="D427" s="81"/>
      <x:c r="E427" s="81"/>
      <x:c r="F427" s="81"/>
      <x:c r="G427" s="81"/>
      <x:c r="H427" s="81"/>
      <x:c r="I427" s="81"/>
      <x:c r="J427" s="81"/>
      <x:c r="K427" s="81"/>
      <x:c r="L427" s="81"/>
      <x:c r="M427" s="81"/>
      <x:c r="N427" s="81"/>
      <x:c r="O427" s="81"/>
      <x:c r="P427" s="81"/>
      <x:c r="Q427" s="81"/>
      <x:c r="R427" s="81"/>
      <x:c r="S427" s="81"/>
      <x:c r="T427" s="81"/>
      <x:c r="U427" s="81"/>
      <x:c r="V427" s="81"/>
      <x:c r="W427" s="81"/>
      <x:c r="X427" s="81"/>
      <x:c r="Y427" s="81"/>
      <x:c r="Z427" s="81"/>
    </x:row>
    <x:row r="428">
      <x:c r="A428" s="81"/>
      <x:c r="B428" s="81"/>
      <x:c r="C428" s="81"/>
      <x:c r="D428" s="81"/>
      <x:c r="E428" s="81"/>
      <x:c r="F428" s="81"/>
      <x:c r="G428" s="81"/>
      <x:c r="H428" s="81"/>
      <x:c r="I428" s="81"/>
      <x:c r="J428" s="81"/>
      <x:c r="K428" s="81"/>
      <x:c r="L428" s="81"/>
      <x:c r="M428" s="81"/>
      <x:c r="N428" s="81"/>
      <x:c r="O428" s="81"/>
      <x:c r="P428" s="81"/>
      <x:c r="Q428" s="81"/>
      <x:c r="R428" s="81"/>
      <x:c r="S428" s="81"/>
      <x:c r="T428" s="81"/>
      <x:c r="U428" s="81"/>
      <x:c r="V428" s="81"/>
      <x:c r="W428" s="81"/>
      <x:c r="X428" s="81"/>
      <x:c r="Y428" s="81"/>
      <x:c r="Z428" s="81"/>
    </x:row>
    <x:row r="429">
      <x:c r="A429" s="81"/>
      <x:c r="B429" s="81"/>
      <x:c r="C429" s="81"/>
      <x:c r="D429" s="81"/>
      <x:c r="E429" s="81"/>
      <x:c r="F429" s="81"/>
      <x:c r="G429" s="81"/>
      <x:c r="H429" s="81"/>
      <x:c r="I429" s="81"/>
      <x:c r="J429" s="81"/>
      <x:c r="K429" s="81"/>
      <x:c r="L429" s="81"/>
      <x:c r="M429" s="81"/>
      <x:c r="N429" s="81"/>
      <x:c r="O429" s="81"/>
      <x:c r="P429" s="81"/>
      <x:c r="Q429" s="81"/>
      <x:c r="R429" s="81"/>
      <x:c r="S429" s="81"/>
      <x:c r="T429" s="81"/>
      <x:c r="U429" s="81"/>
      <x:c r="V429" s="81"/>
      <x:c r="W429" s="81"/>
      <x:c r="X429" s="81"/>
      <x:c r="Y429" s="81"/>
      <x:c r="Z429" s="81"/>
    </x:row>
    <x:row r="430">
      <x:c r="A430" s="81"/>
      <x:c r="B430" s="81"/>
      <x:c r="C430" s="81"/>
      <x:c r="D430" s="81"/>
      <x:c r="E430" s="81"/>
      <x:c r="F430" s="81"/>
      <x:c r="G430" s="81"/>
      <x:c r="H430" s="81"/>
      <x:c r="I430" s="81"/>
      <x:c r="J430" s="81"/>
      <x:c r="K430" s="81"/>
      <x:c r="L430" s="81"/>
      <x:c r="M430" s="81"/>
      <x:c r="N430" s="81"/>
      <x:c r="O430" s="81"/>
      <x:c r="P430" s="81"/>
      <x:c r="Q430" s="81"/>
      <x:c r="R430" s="81"/>
      <x:c r="S430" s="81"/>
      <x:c r="T430" s="81"/>
      <x:c r="U430" s="81"/>
      <x:c r="V430" s="81"/>
      <x:c r="W430" s="81"/>
      <x:c r="X430" s="81"/>
      <x:c r="Y430" s="81"/>
      <x:c r="Z430" s="81"/>
    </x:row>
    <x:row r="431">
      <x:c r="A431" s="81"/>
      <x:c r="B431" s="81"/>
      <x:c r="C431" s="81"/>
      <x:c r="D431" s="81"/>
      <x:c r="E431" s="81"/>
      <x:c r="F431" s="81"/>
      <x:c r="G431" s="81"/>
      <x:c r="H431" s="81"/>
      <x:c r="I431" s="81"/>
      <x:c r="J431" s="81"/>
      <x:c r="K431" s="81"/>
      <x:c r="L431" s="81"/>
      <x:c r="M431" s="81"/>
      <x:c r="N431" s="81"/>
      <x:c r="O431" s="81"/>
      <x:c r="P431" s="81"/>
      <x:c r="Q431" s="81"/>
      <x:c r="R431" s="81"/>
      <x:c r="S431" s="81"/>
      <x:c r="T431" s="81"/>
      <x:c r="U431" s="81"/>
      <x:c r="V431" s="81"/>
      <x:c r="W431" s="81"/>
      <x:c r="X431" s="81"/>
      <x:c r="Y431" s="81"/>
      <x:c r="Z431" s="81"/>
    </x:row>
    <x:row r="432">
      <x:c r="A432" s="81"/>
      <x:c r="B432" s="81"/>
      <x:c r="C432" s="81"/>
      <x:c r="D432" s="81"/>
      <x:c r="E432" s="81"/>
      <x:c r="F432" s="81"/>
      <x:c r="G432" s="81"/>
      <x:c r="H432" s="81"/>
      <x:c r="I432" s="81"/>
      <x:c r="J432" s="81"/>
      <x:c r="K432" s="81"/>
      <x:c r="L432" s="81"/>
      <x:c r="M432" s="81"/>
      <x:c r="N432" s="81"/>
      <x:c r="O432" s="81"/>
      <x:c r="P432" s="81"/>
      <x:c r="Q432" s="81"/>
      <x:c r="R432" s="81"/>
      <x:c r="S432" s="81"/>
      <x:c r="T432" s="81"/>
      <x:c r="U432" s="81"/>
      <x:c r="V432" s="81"/>
      <x:c r="W432" s="81"/>
      <x:c r="X432" s="81"/>
      <x:c r="Y432" s="81"/>
      <x:c r="Z432" s="81"/>
    </x:row>
    <x:row r="433">
      <x:c r="A433" s="81"/>
      <x:c r="B433" s="81"/>
      <x:c r="C433" s="81"/>
      <x:c r="D433" s="81"/>
      <x:c r="E433" s="81"/>
      <x:c r="F433" s="81"/>
      <x:c r="G433" s="81"/>
      <x:c r="H433" s="81"/>
      <x:c r="I433" s="81"/>
      <x:c r="J433" s="81"/>
      <x:c r="K433" s="81"/>
      <x:c r="L433" s="81"/>
      <x:c r="M433" s="81"/>
      <x:c r="N433" s="81"/>
      <x:c r="O433" s="81"/>
      <x:c r="P433" s="81"/>
      <x:c r="Q433" s="81"/>
      <x:c r="R433" s="81"/>
      <x:c r="S433" s="81"/>
      <x:c r="T433" s="81"/>
      <x:c r="U433" s="81"/>
      <x:c r="V433" s="81"/>
      <x:c r="W433" s="81"/>
      <x:c r="X433" s="81"/>
      <x:c r="Y433" s="81"/>
      <x:c r="Z433" s="81"/>
    </x:row>
    <x:row r="434">
      <x:c r="A434" s="81"/>
      <x:c r="B434" s="81"/>
      <x:c r="C434" s="81"/>
      <x:c r="D434" s="81"/>
      <x:c r="E434" s="81"/>
      <x:c r="F434" s="81"/>
      <x:c r="G434" s="81"/>
      <x:c r="H434" s="81"/>
      <x:c r="I434" s="81"/>
      <x:c r="J434" s="81"/>
      <x:c r="K434" s="81"/>
      <x:c r="L434" s="81"/>
      <x:c r="M434" s="81"/>
      <x:c r="N434" s="81"/>
      <x:c r="O434" s="81"/>
      <x:c r="P434" s="81"/>
      <x:c r="Q434" s="81"/>
      <x:c r="R434" s="81"/>
      <x:c r="S434" s="81"/>
      <x:c r="T434" s="81"/>
      <x:c r="U434" s="81"/>
      <x:c r="V434" s="81"/>
      <x:c r="W434" s="81"/>
      <x:c r="X434" s="81"/>
      <x:c r="Y434" s="81"/>
      <x:c r="Z434" s="81"/>
    </x:row>
    <x:row r="435">
      <x:c r="A435" s="81"/>
      <x:c r="B435" s="81"/>
      <x:c r="C435" s="81"/>
      <x:c r="D435" s="81"/>
      <x:c r="E435" s="81"/>
      <x:c r="F435" s="81"/>
      <x:c r="G435" s="81"/>
      <x:c r="H435" s="81"/>
      <x:c r="I435" s="81"/>
      <x:c r="J435" s="81"/>
      <x:c r="K435" s="81"/>
      <x:c r="L435" s="81"/>
      <x:c r="M435" s="81"/>
      <x:c r="N435" s="81"/>
      <x:c r="O435" s="81"/>
      <x:c r="P435" s="81"/>
      <x:c r="Q435" s="81"/>
      <x:c r="R435" s="81"/>
      <x:c r="S435" s="81"/>
      <x:c r="T435" s="81"/>
      <x:c r="U435" s="81"/>
      <x:c r="V435" s="81"/>
      <x:c r="W435" s="81"/>
      <x:c r="X435" s="81"/>
      <x:c r="Y435" s="81"/>
      <x:c r="Z435" s="81"/>
    </x:row>
    <x:row r="436">
      <x:c r="A436" s="81"/>
      <x:c r="B436" s="81"/>
      <x:c r="C436" s="81"/>
      <x:c r="D436" s="81"/>
      <x:c r="E436" s="81"/>
      <x:c r="F436" s="81"/>
      <x:c r="G436" s="81"/>
      <x:c r="H436" s="81"/>
      <x:c r="I436" s="81"/>
      <x:c r="J436" s="81"/>
      <x:c r="K436" s="81"/>
      <x:c r="L436" s="81"/>
      <x:c r="M436" s="81"/>
      <x:c r="N436" s="81"/>
      <x:c r="O436" s="81"/>
      <x:c r="P436" s="81"/>
      <x:c r="Q436" s="81"/>
      <x:c r="R436" s="81"/>
      <x:c r="S436" s="81"/>
      <x:c r="T436" s="81"/>
      <x:c r="U436" s="81"/>
      <x:c r="V436" s="81"/>
      <x:c r="W436" s="81"/>
      <x:c r="X436" s="81"/>
      <x:c r="Y436" s="81"/>
      <x:c r="Z436" s="81"/>
    </x:row>
    <x:row r="437">
      <x:c r="A437" s="81"/>
      <x:c r="B437" s="81"/>
      <x:c r="C437" s="81"/>
      <x:c r="D437" s="81"/>
      <x:c r="E437" s="81"/>
      <x:c r="F437" s="81"/>
      <x:c r="G437" s="81"/>
      <x:c r="H437" s="81"/>
      <x:c r="I437" s="81"/>
      <x:c r="J437" s="81"/>
      <x:c r="K437" s="81"/>
      <x:c r="L437" s="81"/>
      <x:c r="M437" s="81"/>
      <x:c r="N437" s="81"/>
      <x:c r="O437" s="81"/>
      <x:c r="P437" s="81"/>
      <x:c r="Q437" s="81"/>
      <x:c r="R437" s="81"/>
      <x:c r="S437" s="81"/>
      <x:c r="T437" s="81"/>
      <x:c r="U437" s="81"/>
      <x:c r="V437" s="81"/>
      <x:c r="W437" s="81"/>
      <x:c r="X437" s="81"/>
      <x:c r="Y437" s="81"/>
      <x:c r="Z437" s="81"/>
    </x:row>
    <x:row r="438">
      <x:c r="A438" s="81"/>
      <x:c r="B438" s="81"/>
      <x:c r="C438" s="81"/>
      <x:c r="D438" s="81"/>
      <x:c r="E438" s="81"/>
      <x:c r="F438" s="81"/>
      <x:c r="G438" s="81"/>
      <x:c r="H438" s="81"/>
      <x:c r="I438" s="81"/>
      <x:c r="J438" s="81"/>
      <x:c r="K438" s="81"/>
      <x:c r="L438" s="81"/>
      <x:c r="M438" s="81"/>
      <x:c r="N438" s="81"/>
      <x:c r="O438" s="81"/>
      <x:c r="P438" s="81"/>
      <x:c r="Q438" s="81"/>
      <x:c r="R438" s="81"/>
      <x:c r="S438" s="81"/>
      <x:c r="T438" s="81"/>
      <x:c r="U438" s="81"/>
      <x:c r="V438" s="81"/>
      <x:c r="W438" s="81"/>
      <x:c r="X438" s="81"/>
      <x:c r="Y438" s="81"/>
      <x:c r="Z438" s="81"/>
    </x:row>
    <x:row r="439">
      <x:c r="A439" s="81"/>
      <x:c r="B439" s="81"/>
      <x:c r="C439" s="81"/>
      <x:c r="D439" s="81"/>
      <x:c r="E439" s="81"/>
      <x:c r="F439" s="81"/>
      <x:c r="G439" s="81"/>
      <x:c r="H439" s="81"/>
      <x:c r="I439" s="81"/>
      <x:c r="J439" s="81"/>
      <x:c r="K439" s="81"/>
      <x:c r="L439" s="81"/>
      <x:c r="M439" s="81"/>
      <x:c r="N439" s="81"/>
      <x:c r="O439" s="81"/>
      <x:c r="P439" s="81"/>
      <x:c r="Q439" s="81"/>
      <x:c r="R439" s="81"/>
      <x:c r="S439" s="81"/>
      <x:c r="T439" s="81"/>
      <x:c r="U439" s="81"/>
      <x:c r="V439" s="81"/>
      <x:c r="W439" s="81"/>
      <x:c r="X439" s="81"/>
      <x:c r="Y439" s="81"/>
      <x:c r="Z439" s="81"/>
    </x:row>
    <x:row r="440">
      <x:c r="A440" s="81"/>
      <x:c r="B440" s="81"/>
      <x:c r="C440" s="81"/>
      <x:c r="D440" s="81"/>
      <x:c r="E440" s="81"/>
      <x:c r="F440" s="81"/>
      <x:c r="G440" s="81"/>
      <x:c r="H440" s="81"/>
      <x:c r="I440" s="81"/>
      <x:c r="J440" s="81"/>
      <x:c r="K440" s="81"/>
      <x:c r="L440" s="81"/>
      <x:c r="M440" s="81"/>
      <x:c r="N440" s="81"/>
      <x:c r="O440" s="81"/>
      <x:c r="P440" s="81"/>
      <x:c r="Q440" s="81"/>
      <x:c r="R440" s="81"/>
      <x:c r="S440" s="81"/>
      <x:c r="T440" s="81"/>
      <x:c r="U440" s="81"/>
      <x:c r="V440" s="81"/>
      <x:c r="W440" s="81"/>
      <x:c r="X440" s="81"/>
      <x:c r="Y440" s="81"/>
      <x:c r="Z440" s="81"/>
    </x:row>
    <x:row r="441">
      <x:c r="A441" s="81"/>
      <x:c r="B441" s="81"/>
      <x:c r="C441" s="81"/>
      <x:c r="D441" s="81"/>
      <x:c r="E441" s="81"/>
      <x:c r="F441" s="81"/>
      <x:c r="G441" s="81"/>
      <x:c r="H441" s="81"/>
      <x:c r="I441" s="81"/>
      <x:c r="J441" s="81"/>
      <x:c r="K441" s="81"/>
      <x:c r="L441" s="81"/>
      <x:c r="M441" s="81"/>
      <x:c r="N441" s="81"/>
      <x:c r="O441" s="81"/>
      <x:c r="P441" s="81"/>
      <x:c r="Q441" s="81"/>
      <x:c r="R441" s="81"/>
      <x:c r="S441" s="81"/>
      <x:c r="T441" s="81"/>
      <x:c r="U441" s="81"/>
      <x:c r="V441" s="81"/>
      <x:c r="W441" s="81"/>
      <x:c r="X441" s="81"/>
      <x:c r="Y441" s="81"/>
      <x:c r="Z441" s="81"/>
    </x:row>
    <x:row r="442">
      <x:c r="A442" s="81"/>
      <x:c r="B442" s="81"/>
      <x:c r="C442" s="81"/>
      <x:c r="D442" s="81"/>
      <x:c r="E442" s="81"/>
      <x:c r="F442" s="81"/>
      <x:c r="G442" s="81"/>
      <x:c r="H442" s="81"/>
      <x:c r="I442" s="81"/>
      <x:c r="J442" s="81"/>
      <x:c r="K442" s="81"/>
      <x:c r="L442" s="81"/>
      <x:c r="M442" s="81"/>
      <x:c r="N442" s="81"/>
      <x:c r="O442" s="81"/>
      <x:c r="P442" s="81"/>
      <x:c r="Q442" s="81"/>
      <x:c r="R442" s="81"/>
      <x:c r="S442" s="81"/>
      <x:c r="T442" s="81"/>
      <x:c r="U442" s="81"/>
      <x:c r="V442" s="81"/>
      <x:c r="W442" s="81"/>
      <x:c r="X442" s="81"/>
      <x:c r="Y442" s="81"/>
      <x:c r="Z442" s="81"/>
    </x:row>
    <x:row r="443">
      <x:c r="A443" s="81"/>
      <x:c r="B443" s="81"/>
      <x:c r="C443" s="81"/>
      <x:c r="D443" s="81"/>
      <x:c r="E443" s="81"/>
      <x:c r="F443" s="81"/>
      <x:c r="G443" s="81"/>
      <x:c r="H443" s="81"/>
      <x:c r="I443" s="81"/>
      <x:c r="J443" s="81"/>
      <x:c r="K443" s="81"/>
      <x:c r="L443" s="81"/>
      <x:c r="M443" s="81"/>
      <x:c r="N443" s="81"/>
      <x:c r="O443" s="81"/>
      <x:c r="P443" s="81"/>
      <x:c r="Q443" s="81"/>
      <x:c r="R443" s="81"/>
      <x:c r="S443" s="81"/>
      <x:c r="T443" s="81"/>
      <x:c r="U443" s="81"/>
      <x:c r="V443" s="81"/>
      <x:c r="W443" s="81"/>
      <x:c r="X443" s="81"/>
      <x:c r="Y443" s="81"/>
      <x:c r="Z443" s="81"/>
    </x:row>
    <x:row r="444">
      <x:c r="A444" s="81"/>
      <x:c r="B444" s="81"/>
      <x:c r="C444" s="81"/>
      <x:c r="D444" s="81"/>
      <x:c r="E444" s="81"/>
      <x:c r="F444" s="81"/>
      <x:c r="G444" s="81"/>
      <x:c r="H444" s="81"/>
      <x:c r="I444" s="81"/>
      <x:c r="J444" s="81"/>
      <x:c r="K444" s="81"/>
      <x:c r="L444" s="81"/>
      <x:c r="M444" s="81"/>
      <x:c r="N444" s="81"/>
      <x:c r="O444" s="81"/>
      <x:c r="P444" s="81"/>
      <x:c r="Q444" s="81"/>
      <x:c r="R444" s="81"/>
      <x:c r="S444" s="81"/>
      <x:c r="T444" s="81"/>
      <x:c r="U444" s="81"/>
      <x:c r="V444" s="81"/>
      <x:c r="W444" s="81"/>
      <x:c r="X444" s="81"/>
      <x:c r="Y444" s="81"/>
      <x:c r="Z444" s="81"/>
    </x:row>
    <x:row r="445">
      <x:c r="A445" s="81"/>
      <x:c r="B445" s="81"/>
      <x:c r="C445" s="81"/>
      <x:c r="D445" s="81"/>
      <x:c r="E445" s="81"/>
      <x:c r="F445" s="81"/>
      <x:c r="G445" s="81"/>
      <x:c r="H445" s="81"/>
      <x:c r="I445" s="81"/>
      <x:c r="J445" s="81"/>
      <x:c r="K445" s="81"/>
      <x:c r="L445" s="81"/>
      <x:c r="M445" s="81"/>
      <x:c r="N445" s="81"/>
      <x:c r="O445" s="81"/>
      <x:c r="P445" s="81"/>
      <x:c r="Q445" s="81"/>
      <x:c r="R445" s="81"/>
      <x:c r="S445" s="81"/>
      <x:c r="T445" s="81"/>
      <x:c r="U445" s="81"/>
      <x:c r="V445" s="81"/>
      <x:c r="W445" s="81"/>
      <x:c r="X445" s="81"/>
      <x:c r="Y445" s="81"/>
      <x:c r="Z445" s="81"/>
    </x:row>
    <x:row r="446">
      <x:c r="A446" s="81"/>
      <x:c r="B446" s="81"/>
      <x:c r="C446" s="81"/>
      <x:c r="D446" s="81"/>
      <x:c r="E446" s="81"/>
      <x:c r="F446" s="81"/>
      <x:c r="G446" s="81"/>
      <x:c r="H446" s="81"/>
      <x:c r="I446" s="81"/>
      <x:c r="J446" s="81"/>
      <x:c r="K446" s="81"/>
      <x:c r="L446" s="81"/>
      <x:c r="M446" s="81"/>
      <x:c r="N446" s="81"/>
      <x:c r="O446" s="81"/>
      <x:c r="P446" s="81"/>
      <x:c r="Q446" s="81"/>
      <x:c r="R446" s="81"/>
      <x:c r="S446" s="81"/>
      <x:c r="T446" s="81"/>
      <x:c r="U446" s="81"/>
      <x:c r="V446" s="81"/>
      <x:c r="W446" s="81"/>
      <x:c r="X446" s="81"/>
      <x:c r="Y446" s="81"/>
      <x:c r="Z446" s="81"/>
    </x:row>
    <x:row r="447">
      <x:c r="A447" s="81"/>
      <x:c r="B447" s="81"/>
      <x:c r="C447" s="81"/>
      <x:c r="D447" s="81"/>
      <x:c r="E447" s="81"/>
      <x:c r="F447" s="81"/>
      <x:c r="G447" s="81"/>
      <x:c r="H447" s="81"/>
      <x:c r="I447" s="81"/>
      <x:c r="J447" s="81"/>
      <x:c r="K447" s="81"/>
      <x:c r="L447" s="81"/>
      <x:c r="M447" s="81"/>
      <x:c r="N447" s="81"/>
      <x:c r="O447" s="81"/>
      <x:c r="P447" s="81"/>
      <x:c r="Q447" s="81"/>
      <x:c r="R447" s="81"/>
      <x:c r="S447" s="81"/>
      <x:c r="T447" s="81"/>
      <x:c r="U447" s="81"/>
      <x:c r="V447" s="81"/>
      <x:c r="W447" s="81"/>
      <x:c r="X447" s="81"/>
      <x:c r="Y447" s="81"/>
      <x:c r="Z447" s="81"/>
    </x:row>
    <x:row r="448">
      <x:c r="A448" s="81"/>
      <x:c r="B448" s="81"/>
      <x:c r="C448" s="81"/>
      <x:c r="D448" s="81"/>
      <x:c r="E448" s="81"/>
      <x:c r="F448" s="81"/>
      <x:c r="G448" s="81"/>
      <x:c r="H448" s="81"/>
      <x:c r="I448" s="81"/>
      <x:c r="J448" s="81"/>
      <x:c r="K448" s="81"/>
      <x:c r="L448" s="81"/>
      <x:c r="M448" s="81"/>
      <x:c r="N448" s="81"/>
      <x:c r="O448" s="81"/>
      <x:c r="P448" s="81"/>
      <x:c r="Q448" s="81"/>
      <x:c r="R448" s="81"/>
      <x:c r="S448" s="81"/>
      <x:c r="T448" s="81"/>
      <x:c r="U448" s="81"/>
      <x:c r="V448" s="81"/>
      <x:c r="W448" s="81"/>
      <x:c r="X448" s="81"/>
      <x:c r="Y448" s="81"/>
      <x:c r="Z448" s="81"/>
    </x:row>
    <x:row r="449">
      <x:c r="A449" s="81"/>
      <x:c r="B449" s="81"/>
      <x:c r="C449" s="81"/>
      <x:c r="D449" s="81"/>
      <x:c r="E449" s="81"/>
      <x:c r="F449" s="81"/>
      <x:c r="G449" s="81"/>
      <x:c r="H449" s="81"/>
      <x:c r="I449" s="81"/>
      <x:c r="J449" s="81"/>
      <x:c r="K449" s="81"/>
      <x:c r="L449" s="81"/>
      <x:c r="M449" s="81"/>
      <x:c r="N449" s="81"/>
      <x:c r="O449" s="81"/>
      <x:c r="P449" s="81"/>
      <x:c r="Q449" s="81"/>
      <x:c r="R449" s="81"/>
      <x:c r="S449" s="81"/>
      <x:c r="T449" s="81"/>
      <x:c r="U449" s="81"/>
      <x:c r="V449" s="81"/>
      <x:c r="W449" s="81"/>
      <x:c r="X449" s="81"/>
      <x:c r="Y449" s="81"/>
      <x:c r="Z449" s="81"/>
    </x:row>
    <x:row r="450">
      <x:c r="A450" s="81"/>
      <x:c r="B450" s="81"/>
      <x:c r="C450" s="81"/>
      <x:c r="D450" s="81"/>
      <x:c r="E450" s="81"/>
      <x:c r="F450" s="81"/>
      <x:c r="G450" s="81"/>
      <x:c r="H450" s="81"/>
      <x:c r="I450" s="81"/>
      <x:c r="J450" s="81"/>
      <x:c r="K450" s="81"/>
      <x:c r="L450" s="81"/>
      <x:c r="M450" s="81"/>
      <x:c r="N450" s="81"/>
      <x:c r="O450" s="81"/>
      <x:c r="P450" s="81"/>
      <x:c r="Q450" s="81"/>
      <x:c r="R450" s="81"/>
      <x:c r="S450" s="81"/>
      <x:c r="T450" s="81"/>
      <x:c r="U450" s="81"/>
      <x:c r="V450" s="81"/>
      <x:c r="W450" s="81"/>
      <x:c r="X450" s="81"/>
      <x:c r="Y450" s="81"/>
      <x:c r="Z450" s="81"/>
    </x:row>
    <x:row r="451">
      <x:c r="A451" s="81"/>
      <x:c r="B451" s="81"/>
      <x:c r="C451" s="81"/>
      <x:c r="D451" s="81"/>
      <x:c r="E451" s="81"/>
      <x:c r="F451" s="81"/>
      <x:c r="G451" s="81"/>
      <x:c r="H451" s="81"/>
      <x:c r="I451" s="81"/>
      <x:c r="J451" s="81"/>
      <x:c r="K451" s="81"/>
      <x:c r="L451" s="81"/>
      <x:c r="M451" s="81"/>
      <x:c r="N451" s="81"/>
      <x:c r="O451" s="81"/>
      <x:c r="P451" s="81"/>
      <x:c r="Q451" s="81"/>
      <x:c r="R451" s="81"/>
      <x:c r="S451" s="81"/>
      <x:c r="T451" s="81"/>
      <x:c r="U451" s="81"/>
      <x:c r="V451" s="81"/>
      <x:c r="W451" s="81"/>
      <x:c r="X451" s="81"/>
      <x:c r="Y451" s="81"/>
      <x:c r="Z451" s="81"/>
    </x:row>
    <x:row r="452">
      <x:c r="A452" s="81"/>
      <x:c r="B452" s="81"/>
      <x:c r="C452" s="81"/>
      <x:c r="D452" s="81"/>
      <x:c r="E452" s="81"/>
      <x:c r="F452" s="81"/>
      <x:c r="G452" s="81"/>
      <x:c r="H452" s="81"/>
      <x:c r="I452" s="81"/>
      <x:c r="J452" s="81"/>
      <x:c r="K452" s="81"/>
      <x:c r="L452" s="81"/>
      <x:c r="M452" s="81"/>
      <x:c r="N452" s="81"/>
      <x:c r="O452" s="81"/>
      <x:c r="P452" s="81"/>
      <x:c r="Q452" s="81"/>
      <x:c r="R452" s="81"/>
      <x:c r="S452" s="81"/>
      <x:c r="T452" s="81"/>
      <x:c r="U452" s="81"/>
      <x:c r="V452" s="81"/>
      <x:c r="W452" s="81"/>
      <x:c r="X452" s="81"/>
      <x:c r="Y452" s="81"/>
      <x:c r="Z452" s="81"/>
    </x:row>
    <x:row r="453">
      <x:c r="A453" s="81"/>
      <x:c r="B453" s="81"/>
      <x:c r="C453" s="81"/>
      <x:c r="D453" s="81"/>
      <x:c r="E453" s="81"/>
      <x:c r="F453" s="81"/>
      <x:c r="G453" s="81"/>
      <x:c r="H453" s="81"/>
      <x:c r="I453" s="81"/>
      <x:c r="J453" s="81"/>
      <x:c r="K453" s="81"/>
      <x:c r="L453" s="81"/>
      <x:c r="M453" s="81"/>
      <x:c r="N453" s="81"/>
      <x:c r="O453" s="81"/>
      <x:c r="P453" s="81"/>
      <x:c r="Q453" s="81"/>
      <x:c r="R453" s="81"/>
      <x:c r="S453" s="81"/>
      <x:c r="T453" s="81"/>
      <x:c r="U453" s="81"/>
      <x:c r="V453" s="81"/>
      <x:c r="W453" s="81"/>
      <x:c r="X453" s="81"/>
      <x:c r="Y453" s="81"/>
      <x:c r="Z453" s="81"/>
    </x:row>
    <x:row r="454">
      <x:c r="A454" s="81"/>
      <x:c r="B454" s="81"/>
      <x:c r="C454" s="81"/>
      <x:c r="D454" s="81"/>
      <x:c r="E454" s="81"/>
      <x:c r="F454" s="81"/>
      <x:c r="G454" s="81"/>
      <x:c r="H454" s="81"/>
      <x:c r="I454" s="81"/>
      <x:c r="J454" s="81"/>
      <x:c r="K454" s="81"/>
      <x:c r="L454" s="81"/>
      <x:c r="M454" s="81"/>
      <x:c r="N454" s="81"/>
      <x:c r="O454" s="81"/>
      <x:c r="P454" s="81"/>
      <x:c r="Q454" s="81"/>
      <x:c r="R454" s="81"/>
      <x:c r="S454" s="81"/>
      <x:c r="T454" s="81"/>
      <x:c r="U454" s="81"/>
      <x:c r="V454" s="81"/>
      <x:c r="W454" s="81"/>
      <x:c r="X454" s="81"/>
      <x:c r="Y454" s="81"/>
      <x:c r="Z454" s="81"/>
    </x:row>
    <x:row r="455">
      <x:c r="A455" s="81"/>
      <x:c r="B455" s="81"/>
      <x:c r="C455" s="81"/>
      <x:c r="D455" s="81"/>
      <x:c r="E455" s="81"/>
      <x:c r="F455" s="81"/>
      <x:c r="G455" s="81"/>
      <x:c r="H455" s="81"/>
      <x:c r="I455" s="81"/>
      <x:c r="J455" s="81"/>
      <x:c r="K455" s="81"/>
      <x:c r="L455" s="81"/>
      <x:c r="M455" s="81"/>
      <x:c r="N455" s="81"/>
      <x:c r="O455" s="81"/>
      <x:c r="P455" s="81"/>
      <x:c r="Q455" s="81"/>
      <x:c r="R455" s="81"/>
      <x:c r="S455" s="81"/>
      <x:c r="T455" s="81"/>
      <x:c r="U455" s="81"/>
      <x:c r="V455" s="81"/>
      <x:c r="W455" s="81"/>
      <x:c r="X455" s="81"/>
      <x:c r="Y455" s="81"/>
      <x:c r="Z455" s="81"/>
    </x:row>
    <x:row r="456">
      <x:c r="A456" s="81"/>
      <x:c r="B456" s="81"/>
      <x:c r="C456" s="81"/>
      <x:c r="D456" s="81"/>
      <x:c r="E456" s="81"/>
      <x:c r="F456" s="81"/>
      <x:c r="G456" s="81"/>
      <x:c r="H456" s="81"/>
      <x:c r="I456" s="81"/>
      <x:c r="J456" s="81"/>
      <x:c r="K456" s="81"/>
      <x:c r="L456" s="81"/>
      <x:c r="M456" s="81"/>
      <x:c r="N456" s="81"/>
      <x:c r="O456" s="81"/>
      <x:c r="P456" s="81"/>
      <x:c r="Q456" s="81"/>
      <x:c r="R456" s="81"/>
      <x:c r="S456" s="81"/>
      <x:c r="T456" s="81"/>
      <x:c r="U456" s="81"/>
      <x:c r="V456" s="81"/>
      <x:c r="W456" s="81"/>
      <x:c r="X456" s="81"/>
      <x:c r="Y456" s="81"/>
      <x:c r="Z456" s="81"/>
    </x:row>
    <x:row r="457">
      <x:c r="A457" s="81"/>
      <x:c r="B457" s="81"/>
      <x:c r="C457" s="81"/>
      <x:c r="D457" s="81"/>
      <x:c r="E457" s="81"/>
      <x:c r="F457" s="81"/>
      <x:c r="G457" s="81"/>
      <x:c r="H457" s="81"/>
      <x:c r="I457" s="81"/>
      <x:c r="J457" s="81"/>
      <x:c r="K457" s="81"/>
      <x:c r="L457" s="81"/>
      <x:c r="M457" s="81"/>
      <x:c r="N457" s="81"/>
      <x:c r="O457" s="81"/>
      <x:c r="P457" s="81"/>
      <x:c r="Q457" s="81"/>
      <x:c r="R457" s="81"/>
      <x:c r="S457" s="81"/>
      <x:c r="T457" s="81"/>
      <x:c r="U457" s="81"/>
      <x:c r="V457" s="81"/>
      <x:c r="W457" s="81"/>
      <x:c r="X457" s="81"/>
      <x:c r="Y457" s="81"/>
      <x:c r="Z457" s="81"/>
    </x:row>
    <x:row r="458">
      <x:c r="A458" s="81"/>
      <x:c r="B458" s="81"/>
      <x:c r="C458" s="81"/>
      <x:c r="D458" s="81"/>
      <x:c r="E458" s="81"/>
      <x:c r="F458" s="81"/>
      <x:c r="G458" s="81"/>
      <x:c r="H458" s="81"/>
      <x:c r="I458" s="81"/>
      <x:c r="J458" s="81"/>
      <x:c r="K458" s="81"/>
      <x:c r="L458" s="81"/>
      <x:c r="M458" s="81"/>
      <x:c r="N458" s="81"/>
      <x:c r="O458" s="81"/>
      <x:c r="P458" s="81"/>
      <x:c r="Q458" s="81"/>
      <x:c r="R458" s="81"/>
      <x:c r="S458" s="81"/>
      <x:c r="T458" s="81"/>
      <x:c r="U458" s="81"/>
      <x:c r="V458" s="81"/>
      <x:c r="W458" s="81"/>
      <x:c r="X458" s="81"/>
      <x:c r="Y458" s="81"/>
      <x:c r="Z458" s="81"/>
    </x:row>
    <x:row r="459">
      <x:c r="A459" s="81"/>
      <x:c r="B459" s="81"/>
      <x:c r="C459" s="81"/>
      <x:c r="D459" s="81"/>
      <x:c r="E459" s="81"/>
      <x:c r="F459" s="81"/>
      <x:c r="G459" s="81"/>
      <x:c r="H459" s="81"/>
      <x:c r="I459" s="81"/>
      <x:c r="J459" s="81"/>
      <x:c r="K459" s="81"/>
      <x:c r="L459" s="81"/>
      <x:c r="M459" s="81"/>
      <x:c r="N459" s="81"/>
      <x:c r="O459" s="81"/>
      <x:c r="P459" s="81"/>
      <x:c r="Q459" s="81"/>
      <x:c r="R459" s="81"/>
      <x:c r="S459" s="81"/>
      <x:c r="T459" s="81"/>
      <x:c r="U459" s="81"/>
      <x:c r="V459" s="81"/>
      <x:c r="W459" s="81"/>
      <x:c r="X459" s="81"/>
      <x:c r="Y459" s="81"/>
      <x:c r="Z459" s="81"/>
    </x:row>
    <x:row r="460">
      <x:c r="A460" s="81"/>
      <x:c r="B460" s="81"/>
      <x:c r="C460" s="81"/>
      <x:c r="D460" s="81"/>
      <x:c r="E460" s="81"/>
      <x:c r="F460" s="81"/>
      <x:c r="G460" s="81"/>
      <x:c r="H460" s="81"/>
      <x:c r="I460" s="81"/>
      <x:c r="J460" s="81"/>
      <x:c r="K460" s="81"/>
      <x:c r="L460" s="81"/>
      <x:c r="M460" s="81"/>
      <x:c r="N460" s="81"/>
      <x:c r="O460" s="81"/>
      <x:c r="P460" s="81"/>
      <x:c r="Q460" s="81"/>
      <x:c r="R460" s="81"/>
      <x:c r="S460" s="81"/>
      <x:c r="T460" s="81"/>
      <x:c r="U460" s="81"/>
      <x:c r="V460" s="81"/>
      <x:c r="W460" s="81"/>
      <x:c r="X460" s="81"/>
      <x:c r="Y460" s="81"/>
      <x:c r="Z460" s="81"/>
    </x:row>
    <x:row r="461">
      <x:c r="A461" s="81"/>
      <x:c r="B461" s="81"/>
      <x:c r="C461" s="81"/>
      <x:c r="D461" s="81"/>
      <x:c r="E461" s="81"/>
      <x:c r="F461" s="81"/>
      <x:c r="G461" s="81"/>
      <x:c r="H461" s="81"/>
      <x:c r="I461" s="81"/>
      <x:c r="J461" s="81"/>
      <x:c r="K461" s="81"/>
      <x:c r="L461" s="81"/>
      <x:c r="M461" s="81"/>
      <x:c r="N461" s="81"/>
      <x:c r="O461" s="81"/>
      <x:c r="P461" s="81"/>
      <x:c r="Q461" s="81"/>
      <x:c r="R461" s="81"/>
      <x:c r="S461" s="81"/>
      <x:c r="T461" s="81"/>
      <x:c r="U461" s="81"/>
      <x:c r="V461" s="81"/>
      <x:c r="W461" s="81"/>
      <x:c r="X461" s="81"/>
      <x:c r="Y461" s="81"/>
      <x:c r="Z461" s="81"/>
    </x:row>
    <x:row r="462">
      <x:c r="A462" s="81"/>
      <x:c r="B462" s="81"/>
      <x:c r="C462" s="81"/>
      <x:c r="D462" s="81"/>
      <x:c r="E462" s="81"/>
      <x:c r="F462" s="81"/>
      <x:c r="G462" s="81"/>
      <x:c r="H462" s="81"/>
      <x:c r="I462" s="81"/>
      <x:c r="J462" s="81"/>
      <x:c r="K462" s="81"/>
      <x:c r="L462" s="81"/>
      <x:c r="M462" s="81"/>
      <x:c r="N462" s="81"/>
      <x:c r="O462" s="81"/>
      <x:c r="P462" s="81"/>
      <x:c r="Q462" s="81"/>
      <x:c r="R462" s="81"/>
      <x:c r="S462" s="81"/>
      <x:c r="T462" s="81"/>
      <x:c r="U462" s="81"/>
      <x:c r="V462" s="81"/>
      <x:c r="W462" s="81"/>
      <x:c r="X462" s="81"/>
      <x:c r="Y462" s="81"/>
      <x:c r="Z462" s="81"/>
    </x:row>
    <x:row r="463">
      <x:c r="A463" s="81"/>
      <x:c r="B463" s="81"/>
      <x:c r="C463" s="81"/>
      <x:c r="D463" s="81"/>
      <x:c r="E463" s="81"/>
      <x:c r="F463" s="81"/>
      <x:c r="G463" s="81"/>
      <x:c r="H463" s="81"/>
      <x:c r="I463" s="81"/>
      <x:c r="J463" s="81"/>
      <x:c r="K463" s="81"/>
      <x:c r="L463" s="81"/>
      <x:c r="M463" s="81"/>
      <x:c r="N463" s="81"/>
      <x:c r="O463" s="81"/>
      <x:c r="P463" s="81"/>
      <x:c r="Q463" s="81"/>
      <x:c r="R463" s="81"/>
      <x:c r="S463" s="81"/>
      <x:c r="T463" s="81"/>
      <x:c r="U463" s="81"/>
      <x:c r="V463" s="81"/>
      <x:c r="W463" s="81"/>
      <x:c r="X463" s="81"/>
      <x:c r="Y463" s="81"/>
      <x:c r="Z463" s="81"/>
    </x:row>
    <x:row r="464">
      <x:c r="A464" s="81"/>
      <x:c r="B464" s="81"/>
      <x:c r="C464" s="81"/>
      <x:c r="D464" s="81"/>
      <x:c r="E464" s="81"/>
      <x:c r="F464" s="81"/>
      <x:c r="G464" s="81"/>
      <x:c r="H464" s="81"/>
      <x:c r="I464" s="81"/>
      <x:c r="J464" s="81"/>
      <x:c r="K464" s="81"/>
      <x:c r="L464" s="81"/>
      <x:c r="M464" s="81"/>
      <x:c r="N464" s="81"/>
      <x:c r="O464" s="81"/>
      <x:c r="P464" s="81"/>
      <x:c r="Q464" s="81"/>
      <x:c r="R464" s="81"/>
      <x:c r="S464" s="81"/>
      <x:c r="T464" s="81"/>
      <x:c r="U464" s="81"/>
      <x:c r="V464" s="81"/>
      <x:c r="W464" s="81"/>
      <x:c r="X464" s="81"/>
      <x:c r="Y464" s="81"/>
      <x:c r="Z464" s="81"/>
    </x:row>
    <x:row r="465">
      <x:c r="A465" s="81"/>
      <x:c r="B465" s="81"/>
      <x:c r="C465" s="81"/>
      <x:c r="D465" s="81"/>
      <x:c r="E465" s="81"/>
      <x:c r="F465" s="81"/>
      <x:c r="G465" s="81"/>
      <x:c r="H465" s="81"/>
      <x:c r="I465" s="81"/>
      <x:c r="J465" s="81"/>
      <x:c r="K465" s="81"/>
      <x:c r="L465" s="81"/>
      <x:c r="M465" s="81"/>
      <x:c r="N465" s="81"/>
      <x:c r="O465" s="81"/>
      <x:c r="P465" s="81"/>
      <x:c r="Q465" s="81"/>
      <x:c r="R465" s="81"/>
      <x:c r="S465" s="81"/>
      <x:c r="T465" s="81"/>
      <x:c r="U465" s="81"/>
      <x:c r="V465" s="81"/>
      <x:c r="W465" s="81"/>
      <x:c r="X465" s="81"/>
      <x:c r="Y465" s="81"/>
      <x:c r="Z465" s="81"/>
    </x:row>
    <x:row r="466">
      <x:c r="A466" s="81"/>
      <x:c r="B466" s="81"/>
      <x:c r="C466" s="81"/>
      <x:c r="D466" s="81"/>
      <x:c r="E466" s="81"/>
      <x:c r="F466" s="81"/>
      <x:c r="G466" s="81"/>
      <x:c r="H466" s="81"/>
      <x:c r="I466" s="81"/>
      <x:c r="J466" s="81"/>
      <x:c r="K466" s="81"/>
      <x:c r="L466" s="81"/>
      <x:c r="M466" s="81"/>
      <x:c r="N466" s="81"/>
      <x:c r="O466" s="81"/>
      <x:c r="P466" s="81"/>
      <x:c r="Q466" s="81"/>
      <x:c r="R466" s="81"/>
      <x:c r="S466" s="81"/>
      <x:c r="T466" s="81"/>
      <x:c r="U466" s="81"/>
      <x:c r="V466" s="81"/>
      <x:c r="W466" s="81"/>
      <x:c r="X466" s="81"/>
      <x:c r="Y466" s="81"/>
      <x:c r="Z466" s="81"/>
    </x:row>
    <x:row r="467">
      <x:c r="A467" s="81"/>
      <x:c r="B467" s="81"/>
      <x:c r="C467" s="81"/>
      <x:c r="D467" s="81"/>
      <x:c r="E467" s="81"/>
      <x:c r="F467" s="81"/>
      <x:c r="G467" s="81"/>
      <x:c r="H467" s="81"/>
      <x:c r="I467" s="81"/>
      <x:c r="J467" s="81"/>
      <x:c r="K467" s="81"/>
      <x:c r="L467" s="81"/>
      <x:c r="M467" s="81"/>
      <x:c r="N467" s="81"/>
      <x:c r="O467" s="81"/>
      <x:c r="P467" s="81"/>
      <x:c r="Q467" s="81"/>
      <x:c r="R467" s="81"/>
      <x:c r="S467" s="81"/>
      <x:c r="T467" s="81"/>
      <x:c r="U467" s="81"/>
      <x:c r="V467" s="81"/>
      <x:c r="W467" s="81"/>
      <x:c r="X467" s="81"/>
      <x:c r="Y467" s="81"/>
      <x:c r="Z467" s="81"/>
    </x:row>
    <x:row r="468">
      <x:c r="A468" s="81"/>
      <x:c r="B468" s="81"/>
      <x:c r="C468" s="81"/>
      <x:c r="D468" s="81"/>
      <x:c r="E468" s="81"/>
      <x:c r="F468" s="81"/>
      <x:c r="G468" s="81"/>
      <x:c r="H468" s="81"/>
      <x:c r="I468" s="81"/>
      <x:c r="J468" s="81"/>
      <x:c r="K468" s="81"/>
      <x:c r="L468" s="81"/>
      <x:c r="M468" s="81"/>
      <x:c r="N468" s="81"/>
      <x:c r="O468" s="81"/>
      <x:c r="P468" s="81"/>
      <x:c r="Q468" s="81"/>
      <x:c r="R468" s="81"/>
      <x:c r="S468" s="81"/>
      <x:c r="T468" s="81"/>
      <x:c r="U468" s="81"/>
      <x:c r="V468" s="81"/>
      <x:c r="W468" s="81"/>
      <x:c r="X468" s="81"/>
      <x:c r="Y468" s="81"/>
      <x:c r="Z468" s="81"/>
    </x:row>
    <x:row r="469">
      <x:c r="A469" s="81"/>
      <x:c r="B469" s="81"/>
      <x:c r="C469" s="81"/>
      <x:c r="D469" s="81"/>
      <x:c r="E469" s="81"/>
      <x:c r="F469" s="81"/>
      <x:c r="G469" s="81"/>
      <x:c r="H469" s="81"/>
      <x:c r="I469" s="81"/>
      <x:c r="J469" s="81"/>
      <x:c r="K469" s="81"/>
      <x:c r="L469" s="81"/>
      <x:c r="M469" s="81"/>
      <x:c r="N469" s="81"/>
      <x:c r="O469" s="81"/>
      <x:c r="P469" s="81"/>
      <x:c r="Q469" s="81"/>
      <x:c r="R469" s="81"/>
      <x:c r="S469" s="81"/>
      <x:c r="T469" s="81"/>
      <x:c r="U469" s="81"/>
      <x:c r="V469" s="81"/>
      <x:c r="W469" s="81"/>
      <x:c r="X469" s="81"/>
      <x:c r="Y469" s="81"/>
      <x:c r="Z469" s="81"/>
    </x:row>
    <x:row r="470">
      <x:c r="A470" s="81"/>
      <x:c r="B470" s="81"/>
      <x:c r="C470" s="81"/>
      <x:c r="D470" s="81"/>
      <x:c r="E470" s="81"/>
      <x:c r="F470" s="81"/>
      <x:c r="G470" s="81"/>
      <x:c r="H470" s="81"/>
      <x:c r="I470" s="81"/>
      <x:c r="J470" s="81"/>
      <x:c r="K470" s="81"/>
      <x:c r="L470" s="81"/>
      <x:c r="M470" s="81"/>
      <x:c r="N470" s="81"/>
      <x:c r="O470" s="81"/>
      <x:c r="P470" s="81"/>
      <x:c r="Q470" s="81"/>
      <x:c r="R470" s="81"/>
      <x:c r="S470" s="81"/>
      <x:c r="T470" s="81"/>
      <x:c r="U470" s="81"/>
      <x:c r="V470" s="81"/>
      <x:c r="W470" s="81"/>
      <x:c r="X470" s="81"/>
      <x:c r="Y470" s="81"/>
      <x:c r="Z470" s="81"/>
    </x:row>
    <x:row r="471">
      <x:c r="A471" s="81"/>
      <x:c r="B471" s="81"/>
      <x:c r="C471" s="81"/>
      <x:c r="D471" s="81"/>
      <x:c r="E471" s="81"/>
      <x:c r="F471" s="81"/>
      <x:c r="G471" s="81"/>
      <x:c r="H471" s="81"/>
      <x:c r="I471" s="81"/>
      <x:c r="J471" s="81"/>
      <x:c r="K471" s="81"/>
      <x:c r="L471" s="81"/>
      <x:c r="M471" s="81"/>
      <x:c r="N471" s="81"/>
      <x:c r="O471" s="81"/>
      <x:c r="P471" s="81"/>
      <x:c r="Q471" s="81"/>
      <x:c r="R471" s="81"/>
      <x:c r="S471" s="81"/>
      <x:c r="T471" s="81"/>
      <x:c r="U471" s="81"/>
      <x:c r="V471" s="81"/>
      <x:c r="W471" s="81"/>
      <x:c r="X471" s="81"/>
      <x:c r="Y471" s="81"/>
      <x:c r="Z471" s="81"/>
    </x:row>
    <x:row r="472">
      <x:c r="A472" s="81"/>
      <x:c r="B472" s="81"/>
      <x:c r="C472" s="81"/>
      <x:c r="D472" s="81"/>
      <x:c r="E472" s="81"/>
      <x:c r="F472" s="81"/>
      <x:c r="G472" s="81"/>
      <x:c r="H472" s="81"/>
      <x:c r="I472" s="81"/>
      <x:c r="J472" s="81"/>
      <x:c r="K472" s="81"/>
      <x:c r="L472" s="81"/>
      <x:c r="M472" s="81"/>
      <x:c r="N472" s="81"/>
      <x:c r="O472" s="81"/>
      <x:c r="P472" s="81"/>
      <x:c r="Q472" s="81"/>
      <x:c r="R472" s="81"/>
      <x:c r="S472" s="81"/>
      <x:c r="T472" s="81"/>
      <x:c r="U472" s="81"/>
      <x:c r="V472" s="81"/>
      <x:c r="W472" s="81"/>
      <x:c r="X472" s="81"/>
      <x:c r="Y472" s="81"/>
      <x:c r="Z472" s="81"/>
    </x:row>
    <x:row r="473">
      <x:c r="A473" s="81"/>
      <x:c r="B473" s="81"/>
      <x:c r="C473" s="81"/>
      <x:c r="D473" s="81"/>
      <x:c r="E473" s="81"/>
      <x:c r="F473" s="81"/>
      <x:c r="G473" s="81"/>
      <x:c r="H473" s="81"/>
      <x:c r="I473" s="81"/>
      <x:c r="J473" s="81"/>
      <x:c r="K473" s="81"/>
      <x:c r="L473" s="81"/>
      <x:c r="M473" s="81"/>
      <x:c r="N473" s="81"/>
      <x:c r="O473" s="81"/>
      <x:c r="P473" s="81"/>
      <x:c r="Q473" s="81"/>
      <x:c r="R473" s="81"/>
      <x:c r="S473" s="81"/>
      <x:c r="T473" s="81"/>
      <x:c r="U473" s="81"/>
      <x:c r="V473" s="81"/>
      <x:c r="W473" s="81"/>
      <x:c r="X473" s="81"/>
      <x:c r="Y473" s="81"/>
      <x:c r="Z473" s="81"/>
    </x:row>
    <x:row r="474">
      <x:c r="A474" s="81"/>
      <x:c r="B474" s="81"/>
      <x:c r="C474" s="81"/>
      <x:c r="D474" s="81"/>
      <x:c r="E474" s="81"/>
      <x:c r="F474" s="81"/>
      <x:c r="G474" s="81"/>
      <x:c r="H474" s="81"/>
      <x:c r="I474" s="81"/>
      <x:c r="J474" s="81"/>
      <x:c r="K474" s="81"/>
      <x:c r="L474" s="81"/>
      <x:c r="M474" s="81"/>
      <x:c r="N474" s="81"/>
      <x:c r="O474" s="81"/>
      <x:c r="P474" s="81"/>
      <x:c r="Q474" s="81"/>
      <x:c r="R474" s="81"/>
      <x:c r="S474" s="81"/>
      <x:c r="T474" s="81"/>
      <x:c r="U474" s="81"/>
      <x:c r="V474" s="81"/>
      <x:c r="W474" s="81"/>
      <x:c r="X474" s="81"/>
      <x:c r="Y474" s="81"/>
      <x:c r="Z474" s="81"/>
    </x:row>
    <x:row r="475">
      <x:c r="A475" s="81"/>
      <x:c r="B475" s="81"/>
      <x:c r="C475" s="81"/>
      <x:c r="D475" s="81"/>
      <x:c r="E475" s="81"/>
      <x:c r="F475" s="81"/>
      <x:c r="G475" s="81"/>
      <x:c r="H475" s="81"/>
      <x:c r="I475" s="81"/>
      <x:c r="J475" s="81"/>
      <x:c r="K475" s="81"/>
      <x:c r="L475" s="81"/>
      <x:c r="M475" s="81"/>
      <x:c r="N475" s="81"/>
      <x:c r="O475" s="81"/>
      <x:c r="P475" s="81"/>
      <x:c r="Q475" s="81"/>
      <x:c r="R475" s="81"/>
      <x:c r="S475" s="81"/>
      <x:c r="T475" s="81"/>
      <x:c r="U475" s="81"/>
      <x:c r="V475" s="81"/>
      <x:c r="W475" s="81"/>
      <x:c r="X475" s="81"/>
      <x:c r="Y475" s="81"/>
      <x:c r="Z475" s="81"/>
    </x:row>
    <x:row r="476">
      <x:c r="A476" s="81"/>
      <x:c r="B476" s="81"/>
      <x:c r="C476" s="81"/>
      <x:c r="D476" s="81"/>
      <x:c r="E476" s="81"/>
      <x:c r="F476" s="81"/>
      <x:c r="G476" s="81"/>
      <x:c r="H476" s="81"/>
      <x:c r="I476" s="81"/>
      <x:c r="J476" s="81"/>
      <x:c r="K476" s="81"/>
      <x:c r="L476" s="81"/>
      <x:c r="M476" s="81"/>
      <x:c r="N476" s="81"/>
      <x:c r="O476" s="81"/>
      <x:c r="P476" s="81"/>
      <x:c r="Q476" s="81"/>
      <x:c r="R476" s="81"/>
      <x:c r="S476" s="81"/>
      <x:c r="T476" s="81"/>
      <x:c r="U476" s="81"/>
      <x:c r="V476" s="81"/>
      <x:c r="W476" s="81"/>
      <x:c r="X476" s="81"/>
      <x:c r="Y476" s="81"/>
      <x:c r="Z476" s="81"/>
    </x:row>
    <x:row r="477">
      <x:c r="A477" s="81"/>
      <x:c r="B477" s="81"/>
      <x:c r="C477" s="81"/>
      <x:c r="D477" s="81"/>
      <x:c r="E477" s="81"/>
      <x:c r="F477" s="81"/>
      <x:c r="G477" s="81"/>
      <x:c r="H477" s="81"/>
      <x:c r="I477" s="81"/>
      <x:c r="J477" s="81"/>
      <x:c r="K477" s="81"/>
      <x:c r="L477" s="81"/>
      <x:c r="M477" s="81"/>
      <x:c r="N477" s="81"/>
      <x:c r="O477" s="81"/>
      <x:c r="P477" s="81"/>
      <x:c r="Q477" s="81"/>
      <x:c r="R477" s="81"/>
      <x:c r="S477" s="81"/>
      <x:c r="T477" s="81"/>
      <x:c r="U477" s="81"/>
      <x:c r="V477" s="81"/>
      <x:c r="W477" s="81"/>
      <x:c r="X477" s="81"/>
      <x:c r="Y477" s="81"/>
      <x:c r="Z477" s="81"/>
    </x:row>
    <x:row r="478">
      <x:c r="A478" s="81"/>
      <x:c r="B478" s="81"/>
      <x:c r="C478" s="81"/>
      <x:c r="D478" s="81"/>
      <x:c r="E478" s="81"/>
      <x:c r="F478" s="81"/>
      <x:c r="G478" s="81"/>
      <x:c r="H478" s="81"/>
      <x:c r="I478" s="81"/>
      <x:c r="J478" s="81"/>
      <x:c r="K478" s="81"/>
      <x:c r="L478" s="81"/>
      <x:c r="M478" s="81"/>
      <x:c r="N478" s="81"/>
      <x:c r="O478" s="81"/>
      <x:c r="P478" s="81"/>
      <x:c r="Q478" s="81"/>
      <x:c r="R478" s="81"/>
      <x:c r="S478" s="81"/>
      <x:c r="T478" s="81"/>
      <x:c r="U478" s="81"/>
      <x:c r="V478" s="81"/>
      <x:c r="W478" s="81"/>
      <x:c r="X478" s="81"/>
      <x:c r="Y478" s="81"/>
      <x:c r="Z478" s="81"/>
    </x:row>
    <x:row r="479">
      <x:c r="A479" s="81"/>
      <x:c r="B479" s="81"/>
      <x:c r="C479" s="81"/>
      <x:c r="D479" s="81"/>
      <x:c r="E479" s="81"/>
      <x:c r="F479" s="81"/>
      <x:c r="G479" s="81"/>
      <x:c r="H479" s="81"/>
      <x:c r="I479" s="81"/>
      <x:c r="J479" s="81"/>
      <x:c r="K479" s="81"/>
      <x:c r="L479" s="81"/>
      <x:c r="M479" s="81"/>
      <x:c r="N479" s="81"/>
      <x:c r="O479" s="81"/>
      <x:c r="P479" s="81"/>
      <x:c r="Q479" s="81"/>
      <x:c r="R479" s="81"/>
      <x:c r="S479" s="81"/>
      <x:c r="T479" s="81"/>
      <x:c r="U479" s="81"/>
      <x:c r="V479" s="81"/>
      <x:c r="W479" s="81"/>
      <x:c r="X479" s="81"/>
      <x:c r="Y479" s="81"/>
      <x:c r="Z479" s="81"/>
    </x:row>
    <x:row r="480">
      <x:c r="A480" s="81"/>
      <x:c r="B480" s="81"/>
      <x:c r="C480" s="81"/>
      <x:c r="D480" s="81"/>
      <x:c r="E480" s="81"/>
      <x:c r="F480" s="81"/>
      <x:c r="G480" s="81"/>
      <x:c r="H480" s="81"/>
      <x:c r="I480" s="81"/>
      <x:c r="J480" s="81"/>
      <x:c r="K480" s="81"/>
      <x:c r="L480" s="81"/>
      <x:c r="M480" s="81"/>
      <x:c r="N480" s="81"/>
      <x:c r="O480" s="81"/>
      <x:c r="P480" s="81"/>
      <x:c r="Q480" s="81"/>
      <x:c r="R480" s="81"/>
      <x:c r="S480" s="81"/>
      <x:c r="T480" s="81"/>
      <x:c r="U480" s="81"/>
      <x:c r="V480" s="81"/>
      <x:c r="W480" s="81"/>
      <x:c r="X480" s="81"/>
      <x:c r="Y480" s="81"/>
      <x:c r="Z480" s="81"/>
    </x:row>
    <x:row r="481">
      <x:c r="A481" s="81"/>
      <x:c r="B481" s="81"/>
      <x:c r="C481" s="81"/>
      <x:c r="D481" s="81"/>
      <x:c r="E481" s="81"/>
      <x:c r="F481" s="81"/>
      <x:c r="G481" s="81"/>
      <x:c r="H481" s="81"/>
      <x:c r="I481" s="81"/>
      <x:c r="J481" s="81"/>
      <x:c r="K481" s="81"/>
      <x:c r="L481" s="81"/>
      <x:c r="M481" s="81"/>
      <x:c r="N481" s="81"/>
      <x:c r="O481" s="81"/>
      <x:c r="P481" s="81"/>
      <x:c r="Q481" s="81"/>
      <x:c r="R481" s="81"/>
      <x:c r="S481" s="81"/>
      <x:c r="T481" s="81"/>
      <x:c r="U481" s="81"/>
      <x:c r="V481" s="81"/>
      <x:c r="W481" s="81"/>
      <x:c r="X481" s="81"/>
      <x:c r="Y481" s="81"/>
      <x:c r="Z481" s="81"/>
    </x:row>
    <x:row r="482">
      <x:c r="A482" s="81"/>
      <x:c r="B482" s="81"/>
      <x:c r="C482" s="81"/>
      <x:c r="D482" s="81"/>
      <x:c r="E482" s="81"/>
      <x:c r="F482" s="81"/>
      <x:c r="G482" s="81"/>
      <x:c r="H482" s="81"/>
      <x:c r="I482" s="81"/>
      <x:c r="J482" s="81"/>
      <x:c r="K482" s="81"/>
      <x:c r="L482" s="81"/>
      <x:c r="M482" s="81"/>
      <x:c r="N482" s="81"/>
      <x:c r="O482" s="81"/>
      <x:c r="P482" s="81"/>
      <x:c r="Q482" s="81"/>
      <x:c r="R482" s="81"/>
      <x:c r="S482" s="81"/>
      <x:c r="T482" s="81"/>
      <x:c r="U482" s="81"/>
      <x:c r="V482" s="81"/>
      <x:c r="W482" s="81"/>
      <x:c r="X482" s="81"/>
      <x:c r="Y482" s="81"/>
      <x:c r="Z482" s="81"/>
    </x:row>
    <x:row r="483">
      <x:c r="A483" s="81"/>
      <x:c r="B483" s="81"/>
      <x:c r="C483" s="81"/>
      <x:c r="D483" s="81"/>
      <x:c r="E483" s="81"/>
      <x:c r="F483" s="81"/>
      <x:c r="G483" s="81"/>
      <x:c r="H483" s="81"/>
      <x:c r="I483" s="81"/>
      <x:c r="J483" s="81"/>
      <x:c r="K483" s="81"/>
      <x:c r="L483" s="81"/>
      <x:c r="M483" s="81"/>
      <x:c r="N483" s="81"/>
      <x:c r="O483" s="81"/>
      <x:c r="P483" s="81"/>
      <x:c r="Q483" s="81"/>
      <x:c r="R483" s="81"/>
      <x:c r="S483" s="81"/>
      <x:c r="T483" s="81"/>
      <x:c r="U483" s="81"/>
      <x:c r="V483" s="81"/>
      <x:c r="W483" s="81"/>
      <x:c r="X483" s="81"/>
      <x:c r="Y483" s="81"/>
      <x:c r="Z483" s="81"/>
    </x:row>
    <x:row r="484">
      <x:c r="A484" s="81"/>
      <x:c r="B484" s="81"/>
      <x:c r="C484" s="81"/>
      <x:c r="D484" s="81"/>
      <x:c r="E484" s="81"/>
      <x:c r="F484" s="81"/>
      <x:c r="G484" s="81"/>
      <x:c r="H484" s="81"/>
      <x:c r="I484" s="81"/>
      <x:c r="J484" s="81"/>
      <x:c r="K484" s="81"/>
      <x:c r="L484" s="81"/>
      <x:c r="M484" s="81"/>
      <x:c r="N484" s="81"/>
      <x:c r="O484" s="81"/>
      <x:c r="P484" s="81"/>
      <x:c r="Q484" s="81"/>
      <x:c r="R484" s="81"/>
      <x:c r="S484" s="81"/>
      <x:c r="T484" s="81"/>
      <x:c r="U484" s="81"/>
      <x:c r="V484" s="81"/>
      <x:c r="W484" s="81"/>
      <x:c r="X484" s="81"/>
      <x:c r="Y484" s="81"/>
      <x:c r="Z484" s="81"/>
    </x:row>
    <x:row r="485">
      <x:c r="A485" s="81"/>
      <x:c r="B485" s="81"/>
      <x:c r="C485" s="81"/>
      <x:c r="D485" s="81"/>
      <x:c r="E485" s="81"/>
      <x:c r="F485" s="81"/>
      <x:c r="G485" s="81"/>
      <x:c r="H485" s="81"/>
      <x:c r="I485" s="81"/>
      <x:c r="J485" s="81"/>
      <x:c r="K485" s="81"/>
      <x:c r="L485" s="81"/>
      <x:c r="M485" s="81"/>
      <x:c r="N485" s="81"/>
      <x:c r="O485" s="81"/>
      <x:c r="P485" s="81"/>
      <x:c r="Q485" s="81"/>
      <x:c r="R485" s="81"/>
      <x:c r="S485" s="81"/>
      <x:c r="T485" s="81"/>
      <x:c r="U485" s="81"/>
      <x:c r="V485" s="81"/>
      <x:c r="W485" s="81"/>
      <x:c r="X485" s="81"/>
      <x:c r="Y485" s="81"/>
      <x:c r="Z485" s="81"/>
    </x:row>
    <x:row r="486">
      <x:c r="A486" s="81"/>
      <x:c r="B486" s="81"/>
      <x:c r="C486" s="81"/>
      <x:c r="D486" s="81"/>
      <x:c r="E486" s="81"/>
      <x:c r="F486" s="81"/>
      <x:c r="G486" s="81"/>
      <x:c r="H486" s="81"/>
      <x:c r="I486" s="81"/>
      <x:c r="J486" s="81"/>
      <x:c r="K486" s="81"/>
      <x:c r="L486" s="81"/>
      <x:c r="M486" s="81"/>
      <x:c r="N486" s="81"/>
      <x:c r="O486" s="81"/>
      <x:c r="P486" s="81"/>
      <x:c r="Q486" s="81"/>
      <x:c r="R486" s="81"/>
      <x:c r="S486" s="81"/>
      <x:c r="T486" s="81"/>
      <x:c r="U486" s="81"/>
      <x:c r="V486" s="81"/>
      <x:c r="W486" s="81"/>
      <x:c r="X486" s="81"/>
      <x:c r="Y486" s="81"/>
      <x:c r="Z486" s="81"/>
    </x:row>
    <x:row r="487">
      <x:c r="A487" s="81"/>
      <x:c r="B487" s="81"/>
      <x:c r="C487" s="81"/>
      <x:c r="D487" s="81"/>
      <x:c r="E487" s="81"/>
      <x:c r="F487" s="81"/>
      <x:c r="G487" s="81"/>
      <x:c r="H487" s="81"/>
      <x:c r="I487" s="81"/>
      <x:c r="J487" s="81"/>
      <x:c r="K487" s="81"/>
      <x:c r="L487" s="81"/>
      <x:c r="M487" s="81"/>
      <x:c r="N487" s="81"/>
      <x:c r="O487" s="81"/>
      <x:c r="P487" s="81"/>
      <x:c r="Q487" s="81"/>
      <x:c r="R487" s="81"/>
      <x:c r="S487" s="81"/>
      <x:c r="T487" s="81"/>
      <x:c r="U487" s="81"/>
      <x:c r="V487" s="81"/>
      <x:c r="W487" s="81"/>
      <x:c r="X487" s="81"/>
      <x:c r="Y487" s="81"/>
      <x:c r="Z487" s="81"/>
    </x:row>
    <x:row r="488">
      <x:c r="A488" s="81"/>
      <x:c r="B488" s="81"/>
      <x:c r="C488" s="81"/>
      <x:c r="D488" s="81"/>
      <x:c r="E488" s="81"/>
      <x:c r="F488" s="81"/>
      <x:c r="G488" s="81"/>
      <x:c r="H488" s="81"/>
      <x:c r="I488" s="81"/>
      <x:c r="J488" s="81"/>
      <x:c r="K488" s="81"/>
      <x:c r="L488" s="81"/>
      <x:c r="M488" s="81"/>
      <x:c r="N488" s="81"/>
      <x:c r="O488" s="81"/>
      <x:c r="P488" s="81"/>
      <x:c r="Q488" s="81"/>
      <x:c r="R488" s="81"/>
      <x:c r="S488" s="81"/>
      <x:c r="T488" s="81"/>
      <x:c r="U488" s="81"/>
      <x:c r="V488" s="81"/>
      <x:c r="W488" s="81"/>
      <x:c r="X488" s="81"/>
      <x:c r="Y488" s="81"/>
      <x:c r="Z488" s="81"/>
    </x:row>
    <x:row r="489">
      <x:c r="A489" s="81"/>
      <x:c r="B489" s="81"/>
      <x:c r="C489" s="81"/>
      <x:c r="D489" s="81"/>
      <x:c r="E489" s="81"/>
      <x:c r="F489" s="81"/>
      <x:c r="G489" s="81"/>
      <x:c r="H489" s="81"/>
      <x:c r="I489" s="81"/>
      <x:c r="J489" s="81"/>
      <x:c r="K489" s="81"/>
      <x:c r="L489" s="81"/>
      <x:c r="M489" s="81"/>
      <x:c r="N489" s="81"/>
      <x:c r="O489" s="81"/>
      <x:c r="P489" s="81"/>
      <x:c r="Q489" s="81"/>
      <x:c r="R489" s="81"/>
      <x:c r="S489" s="81"/>
      <x:c r="T489" s="81"/>
      <x:c r="U489" s="81"/>
      <x:c r="V489" s="81"/>
      <x:c r="W489" s="81"/>
      <x:c r="X489" s="81"/>
      <x:c r="Y489" s="81"/>
      <x:c r="Z489" s="81"/>
    </x:row>
    <x:row r="490">
      <x:c r="A490" s="81"/>
      <x:c r="B490" s="81"/>
      <x:c r="C490" s="81"/>
      <x:c r="D490" s="81"/>
      <x:c r="E490" s="81"/>
      <x:c r="F490" s="81"/>
      <x:c r="G490" s="81"/>
      <x:c r="H490" s="81"/>
      <x:c r="I490" s="81"/>
      <x:c r="J490" s="81"/>
      <x:c r="K490" s="81"/>
      <x:c r="L490" s="81"/>
      <x:c r="M490" s="81"/>
      <x:c r="N490" s="81"/>
      <x:c r="O490" s="81"/>
      <x:c r="P490" s="81"/>
      <x:c r="Q490" s="81"/>
      <x:c r="R490" s="81"/>
      <x:c r="S490" s="81"/>
      <x:c r="T490" s="81"/>
      <x:c r="U490" s="81"/>
      <x:c r="V490" s="81"/>
      <x:c r="W490" s="81"/>
      <x:c r="X490" s="81"/>
      <x:c r="Y490" s="81"/>
      <x:c r="Z490" s="81"/>
    </x:row>
    <x:row r="491">
      <x:c r="A491" s="81"/>
      <x:c r="B491" s="81"/>
      <x:c r="C491" s="81"/>
      <x:c r="D491" s="81"/>
      <x:c r="E491" s="81"/>
      <x:c r="F491" s="81"/>
      <x:c r="G491" s="81"/>
      <x:c r="H491" s="81"/>
      <x:c r="I491" s="81"/>
      <x:c r="J491" s="81"/>
      <x:c r="K491" s="81"/>
      <x:c r="L491" s="81"/>
      <x:c r="M491" s="81"/>
      <x:c r="N491" s="81"/>
      <x:c r="O491" s="81"/>
      <x:c r="P491" s="81"/>
      <x:c r="Q491" s="81"/>
      <x:c r="R491" s="81"/>
      <x:c r="S491" s="81"/>
      <x:c r="T491" s="81"/>
      <x:c r="U491" s="81"/>
      <x:c r="V491" s="81"/>
      <x:c r="W491" s="81"/>
      <x:c r="X491" s="81"/>
      <x:c r="Y491" s="81"/>
      <x:c r="Z491" s="81"/>
    </x:row>
    <x:row r="492">
      <x:c r="A492" s="81"/>
      <x:c r="B492" s="81"/>
      <x:c r="C492" s="81"/>
      <x:c r="D492" s="81"/>
      <x:c r="E492" s="81"/>
      <x:c r="F492" s="81"/>
      <x:c r="G492" s="81"/>
      <x:c r="H492" s="81"/>
      <x:c r="I492" s="81"/>
      <x:c r="J492" s="81"/>
      <x:c r="K492" s="81"/>
      <x:c r="L492" s="81"/>
      <x:c r="M492" s="81"/>
      <x:c r="N492" s="81"/>
      <x:c r="O492" s="81"/>
      <x:c r="P492" s="81"/>
      <x:c r="Q492" s="81"/>
      <x:c r="R492" s="81"/>
      <x:c r="S492" s="81"/>
      <x:c r="T492" s="81"/>
      <x:c r="U492" s="81"/>
      <x:c r="V492" s="81"/>
      <x:c r="W492" s="81"/>
      <x:c r="X492" s="81"/>
      <x:c r="Y492" s="81"/>
      <x:c r="Z492" s="81"/>
    </x:row>
    <x:row r="493">
      <x:c r="A493" s="81"/>
      <x:c r="B493" s="81"/>
      <x:c r="C493" s="81"/>
      <x:c r="D493" s="81"/>
      <x:c r="E493" s="81"/>
      <x:c r="F493" s="81"/>
      <x:c r="G493" s="81"/>
      <x:c r="H493" s="81"/>
      <x:c r="I493" s="81"/>
      <x:c r="J493" s="81"/>
      <x:c r="K493" s="81"/>
      <x:c r="L493" s="81"/>
      <x:c r="M493" s="81"/>
      <x:c r="N493" s="81"/>
      <x:c r="O493" s="81"/>
      <x:c r="P493" s="81"/>
      <x:c r="Q493" s="81"/>
      <x:c r="R493" s="81"/>
      <x:c r="S493" s="81"/>
      <x:c r="T493" s="81"/>
      <x:c r="U493" s="81"/>
      <x:c r="V493" s="81"/>
      <x:c r="W493" s="81"/>
      <x:c r="X493" s="81"/>
      <x:c r="Y493" s="81"/>
      <x:c r="Z493" s="81"/>
    </x:row>
    <x:row r="494">
      <x:c r="A494" s="81"/>
      <x:c r="B494" s="81"/>
      <x:c r="C494" s="81"/>
      <x:c r="D494" s="81"/>
      <x:c r="E494" s="81"/>
      <x:c r="F494" s="81"/>
      <x:c r="G494" s="81"/>
      <x:c r="H494" s="81"/>
      <x:c r="I494" s="81"/>
      <x:c r="J494" s="81"/>
      <x:c r="K494" s="81"/>
      <x:c r="L494" s="81"/>
      <x:c r="M494" s="81"/>
      <x:c r="N494" s="81"/>
      <x:c r="O494" s="81"/>
      <x:c r="P494" s="81"/>
      <x:c r="Q494" s="81"/>
      <x:c r="R494" s="81"/>
      <x:c r="S494" s="81"/>
      <x:c r="T494" s="81"/>
      <x:c r="U494" s="81"/>
      <x:c r="V494" s="81"/>
      <x:c r="W494" s="81"/>
      <x:c r="X494" s="81"/>
      <x:c r="Y494" s="81"/>
      <x:c r="Z494" s="81"/>
    </x:row>
    <x:row r="495">
      <x:c r="A495" s="81"/>
      <x:c r="B495" s="81"/>
      <x:c r="C495" s="81"/>
      <x:c r="D495" s="81"/>
      <x:c r="E495" s="81"/>
      <x:c r="F495" s="81"/>
      <x:c r="G495" s="81"/>
      <x:c r="H495" s="81"/>
      <x:c r="I495" s="81"/>
      <x:c r="J495" s="81"/>
      <x:c r="K495" s="81"/>
      <x:c r="L495" s="81"/>
      <x:c r="M495" s="81"/>
      <x:c r="N495" s="81"/>
      <x:c r="O495" s="81"/>
      <x:c r="P495" s="81"/>
      <x:c r="Q495" s="81"/>
      <x:c r="R495" s="81"/>
      <x:c r="S495" s="81"/>
      <x:c r="T495" s="81"/>
      <x:c r="U495" s="81"/>
      <x:c r="V495" s="81"/>
      <x:c r="W495" s="81"/>
      <x:c r="X495" s="81"/>
      <x:c r="Y495" s="81"/>
      <x:c r="Z495" s="81"/>
    </x:row>
    <x:row r="496">
      <x:c r="A496" s="81"/>
      <x:c r="B496" s="81"/>
      <x:c r="C496" s="81"/>
      <x:c r="D496" s="81"/>
      <x:c r="E496" s="81"/>
      <x:c r="F496" s="81"/>
      <x:c r="G496" s="81"/>
      <x:c r="H496" s="81"/>
      <x:c r="I496" s="81"/>
      <x:c r="J496" s="81"/>
      <x:c r="K496" s="81"/>
      <x:c r="L496" s="81"/>
      <x:c r="M496" s="81"/>
      <x:c r="N496" s="81"/>
      <x:c r="O496" s="81"/>
      <x:c r="P496" s="81"/>
      <x:c r="Q496" s="81"/>
      <x:c r="R496" s="81"/>
      <x:c r="S496" s="81"/>
      <x:c r="T496" s="81"/>
      <x:c r="U496" s="81"/>
      <x:c r="V496" s="81"/>
      <x:c r="W496" s="81"/>
      <x:c r="X496" s="81"/>
      <x:c r="Y496" s="81"/>
      <x:c r="Z496" s="81"/>
    </x:row>
    <x:row r="497">
      <x:c r="A497" s="81"/>
      <x:c r="B497" s="81"/>
      <x:c r="C497" s="81"/>
      <x:c r="D497" s="81"/>
      <x:c r="E497" s="81"/>
      <x:c r="F497" s="81"/>
      <x:c r="G497" s="81"/>
      <x:c r="H497" s="81"/>
      <x:c r="I497" s="81"/>
      <x:c r="J497" s="81"/>
      <x:c r="K497" s="81"/>
      <x:c r="L497" s="81"/>
      <x:c r="M497" s="81"/>
      <x:c r="N497" s="81"/>
      <x:c r="O497" s="81"/>
      <x:c r="P497" s="81"/>
      <x:c r="Q497" s="81"/>
      <x:c r="R497" s="81"/>
      <x:c r="S497" s="81"/>
      <x:c r="T497" s="81"/>
      <x:c r="U497" s="81"/>
      <x:c r="V497" s="81"/>
      <x:c r="W497" s="81"/>
      <x:c r="X497" s="81"/>
      <x:c r="Y497" s="81"/>
      <x:c r="Z497" s="81"/>
    </x:row>
    <x:row r="498">
      <x:c r="A498" s="81"/>
      <x:c r="B498" s="81"/>
      <x:c r="C498" s="81"/>
      <x:c r="D498" s="81"/>
      <x:c r="E498" s="81"/>
      <x:c r="F498" s="81"/>
      <x:c r="G498" s="81"/>
      <x:c r="H498" s="81"/>
      <x:c r="I498" s="81"/>
      <x:c r="J498" s="81"/>
      <x:c r="K498" s="81"/>
      <x:c r="L498" s="81"/>
      <x:c r="M498" s="81"/>
      <x:c r="N498" s="81"/>
      <x:c r="O498" s="81"/>
      <x:c r="P498" s="81"/>
      <x:c r="Q498" s="81"/>
      <x:c r="R498" s="81"/>
      <x:c r="S498" s="81"/>
      <x:c r="T498" s="81"/>
      <x:c r="U498" s="81"/>
      <x:c r="V498" s="81"/>
      <x:c r="W498" s="81"/>
      <x:c r="X498" s="81"/>
      <x:c r="Y498" s="81"/>
      <x:c r="Z498" s="81"/>
    </x:row>
    <x:row r="499">
      <x:c r="A499" s="81"/>
      <x:c r="B499" s="81"/>
      <x:c r="C499" s="81"/>
      <x:c r="D499" s="81"/>
      <x:c r="E499" s="81"/>
      <x:c r="F499" s="81"/>
      <x:c r="G499" s="81"/>
      <x:c r="H499" s="81"/>
      <x:c r="I499" s="81"/>
      <x:c r="J499" s="81"/>
      <x:c r="K499" s="81"/>
      <x:c r="L499" s="81"/>
      <x:c r="M499" s="81"/>
      <x:c r="N499" s="81"/>
      <x:c r="O499" s="81"/>
      <x:c r="P499" s="81"/>
      <x:c r="Q499" s="81"/>
      <x:c r="R499" s="81"/>
      <x:c r="S499" s="81"/>
      <x:c r="T499" s="81"/>
      <x:c r="U499" s="81"/>
      <x:c r="V499" s="81"/>
      <x:c r="W499" s="81"/>
      <x:c r="X499" s="81"/>
      <x:c r="Y499" s="81"/>
      <x:c r="Z499" s="81"/>
    </x:row>
    <x:row r="500">
      <x:c r="A500" s="81"/>
      <x:c r="B500" s="81"/>
      <x:c r="C500" s="81"/>
      <x:c r="D500" s="81"/>
      <x:c r="E500" s="81"/>
      <x:c r="F500" s="81"/>
      <x:c r="G500" s="81"/>
      <x:c r="H500" s="81"/>
      <x:c r="I500" s="81"/>
      <x:c r="J500" s="81"/>
      <x:c r="K500" s="81"/>
      <x:c r="L500" s="81"/>
      <x:c r="M500" s="81"/>
      <x:c r="N500" s="81"/>
      <x:c r="O500" s="81"/>
      <x:c r="P500" s="81"/>
      <x:c r="Q500" s="81"/>
      <x:c r="R500" s="81"/>
      <x:c r="S500" s="81"/>
      <x:c r="T500" s="81"/>
      <x:c r="U500" s="81"/>
      <x:c r="V500" s="81"/>
      <x:c r="W500" s="81"/>
      <x:c r="X500" s="81"/>
      <x:c r="Y500" s="81"/>
      <x:c r="Z500" s="8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09999656677246" hidden="0" customWidth="1"/>
    <x:col min="2" max="2" width="9.109999656677246" hidden="0" customWidth="1"/>
    <x:col min="3" max="3" width="6.670000076293945" hidden="0" customWidth="1"/>
    <x:col min="4" max="4" width="7.78000020980835" hidden="0" customWidth="1"/>
    <x:col min="5" max="5" width="8.220000267028809" hidden="0" customWidth="1"/>
  </x:cols>
  <x:sheetData>
    <x:row r="1">
      <x:c r="A1" s="86" t="str">
        <x:v>Date</x:v>
      </x:c>
      <x:c r="B1" s="86" t="str">
        <x:v>Fund_Code</x:v>
      </x:c>
      <x:c r="C1" s="86" t="str">
        <x:v>NAV</x:v>
      </x:c>
      <x:c r="D1" s="86" t="str">
        <x:v>Source_ID</x:v>
      </x:c>
      <x:c r="E1" s="86" t="str">
        <x:v>Status</x:v>
      </x:c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  <x:c r="T1" s="88"/>
      <x:c r="U1" s="88"/>
      <x:c r="V1" s="88"/>
      <x:c r="W1" s="88"/>
      <x:c r="X1" s="88"/>
      <x:c r="Y1" s="88"/>
      <x:c r="Z1" s="88"/>
    </x:row>
    <x:row r="2">
      <x:c r="A2" s="81" t="str">
        <x:v>2025-01-31</x:v>
      </x:c>
      <x:c r="B2" s="81" t="str">
        <x:v>DCDS</x:v>
      </x:c>
      <x:c r="C2" s="81" t="n">
        <x:v>70000</x:v>
      </x:c>
      <x:c r="D2" s="81" t="str">
        <x:v>S004</x:v>
      </x:c>
      <x:c r="E2" s="81" t="str">
        <x:v>Assumption</x:v>
      </x:c>
      <x:c r="F2" s="81"/>
      <x:c r="G2" s="81"/>
      <x:c r="H2" s="81"/>
      <x:c r="I2" s="81"/>
      <x:c r="J2" s="81"/>
      <x:c r="K2" s="81"/>
      <x:c r="L2" s="81"/>
      <x:c r="M2" s="81"/>
      <x:c r="N2" s="81"/>
      <x:c r="O2" s="81"/>
      <x:c r="P2" s="81"/>
      <x:c r="Q2" s="81"/>
      <x:c r="R2" s="81"/>
      <x:c r="S2" s="81"/>
      <x:c r="T2" s="81"/>
      <x:c r="U2" s="81"/>
      <x:c r="V2" s="81"/>
      <x:c r="W2" s="81"/>
      <x:c r="X2" s="81"/>
      <x:c r="Y2" s="81"/>
      <x:c r="Z2" s="81"/>
    </x:row>
    <x:row r="3">
      <x:c r="A3" s="81" t="str">
        <x:v>2025-01-31</x:v>
      </x:c>
      <x:c r="B3" s="81" t="str">
        <x:v>DCBF</x:v>
      </x:c>
      <x:c r="C3" s="81" t="n">
        <x:v>32000</x:v>
      </x:c>
      <x:c r="D3" s="81" t="str">
        <x:v>S004</x:v>
      </x:c>
      <x:c r="E3" s="81" t="str">
        <x:v>Assumption</x:v>
      </x:c>
      <x:c r="F3" s="81"/>
      <x:c r="G3" s="81"/>
      <x:c r="H3" s="81"/>
      <x:c r="I3" s="81"/>
      <x:c r="J3" s="81"/>
      <x:c r="K3" s="81"/>
      <x:c r="L3" s="81"/>
      <x:c r="M3" s="81"/>
      <x:c r="N3" s="81"/>
      <x:c r="O3" s="81"/>
      <x:c r="P3" s="81"/>
      <x:c r="Q3" s="81"/>
      <x:c r="R3" s="81"/>
      <x:c r="S3" s="81"/>
      <x:c r="T3" s="81"/>
      <x:c r="U3" s="81"/>
      <x:c r="V3" s="81"/>
      <x:c r="W3" s="81"/>
      <x:c r="X3" s="81"/>
      <x:c r="Y3" s="81"/>
      <x:c r="Z3" s="81"/>
    </x:row>
    <x:row r="4">
      <x:c r="A4" s="81" t="str">
        <x:v>2025-01-31</x:v>
      </x:c>
      <x:c r="B4" s="81" t="str">
        <x:v>DCDE</x:v>
      </x:c>
      <x:c r="C4" s="81" t="n">
        <x:v>28000</x:v>
      </x:c>
      <x:c r="D4" s="81" t="str">
        <x:v>S004</x:v>
      </x:c>
      <x:c r="E4" s="81" t="str">
        <x:v>Assumption</x:v>
      </x:c>
      <x:c r="F4" s="81"/>
      <x:c r="G4" s="81"/>
      <x:c r="H4" s="81"/>
      <x:c r="I4" s="81"/>
      <x:c r="J4" s="81"/>
      <x:c r="K4" s="81"/>
      <x:c r="L4" s="81"/>
      <x:c r="M4" s="81"/>
      <x:c r="N4" s="81"/>
      <x:c r="O4" s="81"/>
      <x:c r="P4" s="81"/>
      <x:c r="Q4" s="81"/>
      <x:c r="R4" s="81"/>
      <x:c r="S4" s="81"/>
      <x:c r="T4" s="81"/>
      <x:c r="U4" s="81"/>
      <x:c r="V4" s="81"/>
      <x:c r="W4" s="81"/>
      <x:c r="X4" s="81"/>
      <x:c r="Y4" s="81"/>
      <x:c r="Z4" s="81"/>
    </x:row>
    <x:row r="5">
      <x:c r="A5" s="81" t="str">
        <x:v>2025-01-31</x:v>
      </x:c>
      <x:c r="B5" s="81" t="str">
        <x:v>E1VFVN30</x:v>
      </x:c>
      <x:c r="C5" s="81" t="n">
        <x:v>25000</x:v>
      </x:c>
      <x:c r="D5" s="81" t="str">
        <x:v>S004</x:v>
      </x:c>
      <x:c r="E5" s="81" t="str">
        <x:v>Assumption</x:v>
      </x:c>
      <x:c r="F5" s="81"/>
      <x:c r="G5" s="81"/>
      <x:c r="H5" s="81"/>
      <x:c r="I5" s="81"/>
      <x:c r="J5" s="81"/>
      <x:c r="K5" s="81"/>
      <x:c r="L5" s="81"/>
      <x:c r="M5" s="81"/>
      <x:c r="N5" s="81"/>
      <x:c r="O5" s="81"/>
      <x:c r="P5" s="81"/>
      <x:c r="Q5" s="81"/>
      <x:c r="R5" s="81"/>
      <x:c r="S5" s="81"/>
      <x:c r="T5" s="81"/>
      <x:c r="U5" s="81"/>
      <x:c r="V5" s="81"/>
      <x:c r="W5" s="81"/>
      <x:c r="X5" s="81"/>
      <x:c r="Y5" s="81"/>
      <x:c r="Z5" s="81"/>
    </x:row>
    <x:row r="6">
      <x:c r="A6" s="81" t="str">
        <x:v>2025-01-31</x:v>
      </x:c>
      <x:c r="B6" s="81" t="str">
        <x:v>FUEVFVND</x:v>
      </x:c>
      <x:c r="C6" s="81" t="n">
        <x:v>24500</x:v>
      </x:c>
      <x:c r="D6" s="81" t="str">
        <x:v>S004</x:v>
      </x:c>
      <x:c r="E6" s="81" t="str">
        <x:v>Assumption</x:v>
      </x:c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</x:row>
    <x:row r="7">
      <x:c r="A7" s="81" t="str">
        <x:v>2025-01-31</x:v>
      </x:c>
      <x:c r="B7" s="81" t="str">
        <x:v>VEF_LOCAL</x:v>
      </x:c>
      <x:c r="C7" s="81" t="n">
        <x:v>100</x:v>
      </x:c>
      <x:c r="D7" s="81" t="str">
        <x:v>S004</x:v>
      </x:c>
      <x:c r="E7" s="81" t="str">
        <x:v>Assumption</x:v>
      </x:c>
      <x:c r="F7" s="81"/>
      <x:c r="G7" s="81"/>
      <x:c r="H7" s="81"/>
      <x:c r="I7" s="81"/>
      <x:c r="J7" s="81"/>
      <x:c r="K7" s="81"/>
      <x:c r="L7" s="81"/>
      <x:c r="M7" s="81"/>
      <x:c r="N7" s="81"/>
      <x:c r="O7" s="81"/>
      <x:c r="P7" s="81"/>
      <x:c r="Q7" s="81"/>
      <x:c r="R7" s="81"/>
      <x:c r="S7" s="81"/>
      <x:c r="T7" s="81"/>
      <x:c r="U7" s="81"/>
      <x:c r="V7" s="81"/>
      <x:c r="W7" s="81"/>
      <x:c r="X7" s="81"/>
      <x:c r="Y7" s="81"/>
      <x:c r="Z7" s="81"/>
    </x:row>
    <x:row r="8">
      <x:c r="A8" s="81" t="str">
        <x:v>2025-02-28</x:v>
      </x:c>
      <x:c r="B8" s="81" t="str">
        <x:v>DCDS</x:v>
      </x:c>
      <x:c r="C8" s="81" t="n">
        <x:v>71714.27</x:v>
      </x:c>
      <x:c r="D8" s="81" t="str">
        <x:v>S004</x:v>
      </x:c>
      <x:c r="E8" s="81" t="str">
        <x:v>Assumption</x:v>
      </x:c>
      <x:c r="F8" s="81"/>
      <x:c r="G8" s="81"/>
      <x:c r="H8" s="81"/>
      <x:c r="I8" s="81"/>
      <x:c r="J8" s="81"/>
      <x:c r="K8" s="81"/>
      <x:c r="L8" s="81"/>
      <x:c r="M8" s="81"/>
      <x:c r="N8" s="81"/>
      <x:c r="O8" s="81"/>
      <x:c r="P8" s="81"/>
      <x:c r="Q8" s="81"/>
      <x:c r="R8" s="81"/>
      <x:c r="S8" s="81"/>
      <x:c r="T8" s="81"/>
      <x:c r="U8" s="81"/>
      <x:c r="V8" s="81"/>
      <x:c r="W8" s="81"/>
      <x:c r="X8" s="81"/>
      <x:c r="Y8" s="81"/>
      <x:c r="Z8" s="81"/>
    </x:row>
    <x:row r="9">
      <x:c r="A9" s="81" t="str">
        <x:v>2025-02-28</x:v>
      </x:c>
      <x:c r="B9" s="81" t="str">
        <x:v>DCBF</x:v>
      </x:c>
      <x:c r="C9" s="81" t="n">
        <x:v>32205.7</x:v>
      </x:c>
      <x:c r="D9" s="81" t="str">
        <x:v>S004</x:v>
      </x:c>
      <x:c r="E9" s="81" t="str">
        <x:v>Assumption</x:v>
      </x:c>
      <x:c r="F9" s="81"/>
      <x:c r="G9" s="81"/>
      <x:c r="H9" s="81"/>
      <x:c r="I9" s="81"/>
      <x:c r="J9" s="81"/>
      <x:c r="K9" s="81"/>
      <x:c r="L9" s="81"/>
      <x:c r="M9" s="81"/>
      <x:c r="N9" s="81"/>
      <x:c r="O9" s="81"/>
      <x:c r="P9" s="81"/>
      <x:c r="Q9" s="81"/>
      <x:c r="R9" s="81"/>
      <x:c r="S9" s="81"/>
      <x:c r="T9" s="81"/>
      <x:c r="U9" s="81"/>
      <x:c r="V9" s="81"/>
      <x:c r="W9" s="81"/>
      <x:c r="X9" s="81"/>
      <x:c r="Y9" s="81"/>
      <x:c r="Z9" s="81"/>
    </x:row>
    <x:row r="10">
      <x:c r="A10" s="81" t="str">
        <x:v>2025-02-28</x:v>
      </x:c>
      <x:c r="B10" s="81" t="str">
        <x:v>DCDE</x:v>
      </x:c>
      <x:c r="C10" s="81" t="n">
        <x:v>28851.41</x:v>
      </x:c>
      <x:c r="D10" s="81" t="str">
        <x:v>S004</x:v>
      </x:c>
      <x:c r="E10" s="81" t="str">
        <x:v>Assumption</x:v>
      </x:c>
      <x:c r="F10" s="81"/>
      <x:c r="G10" s="81"/>
      <x:c r="H10" s="81"/>
      <x:c r="I10" s="81"/>
      <x:c r="J10" s="81"/>
      <x:c r="K10" s="81"/>
      <x:c r="L10" s="81"/>
      <x:c r="M10" s="81"/>
      <x:c r="N10" s="81"/>
      <x:c r="O10" s="81"/>
      <x:c r="P10" s="81"/>
      <x:c r="Q10" s="81"/>
      <x:c r="R10" s="81"/>
      <x:c r="S10" s="81"/>
      <x:c r="T10" s="81"/>
      <x:c r="U10" s="81"/>
      <x:c r="V10" s="81"/>
      <x:c r="W10" s="81"/>
      <x:c r="X10" s="81"/>
      <x:c r="Y10" s="81"/>
      <x:c r="Z10" s="81"/>
    </x:row>
    <x:row r="11">
      <x:c r="A11" s="81" t="str">
        <x:v>2025-02-28</x:v>
      </x:c>
      <x:c r="B11" s="81" t="str">
        <x:v>E1VFVN30</x:v>
      </x:c>
      <x:c r="C11" s="81" t="n">
        <x:v>24622.09</x:v>
      </x:c>
      <x:c r="D11" s="81" t="str">
        <x:v>S004</x:v>
      </x:c>
      <x:c r="E11" s="81" t="str">
        <x:v>Assumption</x:v>
      </x:c>
      <x:c r="F11" s="81"/>
      <x:c r="G11" s="81"/>
      <x:c r="H11" s="81"/>
      <x:c r="I11" s="81"/>
      <x:c r="J11" s="81"/>
      <x:c r="K11" s="81"/>
      <x:c r="L11" s="81"/>
      <x:c r="M11" s="81"/>
      <x:c r="N11" s="81"/>
      <x:c r="O11" s="81"/>
      <x:c r="P11" s="81"/>
      <x:c r="Q11" s="81"/>
      <x:c r="R11" s="81"/>
      <x:c r="S11" s="81"/>
      <x:c r="T11" s="81"/>
      <x:c r="U11" s="81"/>
      <x:c r="V11" s="81"/>
      <x:c r="W11" s="81"/>
      <x:c r="X11" s="81"/>
      <x:c r="Y11" s="81"/>
      <x:c r="Z11" s="81"/>
    </x:row>
    <x:row r="12">
      <x:c r="A12" s="81" t="str">
        <x:v>2025-02-28</x:v>
      </x:c>
      <x:c r="B12" s="81" t="str">
        <x:v>FUEVFVND</x:v>
      </x:c>
      <x:c r="C12" s="81" t="n">
        <x:v>23946.78</x:v>
      </x:c>
      <x:c r="D12" s="81" t="str">
        <x:v>S004</x:v>
      </x:c>
      <x:c r="E12" s="81" t="str">
        <x:v>Assumption</x:v>
      </x:c>
      <x:c r="F12" s="81"/>
      <x:c r="G12" s="81"/>
      <x:c r="H12" s="81"/>
      <x:c r="I12" s="81"/>
      <x:c r="J12" s="81"/>
      <x:c r="K12" s="81"/>
      <x:c r="L12" s="81"/>
      <x:c r="M12" s="81"/>
      <x:c r="N12" s="81"/>
      <x:c r="O12" s="81"/>
      <x:c r="P12" s="81"/>
      <x:c r="Q12" s="81"/>
      <x:c r="R12" s="81"/>
      <x:c r="S12" s="81"/>
      <x:c r="T12" s="81"/>
      <x:c r="U12" s="81"/>
      <x:c r="V12" s="81"/>
      <x:c r="W12" s="81"/>
      <x:c r="X12" s="81"/>
      <x:c r="Y12" s="81"/>
      <x:c r="Z12" s="81"/>
    </x:row>
    <x:row r="13">
      <x:c r="A13" s="81" t="str">
        <x:v>2025-02-28</x:v>
      </x:c>
      <x:c r="B13" s="81" t="str">
        <x:v>VEF_LOCAL</x:v>
      </x:c>
      <x:c r="C13" s="81" t="n">
        <x:v>101.83</x:v>
      </x:c>
      <x:c r="D13" s="81" t="str">
        <x:v>S004</x:v>
      </x:c>
      <x:c r="E13" s="81" t="str">
        <x:v>Assumption</x:v>
      </x:c>
      <x:c r="F13" s="81"/>
      <x:c r="G13" s="81"/>
      <x:c r="H13" s="81"/>
      <x:c r="I13" s="81"/>
      <x:c r="J13" s="81"/>
      <x:c r="K13" s="81"/>
      <x:c r="L13" s="81"/>
      <x:c r="M13" s="81"/>
      <x:c r="N13" s="81"/>
      <x:c r="O13" s="81"/>
      <x:c r="P13" s="81"/>
      <x:c r="Q13" s="81"/>
      <x:c r="R13" s="81"/>
      <x:c r="S13" s="81"/>
      <x:c r="T13" s="81"/>
      <x:c r="U13" s="81"/>
      <x:c r="V13" s="81"/>
      <x:c r="W13" s="81"/>
      <x:c r="X13" s="81"/>
      <x:c r="Y13" s="81"/>
      <x:c r="Z13" s="81"/>
    </x:row>
    <x:row r="14">
      <x:c r="A14" s="81" t="str">
        <x:v>2025-03-31</x:v>
      </x:c>
      <x:c r="B14" s="81" t="str">
        <x:v>DCDS</x:v>
      </x:c>
      <x:c r="C14" s="81" t="n">
        <x:v>72736.95</x:v>
      </x:c>
      <x:c r="D14" s="81" t="str">
        <x:v>S004</x:v>
      </x:c>
      <x:c r="E14" s="81" t="str">
        <x:v>Assumption</x:v>
      </x:c>
      <x:c r="F14" s="81"/>
      <x:c r="G14" s="81"/>
      <x:c r="H14" s="81"/>
      <x:c r="I14" s="81"/>
      <x:c r="J14" s="81"/>
      <x:c r="K14" s="81"/>
      <x:c r="L14" s="81"/>
      <x:c r="M14" s="81"/>
      <x:c r="N14" s="81"/>
      <x:c r="O14" s="81"/>
      <x:c r="P14" s="81"/>
      <x:c r="Q14" s="81"/>
      <x:c r="R14" s="81"/>
      <x:c r="S14" s="81"/>
      <x:c r="T14" s="81"/>
      <x:c r="U14" s="81"/>
      <x:c r="V14" s="81"/>
      <x:c r="W14" s="81"/>
      <x:c r="X14" s="81"/>
      <x:c r="Y14" s="81"/>
      <x:c r="Z14" s="81"/>
    </x:row>
    <x:row r="15">
      <x:c r="A15" s="81" t="str">
        <x:v>2025-03-31</x:v>
      </x:c>
      <x:c r="B15" s="81" t="str">
        <x:v>DCBF</x:v>
      </x:c>
      <x:c r="C15" s="81" t="n">
        <x:v>32393.54</x:v>
      </x:c>
      <x:c r="D15" s="81" t="str">
        <x:v>S004</x:v>
      </x:c>
      <x:c r="E15" s="81" t="str">
        <x:v>Assumption</x:v>
      </x:c>
      <x:c r="F15" s="81"/>
      <x:c r="G15" s="81"/>
      <x:c r="H15" s="81"/>
      <x:c r="I15" s="81"/>
      <x:c r="J15" s="81"/>
      <x:c r="K15" s="81"/>
      <x:c r="L15" s="81"/>
      <x:c r="M15" s="81"/>
      <x:c r="N15" s="81"/>
      <x:c r="O15" s="81"/>
      <x:c r="P15" s="81"/>
      <x:c r="Q15" s="81"/>
      <x:c r="R15" s="81"/>
      <x:c r="S15" s="81"/>
      <x:c r="T15" s="81"/>
      <x:c r="U15" s="81"/>
      <x:c r="V15" s="81"/>
      <x:c r="W15" s="81"/>
      <x:c r="X15" s="81"/>
      <x:c r="Y15" s="81"/>
      <x:c r="Z15" s="81"/>
    </x:row>
    <x:row r="16">
      <x:c r="A16" s="81" t="str">
        <x:v>2025-03-31</x:v>
      </x:c>
      <x:c r="B16" s="81" t="str">
        <x:v>DCDE</x:v>
      </x:c>
      <x:c r="C16" s="81" t="n">
        <x:v>29841.58</x:v>
      </x:c>
      <x:c r="D16" s="81" t="str">
        <x:v>S004</x:v>
      </x:c>
      <x:c r="E16" s="81" t="str">
        <x:v>Assumption</x:v>
      </x:c>
      <x:c r="F16" s="81"/>
      <x:c r="G16" s="81"/>
      <x:c r="H16" s="81"/>
      <x:c r="I16" s="81"/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81"/>
      <x:c r="W16" s="81"/>
      <x:c r="X16" s="81"/>
      <x:c r="Y16" s="81"/>
      <x:c r="Z16" s="81"/>
    </x:row>
    <x:row r="17">
      <x:c r="A17" s="81" t="str">
        <x:v>2025-03-31</x:v>
      </x:c>
      <x:c r="B17" s="81" t="str">
        <x:v>E1VFVN30</x:v>
      </x:c>
      <x:c r="C17" s="81" t="n">
        <x:v>24060.9</x:v>
      </x:c>
      <x:c r="D17" s="81" t="str">
        <x:v>S004</x:v>
      </x:c>
      <x:c r="E17" s="81" t="str">
        <x:v>Assumption</x:v>
      </x:c>
      <x:c r="F17" s="81"/>
      <x:c r="G17" s="81"/>
      <x:c r="H17" s="81"/>
      <x:c r="I17" s="81"/>
      <x:c r="J17" s="81"/>
      <x:c r="K17" s="81"/>
      <x:c r="L17" s="81"/>
      <x:c r="M17" s="81"/>
      <x:c r="N17" s="81"/>
      <x:c r="O17" s="81"/>
      <x:c r="P17" s="81"/>
      <x:c r="Q17" s="81"/>
      <x:c r="R17" s="81"/>
      <x:c r="S17" s="81"/>
      <x:c r="T17" s="81"/>
      <x:c r="U17" s="81"/>
      <x:c r="V17" s="81"/>
      <x:c r="W17" s="81"/>
      <x:c r="X17" s="81"/>
      <x:c r="Y17" s="81"/>
      <x:c r="Z17" s="81"/>
    </x:row>
    <x:row r="18">
      <x:c r="A18" s="81" t="str">
        <x:v>2025-03-31</x:v>
      </x:c>
      <x:c r="B18" s="81" t="str">
        <x:v>FUEVFVND</x:v>
      </x:c>
      <x:c r="C18" s="81" t="n">
        <x:v>23381.24</x:v>
      </x:c>
      <x:c r="D18" s="81" t="str">
        <x:v>S004</x:v>
      </x:c>
      <x:c r="E18" s="81" t="str">
        <x:v>Assumption</x:v>
      </x:c>
      <x:c r="F18" s="81"/>
      <x:c r="G18" s="81"/>
      <x:c r="H18" s="81"/>
      <x:c r="I18" s="81"/>
      <x:c r="J18" s="81"/>
      <x:c r="K18" s="81"/>
      <x:c r="L18" s="81"/>
      <x:c r="M18" s="81"/>
      <x:c r="N18" s="81"/>
      <x:c r="O18" s="81"/>
      <x:c r="P18" s="81"/>
      <x:c r="Q18" s="81"/>
      <x:c r="R18" s="81"/>
      <x:c r="S18" s="81"/>
      <x:c r="T18" s="81"/>
      <x:c r="U18" s="81"/>
      <x:c r="V18" s="81"/>
      <x:c r="W18" s="81"/>
      <x:c r="X18" s="81"/>
      <x:c r="Y18" s="81"/>
      <x:c r="Z18" s="81"/>
    </x:row>
    <x:row r="19">
      <x:c r="A19" s="81" t="str">
        <x:v>2025-03-31</x:v>
      </x:c>
      <x:c r="B19" s="81" t="str">
        <x:v>VEF_LOCAL</x:v>
      </x:c>
      <x:c r="C19" s="81" t="n">
        <x:v>101.04</x:v>
      </x:c>
      <x:c r="D19" s="81" t="str">
        <x:v>S004</x:v>
      </x:c>
      <x:c r="E19" s="81" t="str">
        <x:v>Assumption</x:v>
      </x:c>
      <x:c r="F19" s="81"/>
      <x:c r="G19" s="81"/>
      <x:c r="H19" s="81"/>
      <x:c r="I19" s="81"/>
      <x:c r="J19" s="81"/>
      <x:c r="K19" s="81"/>
      <x:c r="L19" s="81"/>
      <x:c r="M19" s="81"/>
      <x:c r="N19" s="81"/>
      <x:c r="O19" s="81"/>
      <x:c r="P19" s="81"/>
      <x:c r="Q19" s="81"/>
      <x:c r="R19" s="81"/>
      <x:c r="S19" s="81"/>
      <x:c r="T19" s="81"/>
      <x:c r="U19" s="81"/>
      <x:c r="V19" s="81"/>
      <x:c r="W19" s="81"/>
      <x:c r="X19" s="81"/>
      <x:c r="Y19" s="81"/>
      <x:c r="Z19" s="81"/>
    </x:row>
    <x:row r="20">
      <x:c r="A20" s="81" t="str">
        <x:v>2025-04-30</x:v>
      </x:c>
      <x:c r="B20" s="81" t="str">
        <x:v>DCDS</x:v>
      </x:c>
      <x:c r="C20" s="81" t="n">
        <x:v>72687.22</x:v>
      </x:c>
      <x:c r="D20" s="81" t="str">
        <x:v>S004</x:v>
      </x:c>
      <x:c r="E20" s="81" t="str">
        <x:v>Assumption</x:v>
      </x:c>
      <x:c r="F20" s="81"/>
      <x:c r="G20" s="81"/>
      <x:c r="H20" s="81"/>
      <x:c r="I20" s="81"/>
      <x:c r="J20" s="81"/>
      <x:c r="K20" s="81"/>
      <x:c r="L20" s="81"/>
      <x:c r="M20" s="81"/>
      <x:c r="N20" s="81"/>
      <x:c r="O20" s="81"/>
      <x:c r="P20" s="81"/>
      <x:c r="Q20" s="81"/>
      <x:c r="R20" s="81"/>
      <x:c r="S20" s="81"/>
      <x:c r="T20" s="81"/>
      <x:c r="U20" s="81"/>
      <x:c r="V20" s="81"/>
      <x:c r="W20" s="81"/>
      <x:c r="X20" s="81"/>
      <x:c r="Y20" s="81"/>
      <x:c r="Z20" s="81"/>
    </x:row>
    <x:row r="21">
      <x:c r="A21" s="81" t="str">
        <x:v>2025-04-30</x:v>
      </x:c>
      <x:c r="B21" s="81" t="str">
        <x:v>DCBF</x:v>
      </x:c>
      <x:c r="C21" s="81" t="n">
        <x:v>32781.82</x:v>
      </x:c>
      <x:c r="D21" s="81" t="str">
        <x:v>S004</x:v>
      </x:c>
      <x:c r="E21" s="81" t="str">
        <x:v>Assumption</x:v>
      </x:c>
      <x:c r="F21" s="81"/>
      <x:c r="G21" s="81"/>
      <x:c r="H21" s="81"/>
      <x:c r="I21" s="81"/>
      <x:c r="J21" s="81"/>
      <x:c r="K21" s="81"/>
      <x:c r="L21" s="81"/>
      <x:c r="M21" s="81"/>
      <x:c r="N21" s="81"/>
      <x:c r="O21" s="81"/>
      <x:c r="P21" s="81"/>
      <x:c r="Q21" s="81"/>
      <x:c r="R21" s="81"/>
      <x:c r="S21" s="81"/>
      <x:c r="T21" s="81"/>
      <x:c r="U21" s="81"/>
      <x:c r="V21" s="81"/>
      <x:c r="W21" s="81"/>
      <x:c r="X21" s="81"/>
      <x:c r="Y21" s="81"/>
      <x:c r="Z21" s="81"/>
    </x:row>
    <x:row r="22">
      <x:c r="A22" s="81" t="str">
        <x:v>2025-04-30</x:v>
      </x:c>
      <x:c r="B22" s="81" t="str">
        <x:v>DCDE</x:v>
      </x:c>
      <x:c r="C22" s="81" t="n">
        <x:v>29423.19</x:v>
      </x:c>
      <x:c r="D22" s="81" t="str">
        <x:v>S004</x:v>
      </x:c>
      <x:c r="E22" s="81" t="str">
        <x:v>Assumption</x:v>
      </x:c>
      <x:c r="F22" s="81"/>
      <x:c r="G22" s="81"/>
      <x:c r="H22" s="81"/>
      <x:c r="I22" s="81"/>
      <x:c r="J22" s="81"/>
      <x:c r="K22" s="81"/>
      <x:c r="L22" s="81"/>
      <x:c r="M22" s="81"/>
      <x:c r="N22" s="81"/>
      <x:c r="O22" s="81"/>
      <x:c r="P22" s="81"/>
      <x:c r="Q22" s="81"/>
      <x:c r="R22" s="81"/>
      <x:c r="S22" s="81"/>
      <x:c r="T22" s="81"/>
      <x:c r="U22" s="81"/>
      <x:c r="V22" s="81"/>
      <x:c r="W22" s="81"/>
      <x:c r="X22" s="81"/>
      <x:c r="Y22" s="81"/>
      <x:c r="Z22" s="81"/>
    </x:row>
    <x:row r="23">
      <x:c r="A23" s="81" t="str">
        <x:v>2025-04-30</x:v>
      </x:c>
      <x:c r="B23" s="81" t="str">
        <x:v>E1VFVN30</x:v>
      </x:c>
      <x:c r="C23" s="81" t="n">
        <x:v>24074.42</x:v>
      </x:c>
      <x:c r="D23" s="81" t="str">
        <x:v>S004</x:v>
      </x:c>
      <x:c r="E23" s="81" t="str">
        <x:v>Assumption</x:v>
      </x:c>
      <x:c r="F23" s="81"/>
      <x:c r="G23" s="81"/>
      <x:c r="H23" s="81"/>
      <x:c r="I23" s="81"/>
      <x:c r="J23" s="81"/>
      <x:c r="K23" s="81"/>
      <x:c r="L23" s="81"/>
      <x:c r="M23" s="81"/>
      <x:c r="N23" s="81"/>
      <x:c r="O23" s="81"/>
      <x:c r="P23" s="81"/>
      <x:c r="Q23" s="81"/>
      <x:c r="R23" s="81"/>
      <x:c r="S23" s="81"/>
      <x:c r="T23" s="81"/>
      <x:c r="U23" s="81"/>
      <x:c r="V23" s="81"/>
      <x:c r="W23" s="81"/>
      <x:c r="X23" s="81"/>
      <x:c r="Y23" s="81"/>
      <x:c r="Z23" s="81"/>
    </x:row>
    <x:row r="24">
      <x:c r="A24" s="81" t="str">
        <x:v>2025-04-30</x:v>
      </x:c>
      <x:c r="B24" s="81" t="str">
        <x:v>FUEVFVND</x:v>
      </x:c>
      <x:c r="C24" s="81" t="n">
        <x:v>23721.58</x:v>
      </x:c>
      <x:c r="D24" s="81" t="str">
        <x:v>S004</x:v>
      </x:c>
      <x:c r="E24" s="81" t="str">
        <x:v>Assumption</x:v>
      </x:c>
      <x:c r="F24" s="81"/>
      <x:c r="G24" s="81"/>
      <x:c r="H24" s="81"/>
      <x:c r="I24" s="81"/>
      <x:c r="J24" s="81"/>
      <x:c r="K24" s="81"/>
      <x:c r="L24" s="81"/>
      <x:c r="M24" s="81"/>
      <x:c r="N24" s="81"/>
      <x:c r="O24" s="81"/>
      <x:c r="P24" s="81"/>
      <x:c r="Q24" s="81"/>
      <x:c r="R24" s="81"/>
      <x:c r="S24" s="81"/>
      <x:c r="T24" s="81"/>
      <x:c r="U24" s="81"/>
      <x:c r="V24" s="81"/>
      <x:c r="W24" s="81"/>
      <x:c r="X24" s="81"/>
      <x:c r="Y24" s="81"/>
      <x:c r="Z24" s="81"/>
    </x:row>
    <x:row r="25">
      <x:c r="A25" s="81" t="str">
        <x:v>2025-04-30</x:v>
      </x:c>
      <x:c r="B25" s="81" t="str">
        <x:v>VEF_LOCAL</x:v>
      </x:c>
      <x:c r="C25" s="81" t="n">
        <x:v>104.28</x:v>
      </x:c>
      <x:c r="D25" s="81" t="str">
        <x:v>S004</x:v>
      </x:c>
      <x:c r="E25" s="81" t="str">
        <x:v>Assumption</x:v>
      </x:c>
      <x:c r="F25" s="81"/>
      <x:c r="G25" s="81"/>
      <x:c r="H25" s="81"/>
      <x:c r="I25" s="81"/>
      <x:c r="J25" s="81"/>
      <x:c r="K25" s="81"/>
      <x:c r="L25" s="81"/>
      <x:c r="M25" s="81"/>
      <x:c r="N25" s="81"/>
      <x:c r="O25" s="81"/>
      <x:c r="P25" s="81"/>
      <x:c r="Q25" s="81"/>
      <x:c r="R25" s="81"/>
      <x:c r="S25" s="81"/>
      <x:c r="T25" s="81"/>
      <x:c r="U25" s="81"/>
      <x:c r="V25" s="81"/>
      <x:c r="W25" s="81"/>
      <x:c r="X25" s="81"/>
      <x:c r="Y25" s="81"/>
      <x:c r="Z25" s="81"/>
    </x:row>
    <x:row r="26">
      <x:c r="A26" s="81" t="str">
        <x:v>2025-05-31</x:v>
      </x:c>
      <x:c r="B26" s="81" t="str">
        <x:v>DCDS</x:v>
      </x:c>
      <x:c r="C26" s="81" t="n">
        <x:v>72279.5</x:v>
      </x:c>
      <x:c r="D26" s="81" t="str">
        <x:v>S004</x:v>
      </x:c>
      <x:c r="E26" s="81" t="str">
        <x:v>Assumption</x:v>
      </x:c>
      <x:c r="F26" s="81"/>
      <x:c r="G26" s="81"/>
      <x:c r="H26" s="81"/>
      <x:c r="I26" s="81"/>
      <x:c r="J26" s="81"/>
      <x:c r="K26" s="81"/>
      <x:c r="L26" s="81"/>
      <x:c r="M26" s="81"/>
      <x:c r="N26" s="81"/>
      <x:c r="O26" s="81"/>
      <x:c r="P26" s="81"/>
      <x:c r="Q26" s="81"/>
      <x:c r="R26" s="81"/>
      <x:c r="S26" s="81"/>
      <x:c r="T26" s="81"/>
      <x:c r="U26" s="81"/>
      <x:c r="V26" s="81"/>
      <x:c r="W26" s="81"/>
      <x:c r="X26" s="81"/>
      <x:c r="Y26" s="81"/>
      <x:c r="Z26" s="81"/>
    </x:row>
    <x:row r="27">
      <x:c r="A27" s="81" t="str">
        <x:v>2025-05-31</x:v>
      </x:c>
      <x:c r="B27" s="81" t="str">
        <x:v>DCBF</x:v>
      </x:c>
      <x:c r="C27" s="81" t="n">
        <x:v>33178.04</x:v>
      </x:c>
      <x:c r="D27" s="81" t="str">
        <x:v>S004</x:v>
      </x:c>
      <x:c r="E27" s="81" t="str">
        <x:v>Assumption</x:v>
      </x:c>
      <x:c r="F27" s="81"/>
      <x:c r="G27" s="81"/>
      <x:c r="H27" s="81"/>
      <x:c r="I27" s="81"/>
      <x:c r="J27" s="81"/>
      <x:c r="K27" s="81"/>
      <x:c r="L27" s="81"/>
      <x:c r="M27" s="81"/>
      <x:c r="N27" s="81"/>
      <x:c r="O27" s="81"/>
      <x:c r="P27" s="81"/>
      <x:c r="Q27" s="81"/>
      <x:c r="R27" s="81"/>
      <x:c r="S27" s="81"/>
      <x:c r="T27" s="81"/>
      <x:c r="U27" s="81"/>
      <x:c r="V27" s="81"/>
      <x:c r="W27" s="81"/>
      <x:c r="X27" s="81"/>
      <x:c r="Y27" s="81"/>
      <x:c r="Z27" s="81"/>
    </x:row>
    <x:row r="28">
      <x:c r="A28" s="81" t="str">
        <x:v>2025-05-31</x:v>
      </x:c>
      <x:c r="B28" s="81" t="str">
        <x:v>DCDE</x:v>
      </x:c>
      <x:c r="C28" s="81" t="n">
        <x:v>30008.14</x:v>
      </x:c>
      <x:c r="D28" s="81" t="str">
        <x:v>S004</x:v>
      </x:c>
      <x:c r="E28" s="81" t="str">
        <x:v>Assumption</x:v>
      </x:c>
      <x:c r="F28" s="81"/>
      <x:c r="G28" s="81"/>
      <x:c r="H28" s="81"/>
      <x:c r="I28" s="81"/>
      <x:c r="J28" s="81"/>
      <x:c r="K28" s="81"/>
      <x:c r="L28" s="81"/>
      <x:c r="M28" s="81"/>
      <x:c r="N28" s="81"/>
      <x:c r="O28" s="81"/>
      <x:c r="P28" s="81"/>
      <x:c r="Q28" s="81"/>
      <x:c r="R28" s="81"/>
      <x:c r="S28" s="81"/>
      <x:c r="T28" s="81"/>
      <x:c r="U28" s="81"/>
      <x:c r="V28" s="81"/>
      <x:c r="W28" s="81"/>
      <x:c r="X28" s="81"/>
      <x:c r="Y28" s="81"/>
      <x:c r="Z28" s="81"/>
    </x:row>
    <x:row r="29">
      <x:c r="A29" s="81" t="str">
        <x:v>2025-05-31</x:v>
      </x:c>
      <x:c r="B29" s="81" t="str">
        <x:v>E1VFVN30</x:v>
      </x:c>
      <x:c r="C29" s="81" t="n">
        <x:v>24221.75</x:v>
      </x:c>
      <x:c r="D29" s="81" t="str">
        <x:v>S004</x:v>
      </x:c>
      <x:c r="E29" s="81" t="str">
        <x:v>Assumption</x:v>
      </x:c>
      <x:c r="F29" s="81"/>
      <x:c r="G29" s="81"/>
      <x:c r="H29" s="81"/>
      <x:c r="I29" s="81"/>
      <x:c r="J29" s="81"/>
      <x:c r="K29" s="81"/>
      <x:c r="L29" s="81"/>
      <x:c r="M29" s="81"/>
      <x:c r="N29" s="81"/>
      <x:c r="O29" s="81"/>
      <x:c r="P29" s="81"/>
      <x:c r="Q29" s="81"/>
      <x:c r="R29" s="81"/>
      <x:c r="S29" s="81"/>
      <x:c r="T29" s="81"/>
      <x:c r="U29" s="81"/>
      <x:c r="V29" s="81"/>
      <x:c r="W29" s="81"/>
      <x:c r="X29" s="81"/>
      <x:c r="Y29" s="81"/>
      <x:c r="Z29" s="81"/>
    </x:row>
    <x:row r="30">
      <x:c r="A30" s="81" t="str">
        <x:v>2025-05-31</x:v>
      </x:c>
      <x:c r="B30" s="81" t="str">
        <x:v>FUEVFVND</x:v>
      </x:c>
      <x:c r="C30" s="81" t="n">
        <x:v>24075.26</x:v>
      </x:c>
      <x:c r="D30" s="81" t="str">
        <x:v>S004</x:v>
      </x:c>
      <x:c r="E30" s="81" t="str">
        <x:v>Assumption</x:v>
      </x:c>
      <x:c r="F30" s="81"/>
      <x:c r="G30" s="81"/>
      <x:c r="H30" s="81"/>
      <x:c r="I30" s="81"/>
      <x:c r="J30" s="81"/>
      <x:c r="K30" s="81"/>
      <x:c r="L30" s="81"/>
      <x:c r="M30" s="81"/>
      <x:c r="N30" s="81"/>
      <x:c r="O30" s="81"/>
      <x:c r="P30" s="81"/>
      <x:c r="Q30" s="81"/>
      <x:c r="R30" s="81"/>
      <x:c r="S30" s="81"/>
      <x:c r="T30" s="81"/>
      <x:c r="U30" s="81"/>
      <x:c r="V30" s="81"/>
      <x:c r="W30" s="81"/>
      <x:c r="X30" s="81"/>
      <x:c r="Y30" s="81"/>
      <x:c r="Z30" s="81"/>
    </x:row>
    <x:row r="31">
      <x:c r="A31" s="81" t="str">
        <x:v>2025-05-31</x:v>
      </x:c>
      <x:c r="B31" s="81" t="str">
        <x:v>VEF_LOCAL</x:v>
      </x:c>
      <x:c r="C31" s="81" t="n">
        <x:v>108.64</x:v>
      </x:c>
      <x:c r="D31" s="81" t="str">
        <x:v>S004</x:v>
      </x:c>
      <x:c r="E31" s="81" t="str">
        <x:v>Assumption</x:v>
      </x:c>
      <x:c r="F31" s="81"/>
      <x:c r="G31" s="81"/>
      <x:c r="H31" s="81"/>
      <x:c r="I31" s="81"/>
      <x:c r="J31" s="81"/>
      <x:c r="K31" s="81"/>
      <x:c r="L31" s="81"/>
      <x:c r="M31" s="81"/>
      <x:c r="N31" s="81"/>
      <x:c r="O31" s="81"/>
      <x:c r="P31" s="81"/>
      <x:c r="Q31" s="81"/>
      <x:c r="R31" s="81"/>
      <x:c r="S31" s="81"/>
      <x:c r="T31" s="81"/>
      <x:c r="U31" s="81"/>
      <x:c r="V31" s="81"/>
      <x:c r="W31" s="81"/>
      <x:c r="X31" s="81"/>
      <x:c r="Y31" s="81"/>
      <x:c r="Z31" s="81"/>
    </x:row>
    <x:row r="32">
      <x:c r="A32" s="81" t="str">
        <x:v>2025-06-30</x:v>
      </x:c>
      <x:c r="B32" s="81" t="str">
        <x:v>DCDS</x:v>
      </x:c>
      <x:c r="C32" s="81" t="n">
        <x:v>76311.13</x:v>
      </x:c>
      <x:c r="D32" s="81" t="str">
        <x:v>S004</x:v>
      </x:c>
      <x:c r="E32" s="81" t="str">
        <x:v>Assumption</x:v>
      </x:c>
      <x:c r="F32" s="81"/>
      <x:c r="G32" s="81"/>
      <x:c r="H32" s="81"/>
      <x:c r="I32" s="81"/>
      <x:c r="J32" s="81"/>
      <x:c r="K32" s="81"/>
      <x:c r="L32" s="81"/>
      <x:c r="M32" s="81"/>
      <x:c r="N32" s="81"/>
      <x:c r="O32" s="81"/>
      <x:c r="P32" s="81"/>
      <x:c r="Q32" s="81"/>
      <x:c r="R32" s="81"/>
      <x:c r="S32" s="81"/>
      <x:c r="T32" s="81"/>
      <x:c r="U32" s="81"/>
      <x:c r="V32" s="81"/>
      <x:c r="W32" s="81"/>
      <x:c r="X32" s="81"/>
      <x:c r="Y32" s="81"/>
      <x:c r="Z32" s="81"/>
    </x:row>
    <x:row r="33">
      <x:c r="A33" s="81" t="str">
        <x:v>2025-06-30</x:v>
      </x:c>
      <x:c r="B33" s="81" t="str">
        <x:v>DCBF</x:v>
      </x:c>
      <x:c r="C33" s="81" t="n">
        <x:v>33103.52</x:v>
      </x:c>
      <x:c r="D33" s="81" t="str">
        <x:v>S004</x:v>
      </x:c>
      <x:c r="E33" s="81" t="str">
        <x:v>Assumption</x:v>
      </x:c>
      <x:c r="F33" s="81"/>
      <x:c r="G33" s="81"/>
      <x:c r="H33" s="81"/>
      <x:c r="I33" s="81"/>
      <x:c r="J33" s="81"/>
      <x:c r="K33" s="81"/>
      <x:c r="L33" s="81"/>
      <x:c r="M33" s="81"/>
      <x:c r="N33" s="81"/>
      <x:c r="O33" s="81"/>
      <x:c r="P33" s="81"/>
      <x:c r="Q33" s="81"/>
      <x:c r="R33" s="81"/>
      <x:c r="S33" s="81"/>
      <x:c r="T33" s="81"/>
      <x:c r="U33" s="81"/>
      <x:c r="V33" s="81"/>
      <x:c r="W33" s="81"/>
      <x:c r="X33" s="81"/>
      <x:c r="Y33" s="81"/>
      <x:c r="Z33" s="81"/>
    </x:row>
    <x:row r="34">
      <x:c r="A34" s="81" t="str">
        <x:v>2025-06-30</x:v>
      </x:c>
      <x:c r="B34" s="81" t="str">
        <x:v>DCDE</x:v>
      </x:c>
      <x:c r="C34" s="81" t="n">
        <x:v>30891.75</x:v>
      </x:c>
      <x:c r="D34" s="81" t="str">
        <x:v>S004</x:v>
      </x:c>
      <x:c r="E34" s="81" t="str">
        <x:v>Assumption</x:v>
      </x:c>
      <x:c r="F34" s="81"/>
      <x:c r="G34" s="81"/>
      <x:c r="H34" s="81"/>
      <x:c r="I34" s="81"/>
      <x:c r="J34" s="81"/>
      <x:c r="K34" s="81"/>
      <x:c r="L34" s="81"/>
      <x:c r="M34" s="81"/>
      <x:c r="N34" s="81"/>
      <x:c r="O34" s="81"/>
      <x:c r="P34" s="81"/>
      <x:c r="Q34" s="81"/>
      <x:c r="R34" s="81"/>
      <x:c r="S34" s="81"/>
      <x:c r="T34" s="81"/>
      <x:c r="U34" s="81"/>
      <x:c r="V34" s="81"/>
      <x:c r="W34" s="81"/>
      <x:c r="X34" s="81"/>
      <x:c r="Y34" s="81"/>
      <x:c r="Z34" s="81"/>
    </x:row>
    <x:row r="35">
      <x:c r="A35" s="81" t="str">
        <x:v>2025-06-30</x:v>
      </x:c>
      <x:c r="B35" s="81" t="str">
        <x:v>E1VFVN30</x:v>
      </x:c>
      <x:c r="C35" s="81" t="n">
        <x:v>24239.03</x:v>
      </x:c>
      <x:c r="D35" s="81" t="str">
        <x:v>S004</x:v>
      </x:c>
      <x:c r="E35" s="81" t="str">
        <x:v>Assumption</x:v>
      </x:c>
      <x:c r="F35" s="81"/>
      <x:c r="G35" s="81"/>
      <x:c r="H35" s="81"/>
      <x:c r="I35" s="81"/>
      <x:c r="J35" s="81"/>
      <x:c r="K35" s="81"/>
      <x:c r="L35" s="81"/>
      <x:c r="M35" s="81"/>
      <x:c r="N35" s="81"/>
      <x:c r="O35" s="81"/>
      <x:c r="P35" s="81"/>
      <x:c r="Q35" s="81"/>
      <x:c r="R35" s="81"/>
      <x:c r="S35" s="81"/>
      <x:c r="T35" s="81"/>
      <x:c r="U35" s="81"/>
      <x:c r="V35" s="81"/>
      <x:c r="W35" s="81"/>
      <x:c r="X35" s="81"/>
      <x:c r="Y35" s="81"/>
      <x:c r="Z35" s="81"/>
    </x:row>
    <x:row r="36">
      <x:c r="A36" s="81" t="str">
        <x:v>2025-06-30</x:v>
      </x:c>
      <x:c r="B36" s="81" t="str">
        <x:v>FUEVFVND</x:v>
      </x:c>
      <x:c r="C36" s="81" t="n">
        <x:v>25223.32</x:v>
      </x:c>
      <x:c r="D36" s="81" t="str">
        <x:v>S004</x:v>
      </x:c>
      <x:c r="E36" s="81" t="str">
        <x:v>Assumption</x:v>
      </x:c>
      <x:c r="F36" s="81"/>
      <x:c r="G36" s="81"/>
      <x:c r="H36" s="81"/>
      <x:c r="I36" s="81"/>
      <x:c r="J36" s="81"/>
      <x:c r="K36" s="81"/>
      <x:c r="L36" s="81"/>
      <x:c r="M36" s="81"/>
      <x:c r="N36" s="81"/>
      <x:c r="O36" s="81"/>
      <x:c r="P36" s="81"/>
      <x:c r="Q36" s="81"/>
      <x:c r="R36" s="81"/>
      <x:c r="S36" s="81"/>
      <x:c r="T36" s="81"/>
      <x:c r="U36" s="81"/>
      <x:c r="V36" s="81"/>
      <x:c r="W36" s="81"/>
      <x:c r="X36" s="81"/>
      <x:c r="Y36" s="81"/>
      <x:c r="Z36" s="81"/>
    </x:row>
    <x:row r="37">
      <x:c r="A37" s="81" t="str">
        <x:v>2025-06-30</x:v>
      </x:c>
      <x:c r="B37" s="81" t="str">
        <x:v>VEF_LOCAL</x:v>
      </x:c>
      <x:c r="C37" s="81" t="n">
        <x:v>111.64</x:v>
      </x:c>
      <x:c r="D37" s="81" t="str">
        <x:v>S004</x:v>
      </x:c>
      <x:c r="E37" s="81" t="str">
        <x:v>Assumption</x:v>
      </x:c>
      <x:c r="F37" s="81"/>
      <x:c r="G37" s="81"/>
      <x:c r="H37" s="81"/>
      <x:c r="I37" s="81"/>
      <x:c r="J37" s="81"/>
      <x:c r="K37" s="81"/>
      <x:c r="L37" s="81"/>
      <x:c r="M37" s="81"/>
      <x:c r="N37" s="81"/>
      <x:c r="O37" s="81"/>
      <x:c r="P37" s="81"/>
      <x:c r="Q37" s="81"/>
      <x:c r="R37" s="81"/>
      <x:c r="S37" s="81"/>
      <x:c r="T37" s="81"/>
      <x:c r="U37" s="81"/>
      <x:c r="V37" s="81"/>
      <x:c r="W37" s="81"/>
      <x:c r="X37" s="81"/>
      <x:c r="Y37" s="81"/>
      <x:c r="Z37" s="81"/>
    </x:row>
    <x:row r="38">
      <x:c r="A38" s="81" t="str">
        <x:v>2025-07-31</x:v>
      </x:c>
      <x:c r="B38" s="81" t="str">
        <x:v>DCDS</x:v>
      </x:c>
      <x:c r="C38" s="81" t="n">
        <x:v>75549.11</x:v>
      </x:c>
      <x:c r="D38" s="81" t="str">
        <x:v>S004</x:v>
      </x:c>
      <x:c r="E38" s="81" t="str">
        <x:v>Assumption</x:v>
      </x:c>
      <x:c r="F38" s="81"/>
      <x:c r="G38" s="81"/>
      <x:c r="H38" s="81"/>
      <x:c r="I38" s="81"/>
      <x:c r="J38" s="81"/>
      <x:c r="K38" s="81"/>
      <x:c r="L38" s="81"/>
      <x:c r="M38" s="81"/>
      <x:c r="N38" s="81"/>
      <x:c r="O38" s="81"/>
      <x:c r="P38" s="81"/>
      <x:c r="Q38" s="81"/>
      <x:c r="R38" s="81"/>
      <x:c r="S38" s="81"/>
      <x:c r="T38" s="81"/>
      <x:c r="U38" s="81"/>
      <x:c r="V38" s="81"/>
      <x:c r="W38" s="81"/>
      <x:c r="X38" s="81"/>
      <x:c r="Y38" s="81"/>
      <x:c r="Z38" s="81"/>
    </x:row>
    <x:row r="39">
      <x:c r="A39" s="81" t="str">
        <x:v>2025-07-31</x:v>
      </x:c>
      <x:c r="B39" s="81" t="str">
        <x:v>DCBF</x:v>
      </x:c>
      <x:c r="C39" s="81" t="n">
        <x:v>33234.49</x:v>
      </x:c>
      <x:c r="D39" s="81" t="str">
        <x:v>S004</x:v>
      </x:c>
      <x:c r="E39" s="81" t="str">
        <x:v>Assumption</x:v>
      </x:c>
      <x:c r="F39" s="81"/>
      <x:c r="G39" s="81"/>
      <x:c r="H39" s="81"/>
      <x:c r="I39" s="81"/>
      <x:c r="J39" s="81"/>
      <x:c r="K39" s="81"/>
      <x:c r="L39" s="81"/>
      <x:c r="M39" s="81"/>
      <x:c r="N39" s="81"/>
      <x:c r="O39" s="81"/>
      <x:c r="P39" s="81"/>
      <x:c r="Q39" s="81"/>
      <x:c r="R39" s="81"/>
      <x:c r="S39" s="81"/>
      <x:c r="T39" s="81"/>
      <x:c r="U39" s="81"/>
      <x:c r="V39" s="81"/>
      <x:c r="W39" s="81"/>
      <x:c r="X39" s="81"/>
      <x:c r="Y39" s="81"/>
      <x:c r="Z39" s="81"/>
    </x:row>
    <x:row r="40">
      <x:c r="A40" s="81" t="str">
        <x:v>2025-07-31</x:v>
      </x:c>
      <x:c r="B40" s="81" t="str">
        <x:v>DCDE</x:v>
      </x:c>
      <x:c r="C40" s="81" t="n">
        <x:v>31982.53</x:v>
      </x:c>
      <x:c r="D40" s="81" t="str">
        <x:v>S004</x:v>
      </x:c>
      <x:c r="E40" s="81" t="str">
        <x:v>Assumption</x:v>
      </x:c>
      <x:c r="F40" s="81"/>
      <x:c r="G40" s="81"/>
      <x:c r="H40" s="81"/>
      <x:c r="I40" s="81"/>
      <x:c r="J40" s="81"/>
      <x:c r="K40" s="81"/>
      <x:c r="L40" s="81"/>
      <x:c r="M40" s="81"/>
      <x:c r="N40" s="81"/>
      <x:c r="O40" s="81"/>
      <x:c r="P40" s="81"/>
      <x:c r="Q40" s="81"/>
      <x:c r="R40" s="81"/>
      <x:c r="S40" s="81"/>
      <x:c r="T40" s="81"/>
      <x:c r="U40" s="81"/>
      <x:c r="V40" s="81"/>
      <x:c r="W40" s="81"/>
      <x:c r="X40" s="81"/>
      <x:c r="Y40" s="81"/>
      <x:c r="Z40" s="81"/>
    </x:row>
    <x:row r="41">
      <x:c r="A41" s="81" t="str">
        <x:v>2025-07-31</x:v>
      </x:c>
      <x:c r="B41" s="81" t="str">
        <x:v>E1VFVN30</x:v>
      </x:c>
      <x:c r="C41" s="81" t="n">
        <x:v>23911.94</x:v>
      </x:c>
      <x:c r="D41" s="81" t="str">
        <x:v>S004</x:v>
      </x:c>
      <x:c r="E41" s="81" t="str">
        <x:v>Assumption</x:v>
      </x:c>
      <x:c r="F41" s="81"/>
      <x:c r="G41" s="81"/>
      <x:c r="H41" s="81"/>
      <x:c r="I41" s="81"/>
      <x:c r="J41" s="81"/>
      <x:c r="K41" s="81"/>
      <x:c r="L41" s="81"/>
      <x:c r="M41" s="81"/>
      <x:c r="N41" s="81"/>
      <x:c r="O41" s="81"/>
      <x:c r="P41" s="81"/>
      <x:c r="Q41" s="81"/>
      <x:c r="R41" s="81"/>
      <x:c r="S41" s="81"/>
      <x:c r="T41" s="81"/>
      <x:c r="U41" s="81"/>
      <x:c r="V41" s="81"/>
      <x:c r="W41" s="81"/>
      <x:c r="X41" s="81"/>
      <x:c r="Y41" s="81"/>
      <x:c r="Z41" s="81"/>
    </x:row>
    <x:row r="42">
      <x:c r="A42" s="81" t="str">
        <x:v>2025-07-31</x:v>
      </x:c>
      <x:c r="B42" s="81" t="str">
        <x:v>FUEVFVND</x:v>
      </x:c>
      <x:c r="C42" s="81" t="n">
        <x:v>25068.84</x:v>
      </x:c>
      <x:c r="D42" s="81" t="str">
        <x:v>S004</x:v>
      </x:c>
      <x:c r="E42" s="81" t="str">
        <x:v>Assumption</x:v>
      </x:c>
      <x:c r="F42" s="81"/>
      <x:c r="G42" s="81"/>
      <x:c r="H42" s="81"/>
      <x:c r="I42" s="81"/>
      <x:c r="J42" s="81"/>
      <x:c r="K42" s="81"/>
      <x:c r="L42" s="81"/>
      <x:c r="M42" s="81"/>
      <x:c r="N42" s="81"/>
      <x:c r="O42" s="81"/>
      <x:c r="P42" s="81"/>
      <x:c r="Q42" s="81"/>
      <x:c r="R42" s="81"/>
      <x:c r="S42" s="81"/>
      <x:c r="T42" s="81"/>
      <x:c r="U42" s="81"/>
      <x:c r="V42" s="81"/>
      <x:c r="W42" s="81"/>
      <x:c r="X42" s="81"/>
      <x:c r="Y42" s="81"/>
      <x:c r="Z42" s="81"/>
    </x:row>
    <x:row r="43">
      <x:c r="A43" s="81" t="str">
        <x:v>2025-07-31</x:v>
      </x:c>
      <x:c r="B43" s="81" t="str">
        <x:v>VEF_LOCAL</x:v>
      </x:c>
      <x:c r="C43" s="81" t="n">
        <x:v>109.66</x:v>
      </x:c>
      <x:c r="D43" s="81" t="str">
        <x:v>S004</x:v>
      </x:c>
      <x:c r="E43" s="81" t="str">
        <x:v>Assumption</x:v>
      </x:c>
      <x:c r="F43" s="81"/>
      <x:c r="G43" s="81"/>
      <x:c r="H43" s="81"/>
      <x:c r="I43" s="81"/>
      <x:c r="J43" s="81"/>
      <x:c r="K43" s="81"/>
      <x:c r="L43" s="81"/>
      <x:c r="M43" s="81"/>
      <x:c r="N43" s="81"/>
      <x:c r="O43" s="81"/>
      <x:c r="P43" s="81"/>
      <x:c r="Q43" s="81"/>
      <x:c r="R43" s="81"/>
      <x:c r="S43" s="81"/>
      <x:c r="T43" s="81"/>
      <x:c r="U43" s="81"/>
      <x:c r="V43" s="81"/>
      <x:c r="W43" s="81"/>
      <x:c r="X43" s="81"/>
      <x:c r="Y43" s="81"/>
      <x:c r="Z43" s="81"/>
    </x:row>
    <x:row r="44">
      <x:c r="A44" s="81" t="str">
        <x:v>2025-08-31</x:v>
      </x:c>
      <x:c r="B44" s="81" t="str">
        <x:v>DCDS</x:v>
      </x:c>
      <x:c r="C44" s="81" t="n">
        <x:v>78274.65</x:v>
      </x:c>
      <x:c r="D44" s="81" t="str">
        <x:v>S004</x:v>
      </x:c>
      <x:c r="E44" s="81" t="str">
        <x:v>Assumption</x:v>
      </x:c>
      <x:c r="F44" s="81"/>
      <x:c r="G44" s="81"/>
      <x:c r="H44" s="81"/>
      <x:c r="I44" s="81"/>
      <x:c r="J44" s="81"/>
      <x:c r="K44" s="81"/>
      <x:c r="L44" s="81"/>
      <x:c r="M44" s="81"/>
      <x:c r="N44" s="81"/>
      <x:c r="O44" s="81"/>
      <x:c r="P44" s="81"/>
      <x:c r="Q44" s="81"/>
      <x:c r="R44" s="81"/>
      <x:c r="S44" s="81"/>
      <x:c r="T44" s="81"/>
      <x:c r="U44" s="81"/>
      <x:c r="V44" s="81"/>
      <x:c r="W44" s="81"/>
      <x:c r="X44" s="81"/>
      <x:c r="Y44" s="81"/>
      <x:c r="Z44" s="81"/>
    </x:row>
    <x:row r="45">
      <x:c r="A45" s="81" t="str">
        <x:v>2025-08-31</x:v>
      </x:c>
      <x:c r="B45" s="81" t="str">
        <x:v>DCBF</x:v>
      </x:c>
      <x:c r="C45" s="81" t="n">
        <x:v>33307.16</x:v>
      </x:c>
      <x:c r="D45" s="81" t="str">
        <x:v>S004</x:v>
      </x:c>
      <x:c r="E45" s="81" t="str">
        <x:v>Assumption</x:v>
      </x:c>
      <x:c r="F45" s="81"/>
      <x:c r="G45" s="81"/>
      <x:c r="H45" s="81"/>
      <x:c r="I45" s="81"/>
      <x:c r="J45" s="81"/>
      <x:c r="K45" s="81"/>
      <x:c r="L45" s="81"/>
      <x:c r="M45" s="81"/>
      <x:c r="N45" s="81"/>
      <x:c r="O45" s="81"/>
      <x:c r="P45" s="81"/>
      <x:c r="Q45" s="81"/>
      <x:c r="R45" s="81"/>
      <x:c r="S45" s="81"/>
      <x:c r="T45" s="81"/>
      <x:c r="U45" s="81"/>
      <x:c r="V45" s="81"/>
      <x:c r="W45" s="81"/>
      <x:c r="X45" s="81"/>
      <x:c r="Y45" s="81"/>
      <x:c r="Z45" s="81"/>
    </x:row>
    <x:row r="46">
      <x:c r="A46" s="81" t="str">
        <x:v>2025-08-31</x:v>
      </x:c>
      <x:c r="B46" s="81" t="str">
        <x:v>DCDE</x:v>
      </x:c>
      <x:c r="C46" s="81" t="n">
        <x:v>33118.25</x:v>
      </x:c>
      <x:c r="D46" s="81" t="str">
        <x:v>S004</x:v>
      </x:c>
      <x:c r="E46" s="81" t="str">
        <x:v>Assumption</x:v>
      </x:c>
      <x:c r="F46" s="81"/>
      <x:c r="G46" s="81"/>
      <x:c r="H46" s="81"/>
      <x:c r="I46" s="81"/>
      <x:c r="J46" s="81"/>
      <x:c r="K46" s="81"/>
      <x:c r="L46" s="81"/>
      <x:c r="M46" s="81"/>
      <x:c r="N46" s="81"/>
      <x:c r="O46" s="81"/>
      <x:c r="P46" s="81"/>
      <x:c r="Q46" s="81"/>
      <x:c r="R46" s="81"/>
      <x:c r="S46" s="81"/>
      <x:c r="T46" s="81"/>
      <x:c r="U46" s="81"/>
      <x:c r="V46" s="81"/>
      <x:c r="W46" s="81"/>
      <x:c r="X46" s="81"/>
      <x:c r="Y46" s="81"/>
      <x:c r="Z46" s="81"/>
    </x:row>
    <x:row r="47">
      <x:c r="A47" s="81" t="str">
        <x:v>2025-08-31</x:v>
      </x:c>
      <x:c r="B47" s="81" t="str">
        <x:v>E1VFVN30</x:v>
      </x:c>
      <x:c r="C47" s="81" t="n">
        <x:v>23387.19</x:v>
      </x:c>
      <x:c r="D47" s="81" t="str">
        <x:v>S004</x:v>
      </x:c>
      <x:c r="E47" s="81" t="str">
        <x:v>Assumption</x:v>
      </x:c>
      <x:c r="F47" s="81"/>
      <x:c r="G47" s="81"/>
      <x:c r="H47" s="81"/>
      <x:c r="I47" s="81"/>
      <x:c r="J47" s="81"/>
      <x:c r="K47" s="81"/>
      <x:c r="L47" s="81"/>
      <x:c r="M47" s="81"/>
      <x:c r="N47" s="81"/>
      <x:c r="O47" s="81"/>
      <x:c r="P47" s="81"/>
      <x:c r="Q47" s="81"/>
      <x:c r="R47" s="81"/>
      <x:c r="S47" s="81"/>
      <x:c r="T47" s="81"/>
      <x:c r="U47" s="81"/>
      <x:c r="V47" s="81"/>
      <x:c r="W47" s="81"/>
      <x:c r="X47" s="81"/>
      <x:c r="Y47" s="81"/>
      <x:c r="Z47" s="81"/>
    </x:row>
    <x:row r="48">
      <x:c r="A48" s="81" t="str">
        <x:v>2025-08-31</x:v>
      </x:c>
      <x:c r="B48" s="81" t="str">
        <x:v>FUEVFVND</x:v>
      </x:c>
      <x:c r="C48" s="81" t="n">
        <x:v>24488.55</x:v>
      </x:c>
      <x:c r="D48" s="81" t="str">
        <x:v>S004</x:v>
      </x:c>
      <x:c r="E48" s="81" t="str">
        <x:v>Assumption</x:v>
      </x:c>
      <x:c r="F48" s="81"/>
      <x:c r="G48" s="81"/>
      <x:c r="H48" s="81"/>
      <x:c r="I48" s="81"/>
      <x:c r="J48" s="81"/>
      <x:c r="K48" s="81"/>
      <x:c r="L48" s="81"/>
      <x:c r="M48" s="81"/>
      <x:c r="N48" s="81"/>
      <x:c r="O48" s="81"/>
      <x:c r="P48" s="81"/>
      <x:c r="Q48" s="81"/>
      <x:c r="R48" s="81"/>
      <x:c r="S48" s="81"/>
      <x:c r="T48" s="81"/>
      <x:c r="U48" s="81"/>
      <x:c r="V48" s="81"/>
      <x:c r="W48" s="81"/>
      <x:c r="X48" s="81"/>
      <x:c r="Y48" s="81"/>
      <x:c r="Z48" s="81"/>
    </x:row>
    <x:row r="49">
      <x:c r="A49" s="81" t="str">
        <x:v>2025-08-31</x:v>
      </x:c>
      <x:c r="B49" s="81" t="str">
        <x:v>VEF_LOCAL</x:v>
      </x:c>
      <x:c r="C49" s="81" t="n">
        <x:v>113.04</x:v>
      </x:c>
      <x:c r="D49" s="81" t="str">
        <x:v>S004</x:v>
      </x:c>
      <x:c r="E49" s="81" t="str">
        <x:v>Assumption</x:v>
      </x:c>
      <x:c r="F49" s="81"/>
      <x:c r="G49" s="81"/>
      <x:c r="H49" s="81"/>
      <x:c r="I49" s="81"/>
      <x:c r="J49" s="81"/>
      <x:c r="K49" s="81"/>
      <x:c r="L49" s="81"/>
      <x:c r="M49" s="81"/>
      <x:c r="N49" s="81"/>
      <x:c r="O49" s="81"/>
      <x:c r="P49" s="81"/>
      <x:c r="Q49" s="81"/>
      <x:c r="R49" s="81"/>
      <x:c r="S49" s="81"/>
      <x:c r="T49" s="81"/>
      <x:c r="U49" s="81"/>
      <x:c r="V49" s="81"/>
      <x:c r="W49" s="81"/>
      <x:c r="X49" s="81"/>
      <x:c r="Y49" s="81"/>
      <x:c r="Z49" s="81"/>
    </x:row>
    <x:row r="50">
      <x:c r="A50" s="81" t="str">
        <x:v>2025-09-30</x:v>
      </x:c>
      <x:c r="B50" s="81" t="str">
        <x:v>DCDS</x:v>
      </x:c>
      <x:c r="C50" s="81" t="n">
        <x:v>78961.54</x:v>
      </x:c>
      <x:c r="D50" s="81" t="str">
        <x:v>S004</x:v>
      </x:c>
      <x:c r="E50" s="81" t="str">
        <x:v>Assumption</x:v>
      </x:c>
      <x:c r="F50" s="81"/>
      <x:c r="G50" s="81"/>
      <x:c r="H50" s="81"/>
      <x:c r="I50" s="81"/>
      <x:c r="J50" s="81"/>
      <x:c r="K50" s="81"/>
      <x:c r="L50" s="81"/>
      <x:c r="M50" s="81"/>
      <x:c r="N50" s="81"/>
      <x:c r="O50" s="81"/>
      <x:c r="P50" s="81"/>
      <x:c r="Q50" s="81"/>
      <x:c r="R50" s="81"/>
      <x:c r="S50" s="81"/>
      <x:c r="T50" s="81"/>
      <x:c r="U50" s="81"/>
      <x:c r="V50" s="81"/>
      <x:c r="W50" s="81"/>
      <x:c r="X50" s="81"/>
      <x:c r="Y50" s="81"/>
      <x:c r="Z50" s="81"/>
    </x:row>
    <x:row r="51">
      <x:c r="A51" s="81" t="str">
        <x:v>2025-09-30</x:v>
      </x:c>
      <x:c r="B51" s="81" t="str">
        <x:v>DCBF</x:v>
      </x:c>
      <x:c r="C51" s="81" t="n">
        <x:v>33672.17</x:v>
      </x:c>
      <x:c r="D51" s="81" t="str">
        <x:v>S004</x:v>
      </x:c>
      <x:c r="E51" s="81" t="str">
        <x:v>Assumption</x:v>
      </x:c>
      <x:c r="F51" s="81"/>
      <x:c r="G51" s="81"/>
      <x:c r="H51" s="81"/>
      <x:c r="I51" s="81"/>
      <x:c r="J51" s="81"/>
      <x:c r="K51" s="81"/>
      <x:c r="L51" s="81"/>
      <x:c r="M51" s="81"/>
      <x:c r="N51" s="81"/>
      <x:c r="O51" s="81"/>
      <x:c r="P51" s="81"/>
      <x:c r="Q51" s="81"/>
      <x:c r="R51" s="81"/>
      <x:c r="S51" s="81"/>
      <x:c r="T51" s="81"/>
      <x:c r="U51" s="81"/>
      <x:c r="V51" s="81"/>
      <x:c r="W51" s="81"/>
      <x:c r="X51" s="81"/>
      <x:c r="Y51" s="81"/>
      <x:c r="Z51" s="81"/>
    </x:row>
    <x:row r="52">
      <x:c r="A52" s="81" t="str">
        <x:v>2025-09-30</x:v>
      </x:c>
      <x:c r="B52" s="81" t="str">
        <x:v>DCDE</x:v>
      </x:c>
      <x:c r="C52" s="81" t="n">
        <x:v>33507.41</x:v>
      </x:c>
      <x:c r="D52" s="81" t="str">
        <x:v>S004</x:v>
      </x:c>
      <x:c r="E52" s="81" t="str">
        <x:v>Assumption</x:v>
      </x:c>
      <x:c r="F52" s="81"/>
      <x:c r="G52" s="81"/>
      <x:c r="H52" s="81"/>
      <x:c r="I52" s="81"/>
      <x:c r="J52" s="81"/>
      <x:c r="K52" s="81"/>
      <x:c r="L52" s="81"/>
      <x:c r="M52" s="81"/>
      <x:c r="N52" s="81"/>
      <x:c r="O52" s="81"/>
      <x:c r="P52" s="81"/>
      <x:c r="Q52" s="81"/>
      <x:c r="R52" s="81"/>
      <x:c r="S52" s="81"/>
      <x:c r="T52" s="81"/>
      <x:c r="U52" s="81"/>
      <x:c r="V52" s="81"/>
      <x:c r="W52" s="81"/>
      <x:c r="X52" s="81"/>
      <x:c r="Y52" s="81"/>
      <x:c r="Z52" s="81"/>
    </x:row>
    <x:row r="53">
      <x:c r="A53" s="81" t="str">
        <x:v>2025-09-30</x:v>
      </x:c>
      <x:c r="B53" s="81" t="str">
        <x:v>E1VFVN30</x:v>
      </x:c>
      <x:c r="C53" s="81" t="n">
        <x:v>23289.43</x:v>
      </x:c>
      <x:c r="D53" s="81" t="str">
        <x:v>S004</x:v>
      </x:c>
      <x:c r="E53" s="81" t="str">
        <x:v>Assumption</x:v>
      </x:c>
      <x:c r="F53" s="81"/>
      <x:c r="G53" s="81"/>
      <x:c r="H53" s="81"/>
      <x:c r="I53" s="81"/>
      <x:c r="J53" s="81"/>
      <x:c r="K53" s="81"/>
      <x:c r="L53" s="81"/>
      <x:c r="M53" s="81"/>
      <x:c r="N53" s="81"/>
      <x:c r="O53" s="81"/>
      <x:c r="P53" s="81"/>
      <x:c r="Q53" s="81"/>
      <x:c r="R53" s="81"/>
      <x:c r="S53" s="81"/>
      <x:c r="T53" s="81"/>
      <x:c r="U53" s="81"/>
      <x:c r="V53" s="81"/>
      <x:c r="W53" s="81"/>
      <x:c r="X53" s="81"/>
      <x:c r="Y53" s="81"/>
      <x:c r="Z53" s="81"/>
    </x:row>
    <x:row r="54">
      <x:c r="A54" s="81" t="str">
        <x:v>2025-09-30</x:v>
      </x:c>
      <x:c r="B54" s="81" t="str">
        <x:v>FUEVFVND</x:v>
      </x:c>
      <x:c r="C54" s="81" t="n">
        <x:v>24612.17</x:v>
      </x:c>
      <x:c r="D54" s="81" t="str">
        <x:v>S004</x:v>
      </x:c>
      <x:c r="E54" s="81" t="str">
        <x:v>Assumption</x:v>
      </x:c>
      <x:c r="F54" s="81"/>
      <x:c r="G54" s="81"/>
      <x:c r="H54" s="81"/>
      <x:c r="I54" s="81"/>
      <x:c r="J54" s="81"/>
      <x:c r="K54" s="81"/>
      <x:c r="L54" s="81"/>
      <x:c r="M54" s="81"/>
      <x:c r="N54" s="81"/>
      <x:c r="O54" s="81"/>
      <x:c r="P54" s="81"/>
      <x:c r="Q54" s="81"/>
      <x:c r="R54" s="81"/>
      <x:c r="S54" s="81"/>
      <x:c r="T54" s="81"/>
      <x:c r="U54" s="81"/>
      <x:c r="V54" s="81"/>
      <x:c r="W54" s="81"/>
      <x:c r="X54" s="81"/>
      <x:c r="Y54" s="81"/>
      <x:c r="Z54" s="81"/>
    </x:row>
    <x:row r="55">
      <x:c r="A55" s="81" t="str">
        <x:v>2025-09-30</x:v>
      </x:c>
      <x:c r="B55" s="81" t="str">
        <x:v>VEF_LOCAL</x:v>
      </x:c>
      <x:c r="C55" s="81" t="n">
        <x:v>111.68</x:v>
      </x:c>
      <x:c r="D55" s="81" t="str">
        <x:v>S004</x:v>
      </x:c>
      <x:c r="E55" s="81" t="str">
        <x:v>Assumption</x:v>
      </x:c>
      <x:c r="F55" s="81"/>
      <x:c r="G55" s="81"/>
      <x:c r="H55" s="81"/>
      <x:c r="I55" s="81"/>
      <x:c r="J55" s="81"/>
      <x:c r="K55" s="81"/>
      <x:c r="L55" s="81"/>
      <x:c r="M55" s="81"/>
      <x:c r="N55" s="81"/>
      <x:c r="O55" s="81"/>
      <x:c r="P55" s="81"/>
      <x:c r="Q55" s="81"/>
      <x:c r="R55" s="81"/>
      <x:c r="S55" s="81"/>
      <x:c r="T55" s="81"/>
      <x:c r="U55" s="81"/>
      <x:c r="V55" s="81"/>
      <x:c r="W55" s="81"/>
      <x:c r="X55" s="81"/>
      <x:c r="Y55" s="81"/>
      <x:c r="Z55" s="81"/>
    </x:row>
    <x:row r="56">
      <x:c r="A56" s="81" t="str">
        <x:v>2025-10-31</x:v>
      </x:c>
      <x:c r="B56" s="81" t="str">
        <x:v>DCDS</x:v>
      </x:c>
      <x:c r="C56" s="81" t="n">
        <x:v>77912.17</x:v>
      </x:c>
      <x:c r="D56" s="81" t="str">
        <x:v>S004</x:v>
      </x:c>
      <x:c r="E56" s="81" t="str">
        <x:v>Assumption</x:v>
      </x:c>
      <x:c r="F56" s="81"/>
      <x:c r="G56" s="81"/>
      <x:c r="H56" s="81"/>
      <x:c r="I56" s="81"/>
      <x:c r="J56" s="81"/>
      <x:c r="K56" s="81"/>
      <x:c r="L56" s="81"/>
      <x:c r="M56" s="81"/>
      <x:c r="N56" s="81"/>
      <x:c r="O56" s="81"/>
      <x:c r="P56" s="81"/>
      <x:c r="Q56" s="81"/>
      <x:c r="R56" s="81"/>
      <x:c r="S56" s="81"/>
      <x:c r="T56" s="81"/>
      <x:c r="U56" s="81"/>
      <x:c r="V56" s="81"/>
      <x:c r="W56" s="81"/>
      <x:c r="X56" s="81"/>
      <x:c r="Y56" s="81"/>
      <x:c r="Z56" s="81"/>
    </x:row>
    <x:row r="57">
      <x:c r="A57" s="81" t="str">
        <x:v>2025-10-31</x:v>
      </x:c>
      <x:c r="B57" s="81" t="str">
        <x:v>DCBF</x:v>
      </x:c>
      <x:c r="C57" s="81" t="n">
        <x:v>33911.16</x:v>
      </x:c>
      <x:c r="D57" s="81" t="str">
        <x:v>S004</x:v>
      </x:c>
      <x:c r="E57" s="81" t="str">
        <x:v>Assumption</x:v>
      </x:c>
      <x:c r="F57" s="81"/>
      <x:c r="G57" s="81"/>
      <x:c r="H57" s="81"/>
      <x:c r="I57" s="81"/>
      <x:c r="J57" s="81"/>
      <x:c r="K57" s="81"/>
      <x:c r="L57" s="81"/>
      <x:c r="M57" s="81"/>
      <x:c r="N57" s="81"/>
      <x:c r="O57" s="81"/>
      <x:c r="P57" s="81"/>
      <x:c r="Q57" s="81"/>
      <x:c r="R57" s="81"/>
      <x:c r="S57" s="81"/>
      <x:c r="T57" s="81"/>
      <x:c r="U57" s="81"/>
      <x:c r="V57" s="81"/>
      <x:c r="W57" s="81"/>
      <x:c r="X57" s="81"/>
      <x:c r="Y57" s="81"/>
      <x:c r="Z57" s="81"/>
    </x:row>
    <x:row r="58">
      <x:c r="A58" s="81" t="str">
        <x:v>2025-10-31</x:v>
      </x:c>
      <x:c r="B58" s="81" t="str">
        <x:v>DCDE</x:v>
      </x:c>
      <x:c r="C58" s="81" t="n">
        <x:v>34652.51</x:v>
      </x:c>
      <x:c r="D58" s="81" t="str">
        <x:v>S004</x:v>
      </x:c>
      <x:c r="E58" s="81" t="str">
        <x:v>Assumption</x:v>
      </x:c>
      <x:c r="F58" s="81"/>
      <x:c r="G58" s="81"/>
      <x:c r="H58" s="81"/>
      <x:c r="I58" s="81"/>
      <x:c r="J58" s="81"/>
      <x:c r="K58" s="81"/>
      <x:c r="L58" s="81"/>
      <x:c r="M58" s="81"/>
      <x:c r="N58" s="81"/>
      <x:c r="O58" s="81"/>
      <x:c r="P58" s="81"/>
      <x:c r="Q58" s="81"/>
      <x:c r="R58" s="81"/>
      <x:c r="S58" s="81"/>
      <x:c r="T58" s="81"/>
      <x:c r="U58" s="81"/>
      <x:c r="V58" s="81"/>
      <x:c r="W58" s="81"/>
      <x:c r="X58" s="81"/>
      <x:c r="Y58" s="81"/>
      <x:c r="Z58" s="81"/>
    </x:row>
    <x:row r="59">
      <x:c r="A59" s="81" t="str">
        <x:v>2025-10-31</x:v>
      </x:c>
      <x:c r="B59" s="81" t="str">
        <x:v>E1VFVN30</x:v>
      </x:c>
      <x:c r="C59" s="81" t="n">
        <x:v>23774.51</x:v>
      </x:c>
      <x:c r="D59" s="81" t="str">
        <x:v>S004</x:v>
      </x:c>
      <x:c r="E59" s="81" t="str">
        <x:v>Assumption</x:v>
      </x:c>
      <x:c r="F59" s="81"/>
      <x:c r="G59" s="81"/>
      <x:c r="H59" s="81"/>
      <x:c r="I59" s="81"/>
      <x:c r="J59" s="81"/>
      <x:c r="K59" s="81"/>
      <x:c r="L59" s="81"/>
      <x:c r="M59" s="81"/>
      <x:c r="N59" s="81"/>
      <x:c r="O59" s="81"/>
      <x:c r="P59" s="81"/>
      <x:c r="Q59" s="81"/>
      <x:c r="R59" s="81"/>
      <x:c r="S59" s="81"/>
      <x:c r="T59" s="81"/>
      <x:c r="U59" s="81"/>
      <x:c r="V59" s="81"/>
      <x:c r="W59" s="81"/>
      <x:c r="X59" s="81"/>
      <x:c r="Y59" s="81"/>
      <x:c r="Z59" s="81"/>
    </x:row>
    <x:row r="60">
      <x:c r="A60" s="81" t="str">
        <x:v>2025-10-31</x:v>
      </x:c>
      <x:c r="B60" s="81" t="str">
        <x:v>FUEVFVND</x:v>
      </x:c>
      <x:c r="C60" s="81" t="n">
        <x:v>25715.81</x:v>
      </x:c>
      <x:c r="D60" s="81" t="str">
        <x:v>S004</x:v>
      </x:c>
      <x:c r="E60" s="81" t="str">
        <x:v>Assumption</x:v>
      </x:c>
      <x:c r="F60" s="81"/>
      <x:c r="G60" s="81"/>
      <x:c r="H60" s="81"/>
      <x:c r="I60" s="81"/>
      <x:c r="J60" s="81"/>
      <x:c r="K60" s="81"/>
      <x:c r="L60" s="81"/>
      <x:c r="M60" s="81"/>
      <x:c r="N60" s="81"/>
      <x:c r="O60" s="81"/>
      <x:c r="P60" s="81"/>
      <x:c r="Q60" s="81"/>
      <x:c r="R60" s="81"/>
      <x:c r="S60" s="81"/>
      <x:c r="T60" s="81"/>
      <x:c r="U60" s="81"/>
      <x:c r="V60" s="81"/>
      <x:c r="W60" s="81"/>
      <x:c r="X60" s="81"/>
      <x:c r="Y60" s="81"/>
      <x:c r="Z60" s="81"/>
    </x:row>
    <x:row r="61">
      <x:c r="A61" s="81" t="str">
        <x:v>2025-10-31</x:v>
      </x:c>
      <x:c r="B61" s="81" t="str">
        <x:v>VEF_LOCAL</x:v>
      </x:c>
      <x:c r="C61" s="81" t="n">
        <x:v>115.34</x:v>
      </x:c>
      <x:c r="D61" s="81" t="str">
        <x:v>S004</x:v>
      </x:c>
      <x:c r="E61" s="81" t="str">
        <x:v>Assumption</x:v>
      </x:c>
      <x:c r="F61" s="81"/>
      <x:c r="G61" s="81"/>
      <x:c r="H61" s="81"/>
      <x:c r="I61" s="81"/>
      <x:c r="J61" s="81"/>
      <x:c r="K61" s="81"/>
      <x:c r="L61" s="81"/>
      <x:c r="M61" s="81"/>
      <x:c r="N61" s="81"/>
      <x:c r="O61" s="81"/>
      <x:c r="P61" s="81"/>
      <x:c r="Q61" s="81"/>
      <x:c r="R61" s="81"/>
      <x:c r="S61" s="81"/>
      <x:c r="T61" s="81"/>
      <x:c r="U61" s="81"/>
      <x:c r="V61" s="81"/>
      <x:c r="W61" s="81"/>
      <x:c r="X61" s="81"/>
      <x:c r="Y61" s="81"/>
      <x:c r="Z61" s="81"/>
    </x:row>
    <x:row r="62">
      <x:c r="A62" s="81" t="str">
        <x:v>2025-11-30</x:v>
      </x:c>
      <x:c r="B62" s="81" t="str">
        <x:v>DCDS</x:v>
      </x:c>
      <x:c r="C62" s="81" t="n">
        <x:v>75942.84</x:v>
      </x:c>
      <x:c r="D62" s="81" t="str">
        <x:v>S004</x:v>
      </x:c>
      <x:c r="E62" s="81" t="str">
        <x:v>Assumption</x:v>
      </x:c>
      <x:c r="F62" s="81"/>
      <x:c r="G62" s="81"/>
      <x:c r="H62" s="81"/>
      <x:c r="I62" s="81"/>
      <x:c r="J62" s="81"/>
      <x:c r="K62" s="81"/>
      <x:c r="L62" s="81"/>
      <x:c r="M62" s="81"/>
      <x:c r="N62" s="81"/>
      <x:c r="O62" s="81"/>
      <x:c r="P62" s="81"/>
      <x:c r="Q62" s="81"/>
      <x:c r="R62" s="81"/>
      <x:c r="S62" s="81"/>
      <x:c r="T62" s="81"/>
      <x:c r="U62" s="81"/>
      <x:c r="V62" s="81"/>
      <x:c r="W62" s="81"/>
      <x:c r="X62" s="81"/>
      <x:c r="Y62" s="81"/>
      <x:c r="Z62" s="81"/>
    </x:row>
    <x:row r="63">
      <x:c r="A63" s="81" t="str">
        <x:v>2025-11-30</x:v>
      </x:c>
      <x:c r="B63" s="81" t="str">
        <x:v>DCBF</x:v>
      </x:c>
      <x:c r="C63" s="81" t="n">
        <x:v>34062.82</x:v>
      </x:c>
      <x:c r="D63" s="81" t="str">
        <x:v>S004</x:v>
      </x:c>
      <x:c r="E63" s="81" t="str">
        <x:v>Assumption</x:v>
      </x:c>
      <x:c r="F63" s="81"/>
      <x:c r="G63" s="81"/>
      <x:c r="H63" s="81"/>
      <x:c r="I63" s="81"/>
      <x:c r="J63" s="81"/>
      <x:c r="K63" s="81"/>
      <x:c r="L63" s="81"/>
      <x:c r="M63" s="81"/>
      <x:c r="N63" s="81"/>
      <x:c r="O63" s="81"/>
      <x:c r="P63" s="81"/>
      <x:c r="Q63" s="81"/>
      <x:c r="R63" s="81"/>
      <x:c r="S63" s="81"/>
      <x:c r="T63" s="81"/>
      <x:c r="U63" s="81"/>
      <x:c r="V63" s="81"/>
      <x:c r="W63" s="81"/>
      <x:c r="X63" s="81"/>
      <x:c r="Y63" s="81"/>
      <x:c r="Z63" s="81"/>
    </x:row>
    <x:row r="64">
      <x:c r="A64" s="81" t="str">
        <x:v>2025-11-30</x:v>
      </x:c>
      <x:c r="B64" s="81" t="str">
        <x:v>DCDE</x:v>
      </x:c>
      <x:c r="C64" s="81" t="n">
        <x:v>36138.81</x:v>
      </x:c>
      <x:c r="D64" s="81" t="str">
        <x:v>S004</x:v>
      </x:c>
      <x:c r="E64" s="81" t="str">
        <x:v>Assumption</x:v>
      </x:c>
      <x:c r="F64" s="81"/>
      <x:c r="G64" s="81"/>
      <x:c r="H64" s="81"/>
      <x:c r="I64" s="81"/>
      <x:c r="J64" s="81"/>
      <x:c r="K64" s="81"/>
      <x:c r="L64" s="81"/>
      <x:c r="M64" s="81"/>
      <x:c r="N64" s="81"/>
      <x:c r="O64" s="81"/>
      <x:c r="P64" s="81"/>
      <x:c r="Q64" s="81"/>
      <x:c r="R64" s="81"/>
      <x:c r="S64" s="81"/>
      <x:c r="T64" s="81"/>
      <x:c r="U64" s="81"/>
      <x:c r="V64" s="81"/>
      <x:c r="W64" s="81"/>
      <x:c r="X64" s="81"/>
      <x:c r="Y64" s="81"/>
      <x:c r="Z64" s="81"/>
    </x:row>
    <x:row r="65">
      <x:c r="A65" s="81" t="str">
        <x:v>2025-11-30</x:v>
      </x:c>
      <x:c r="B65" s="81" t="str">
        <x:v>E1VFVN30</x:v>
      </x:c>
      <x:c r="C65" s="81" t="n">
        <x:v>23721.05</x:v>
      </x:c>
      <x:c r="D65" s="81" t="str">
        <x:v>S004</x:v>
      </x:c>
      <x:c r="E65" s="81" t="str">
        <x:v>Assumption</x:v>
      </x:c>
      <x:c r="F65" s="81"/>
      <x:c r="G65" s="81"/>
      <x:c r="H65" s="81"/>
      <x:c r="I65" s="81"/>
      <x:c r="J65" s="81"/>
      <x:c r="K65" s="81"/>
      <x:c r="L65" s="81"/>
      <x:c r="M65" s="81"/>
      <x:c r="N65" s="81"/>
      <x:c r="O65" s="81"/>
      <x:c r="P65" s="81"/>
      <x:c r="Q65" s="81"/>
      <x:c r="R65" s="81"/>
      <x:c r="S65" s="81"/>
      <x:c r="T65" s="81"/>
      <x:c r="U65" s="81"/>
      <x:c r="V65" s="81"/>
      <x:c r="W65" s="81"/>
      <x:c r="X65" s="81"/>
      <x:c r="Y65" s="81"/>
      <x:c r="Z65" s="81"/>
    </x:row>
    <x:row r="66">
      <x:c r="A66" s="81" t="str">
        <x:v>2025-11-30</x:v>
      </x:c>
      <x:c r="B66" s="81" t="str">
        <x:v>FUEVFVND</x:v>
      </x:c>
      <x:c r="C66" s="81" t="n">
        <x:v>25335.65</x:v>
      </x:c>
      <x:c r="D66" s="81" t="str">
        <x:v>S004</x:v>
      </x:c>
      <x:c r="E66" s="81" t="str">
        <x:v>Assumption</x:v>
      </x:c>
      <x:c r="F66" s="81"/>
      <x:c r="G66" s="81"/>
      <x:c r="H66" s="81"/>
      <x:c r="I66" s="81"/>
      <x:c r="J66" s="81"/>
      <x:c r="K66" s="81"/>
      <x:c r="L66" s="81"/>
      <x:c r="M66" s="81"/>
      <x:c r="N66" s="81"/>
      <x:c r="O66" s="81"/>
      <x:c r="P66" s="81"/>
      <x:c r="Q66" s="81"/>
      <x:c r="R66" s="81"/>
      <x:c r="S66" s="81"/>
      <x:c r="T66" s="81"/>
      <x:c r="U66" s="81"/>
      <x:c r="V66" s="81"/>
      <x:c r="W66" s="81"/>
      <x:c r="X66" s="81"/>
      <x:c r="Y66" s="81"/>
      <x:c r="Z66" s="81"/>
    </x:row>
    <x:row r="67">
      <x:c r="A67" s="81" t="str">
        <x:v>2025-11-30</x:v>
      </x:c>
      <x:c r="B67" s="81" t="str">
        <x:v>VEF_LOCAL</x:v>
      </x:c>
      <x:c r="C67" s="81" t="n">
        <x:v>114.45</x:v>
      </x:c>
      <x:c r="D67" s="81" t="str">
        <x:v>S004</x:v>
      </x:c>
      <x:c r="E67" s="81" t="str">
        <x:v>Assumption</x:v>
      </x:c>
      <x:c r="F67" s="81"/>
      <x:c r="G67" s="81"/>
      <x:c r="H67" s="81"/>
      <x:c r="I67" s="81"/>
      <x:c r="J67" s="81"/>
      <x:c r="K67" s="81"/>
      <x:c r="L67" s="81"/>
      <x:c r="M67" s="81"/>
      <x:c r="N67" s="81"/>
      <x:c r="O67" s="81"/>
      <x:c r="P67" s="81"/>
      <x:c r="Q67" s="81"/>
      <x:c r="R67" s="81"/>
      <x:c r="S67" s="81"/>
      <x:c r="T67" s="81"/>
      <x:c r="U67" s="81"/>
      <x:c r="V67" s="81"/>
      <x:c r="W67" s="81"/>
      <x:c r="X67" s="81"/>
      <x:c r="Y67" s="81"/>
      <x:c r="Z67" s="81"/>
    </x:row>
    <x:row r="68">
      <x:c r="A68" s="81" t="str">
        <x:v>2025-12-31</x:v>
      </x:c>
      <x:c r="B68" s="81" t="str">
        <x:v>DCDS</x:v>
      </x:c>
      <x:c r="C68" s="81" t="n">
        <x:v>76389.52</x:v>
      </x:c>
      <x:c r="D68" s="81" t="str">
        <x:v>S004</x:v>
      </x:c>
      <x:c r="E68" s="81" t="str">
        <x:v>Assumption</x:v>
      </x:c>
      <x:c r="F68" s="81"/>
      <x:c r="G68" s="81"/>
      <x:c r="H68" s="81"/>
      <x:c r="I68" s="81"/>
      <x:c r="J68" s="81"/>
      <x:c r="K68" s="81"/>
      <x:c r="L68" s="81"/>
      <x:c r="M68" s="81"/>
      <x:c r="N68" s="81"/>
      <x:c r="O68" s="81"/>
      <x:c r="P68" s="81"/>
      <x:c r="Q68" s="81"/>
      <x:c r="R68" s="81"/>
      <x:c r="S68" s="81"/>
      <x:c r="T68" s="81"/>
      <x:c r="U68" s="81"/>
      <x:c r="V68" s="81"/>
      <x:c r="W68" s="81"/>
      <x:c r="X68" s="81"/>
      <x:c r="Y68" s="81"/>
      <x:c r="Z68" s="81"/>
    </x:row>
    <x:row r="69">
      <x:c r="A69" s="81" t="str">
        <x:v>2025-12-31</x:v>
      </x:c>
      <x:c r="B69" s="81" t="str">
        <x:v>DCBF</x:v>
      </x:c>
      <x:c r="C69" s="81" t="n">
        <x:v>33988.2</x:v>
      </x:c>
      <x:c r="D69" s="81" t="str">
        <x:v>S004</x:v>
      </x:c>
      <x:c r="E69" s="81" t="str">
        <x:v>Assumption</x:v>
      </x:c>
      <x:c r="F69" s="81"/>
      <x:c r="G69" s="81"/>
      <x:c r="H69" s="81"/>
      <x:c r="I69" s="81"/>
      <x:c r="J69" s="81"/>
      <x:c r="K69" s="81"/>
      <x:c r="L69" s="81"/>
      <x:c r="M69" s="81"/>
      <x:c r="N69" s="81"/>
      <x:c r="O69" s="81"/>
      <x:c r="P69" s="81"/>
      <x:c r="Q69" s="81"/>
      <x:c r="R69" s="81"/>
      <x:c r="S69" s="81"/>
      <x:c r="T69" s="81"/>
      <x:c r="U69" s="81"/>
      <x:c r="V69" s="81"/>
      <x:c r="W69" s="81"/>
      <x:c r="X69" s="81"/>
      <x:c r="Y69" s="81"/>
      <x:c r="Z69" s="81"/>
    </x:row>
    <x:row r="70">
      <x:c r="A70" s="81" t="str">
        <x:v>2025-12-31</x:v>
      </x:c>
      <x:c r="B70" s="81" t="str">
        <x:v>DCDE</x:v>
      </x:c>
      <x:c r="C70" s="81" t="n">
        <x:v>37650.49</x:v>
      </x:c>
      <x:c r="D70" s="81" t="str">
        <x:v>S004</x:v>
      </x:c>
      <x:c r="E70" s="81" t="str">
        <x:v>Assumption</x:v>
      </x:c>
      <x:c r="F70" s="81"/>
      <x:c r="G70" s="81"/>
      <x:c r="H70" s="81"/>
      <x:c r="I70" s="81"/>
      <x:c r="J70" s="81"/>
      <x:c r="K70" s="81"/>
      <x:c r="L70" s="81"/>
      <x:c r="M70" s="81"/>
      <x:c r="N70" s="81"/>
      <x:c r="O70" s="81"/>
      <x:c r="P70" s="81"/>
      <x:c r="Q70" s="81"/>
      <x:c r="R70" s="81"/>
      <x:c r="S70" s="81"/>
      <x:c r="T70" s="81"/>
      <x:c r="U70" s="81"/>
      <x:c r="V70" s="81"/>
      <x:c r="W70" s="81"/>
      <x:c r="X70" s="81"/>
      <x:c r="Y70" s="81"/>
      <x:c r="Z70" s="81"/>
    </x:row>
    <x:row r="71">
      <x:c r="A71" s="81" t="str">
        <x:v>2025-12-31</x:v>
      </x:c>
      <x:c r="B71" s="81" t="str">
        <x:v>E1VFVN30</x:v>
      </x:c>
      <x:c r="C71" s="81" t="n">
        <x:v>23380.46</x:v>
      </x:c>
      <x:c r="D71" s="81" t="str">
        <x:v>S004</x:v>
      </x:c>
      <x:c r="E71" s="81" t="str">
        <x:v>Assumption</x:v>
      </x:c>
      <x:c r="F71" s="81"/>
      <x:c r="G71" s="81"/>
      <x:c r="H71" s="81"/>
      <x:c r="I71" s="81"/>
      <x:c r="J71" s="81"/>
      <x:c r="K71" s="81"/>
      <x:c r="L71" s="81"/>
      <x:c r="M71" s="81"/>
      <x:c r="N71" s="81"/>
      <x:c r="O71" s="81"/>
      <x:c r="P71" s="81"/>
      <x:c r="Q71" s="81"/>
      <x:c r="R71" s="81"/>
      <x:c r="S71" s="81"/>
      <x:c r="T71" s="81"/>
      <x:c r="U71" s="81"/>
      <x:c r="V71" s="81"/>
      <x:c r="W71" s="81"/>
      <x:c r="X71" s="81"/>
      <x:c r="Y71" s="81"/>
      <x:c r="Z71" s="81"/>
    </x:row>
    <x:row r="72">
      <x:c r="A72" s="81" t="str">
        <x:v>2025-12-31</x:v>
      </x:c>
      <x:c r="B72" s="81" t="str">
        <x:v>FUEVFVND</x:v>
      </x:c>
      <x:c r="C72" s="81" t="n">
        <x:v>25388.43</x:v>
      </x:c>
      <x:c r="D72" s="81" t="str">
        <x:v>S004</x:v>
      </x:c>
      <x:c r="E72" s="81" t="str">
        <x:v>Assumption</x:v>
      </x:c>
      <x:c r="F72" s="81"/>
      <x:c r="G72" s="81"/>
      <x:c r="H72" s="81"/>
      <x:c r="I72" s="81"/>
      <x:c r="J72" s="81"/>
      <x:c r="K72" s="81"/>
      <x:c r="L72" s="81"/>
      <x:c r="M72" s="81"/>
      <x:c r="N72" s="81"/>
      <x:c r="O72" s="81"/>
      <x:c r="P72" s="81"/>
      <x:c r="Q72" s="81"/>
      <x:c r="R72" s="81"/>
      <x:c r="S72" s="81"/>
      <x:c r="T72" s="81"/>
      <x:c r="U72" s="81"/>
      <x:c r="V72" s="81"/>
      <x:c r="W72" s="81"/>
      <x:c r="X72" s="81"/>
      <x:c r="Y72" s="81"/>
      <x:c r="Z72" s="81"/>
    </x:row>
    <x:row r="73">
      <x:c r="A73" s="81" t="str">
        <x:v>2025-12-31</x:v>
      </x:c>
      <x:c r="B73" s="81" t="str">
        <x:v>VEF_LOCAL</x:v>
      </x:c>
      <x:c r="C73" s="81" t="n">
        <x:v>120.04</x:v>
      </x:c>
      <x:c r="D73" s="81" t="str">
        <x:v>S004</x:v>
      </x:c>
      <x:c r="E73" s="81" t="str">
        <x:v>Assumption</x:v>
      </x:c>
      <x:c r="F73" s="81"/>
      <x:c r="G73" s="81"/>
      <x:c r="H73" s="81"/>
      <x:c r="I73" s="81"/>
      <x:c r="J73" s="81"/>
      <x:c r="K73" s="81"/>
      <x:c r="L73" s="81"/>
      <x:c r="M73" s="81"/>
      <x:c r="N73" s="81"/>
      <x:c r="O73" s="81"/>
      <x:c r="P73" s="81"/>
      <x:c r="Q73" s="81"/>
      <x:c r="R73" s="81"/>
      <x:c r="S73" s="81"/>
      <x:c r="T73" s="81"/>
      <x:c r="U73" s="81"/>
      <x:c r="V73" s="81"/>
      <x:c r="W73" s="81"/>
      <x:c r="X73" s="81"/>
      <x:c r="Y73" s="81"/>
      <x:c r="Z73" s="81"/>
    </x:row>
    <x:row r="74">
      <x:c r="A74" s="81" t="str">
        <x:v>2026-01-31</x:v>
      </x:c>
      <x:c r="B74" s="81" t="str">
        <x:v>DCDS</x:v>
      </x:c>
      <x:c r="C74" s="81" t="n">
        <x:v>76920.48</x:v>
      </x:c>
      <x:c r="D74" s="81" t="str">
        <x:v>S004</x:v>
      </x:c>
      <x:c r="E74" s="81" t="str">
        <x:v>Assumption</x:v>
      </x:c>
      <x:c r="F74" s="81"/>
      <x:c r="G74" s="81"/>
      <x:c r="H74" s="81"/>
      <x:c r="I74" s="81"/>
      <x:c r="J74" s="81"/>
      <x:c r="K74" s="81"/>
      <x:c r="L74" s="81"/>
      <x:c r="M74" s="81"/>
      <x:c r="N74" s="81"/>
      <x:c r="O74" s="81"/>
      <x:c r="P74" s="81"/>
      <x:c r="Q74" s="81"/>
      <x:c r="R74" s="81"/>
      <x:c r="S74" s="81"/>
      <x:c r="T74" s="81"/>
      <x:c r="U74" s="81"/>
      <x:c r="V74" s="81"/>
      <x:c r="W74" s="81"/>
      <x:c r="X74" s="81"/>
      <x:c r="Y74" s="81"/>
      <x:c r="Z74" s="81"/>
    </x:row>
    <x:row r="75">
      <x:c r="A75" s="81" t="str">
        <x:v>2026-01-31</x:v>
      </x:c>
      <x:c r="B75" s="81" t="str">
        <x:v>DCBF</x:v>
      </x:c>
      <x:c r="C75" s="81" t="n">
        <x:v>34427.56</x:v>
      </x:c>
      <x:c r="D75" s="81" t="str">
        <x:v>S004</x:v>
      </x:c>
      <x:c r="E75" s="81" t="str">
        <x:v>Assumption</x:v>
      </x:c>
      <x:c r="F75" s="81"/>
      <x:c r="G75" s="81"/>
      <x:c r="H75" s="81"/>
      <x:c r="I75" s="81"/>
      <x:c r="J75" s="81"/>
      <x:c r="K75" s="81"/>
      <x:c r="L75" s="81"/>
      <x:c r="M75" s="81"/>
      <x:c r="N75" s="81"/>
      <x:c r="O75" s="81"/>
      <x:c r="P75" s="81"/>
      <x:c r="Q75" s="81"/>
      <x:c r="R75" s="81"/>
      <x:c r="S75" s="81"/>
      <x:c r="T75" s="81"/>
      <x:c r="U75" s="81"/>
      <x:c r="V75" s="81"/>
      <x:c r="W75" s="81"/>
      <x:c r="X75" s="81"/>
      <x:c r="Y75" s="81"/>
      <x:c r="Z75" s="81"/>
    </x:row>
    <x:row r="76">
      <x:c r="A76" s="81" t="str">
        <x:v>2026-01-31</x:v>
      </x:c>
      <x:c r="B76" s="81" t="str">
        <x:v>DCDE</x:v>
      </x:c>
      <x:c r="C76" s="81" t="n">
        <x:v>37079.55</x:v>
      </x:c>
      <x:c r="D76" s="81" t="str">
        <x:v>S004</x:v>
      </x:c>
      <x:c r="E76" s="81" t="str">
        <x:v>Assumption</x:v>
      </x:c>
      <x:c r="F76" s="81"/>
      <x:c r="G76" s="81"/>
      <x:c r="H76" s="81"/>
      <x:c r="I76" s="81"/>
      <x:c r="J76" s="81"/>
      <x:c r="K76" s="81"/>
      <x:c r="L76" s="81"/>
      <x:c r="M76" s="81"/>
      <x:c r="N76" s="81"/>
      <x:c r="O76" s="81"/>
      <x:c r="P76" s="81"/>
      <x:c r="Q76" s="81"/>
      <x:c r="R76" s="81"/>
      <x:c r="S76" s="81"/>
      <x:c r="T76" s="81"/>
      <x:c r="U76" s="81"/>
      <x:c r="V76" s="81"/>
      <x:c r="W76" s="81"/>
      <x:c r="X76" s="81"/>
      <x:c r="Y76" s="81"/>
      <x:c r="Z76" s="81"/>
    </x:row>
    <x:row r="77">
      <x:c r="A77" s="81" t="str">
        <x:v>2026-01-31</x:v>
      </x:c>
      <x:c r="B77" s="81" t="str">
        <x:v>E1VFVN30</x:v>
      </x:c>
      <x:c r="C77" s="81" t="n">
        <x:v>23720.47</x:v>
      </x:c>
      <x:c r="D77" s="81" t="str">
        <x:v>S004</x:v>
      </x:c>
      <x:c r="E77" s="81" t="str">
        <x:v>Assumption</x:v>
      </x:c>
      <x:c r="F77" s="81"/>
      <x:c r="G77" s="81"/>
      <x:c r="H77" s="81"/>
      <x:c r="I77" s="81"/>
      <x:c r="J77" s="81"/>
      <x:c r="K77" s="81"/>
      <x:c r="L77" s="81"/>
      <x:c r="M77" s="81"/>
      <x:c r="N77" s="81"/>
      <x:c r="O77" s="81"/>
      <x:c r="P77" s="81"/>
      <x:c r="Q77" s="81"/>
      <x:c r="R77" s="81"/>
      <x:c r="S77" s="81"/>
      <x:c r="T77" s="81"/>
      <x:c r="U77" s="81"/>
      <x:c r="V77" s="81"/>
      <x:c r="W77" s="81"/>
      <x:c r="X77" s="81"/>
      <x:c r="Y77" s="81"/>
      <x:c r="Z77" s="81"/>
    </x:row>
    <x:row r="78">
      <x:c r="A78" s="81" t="str">
        <x:v>2026-01-31</x:v>
      </x:c>
      <x:c r="B78" s="81" t="str">
        <x:v>FUEVFVND</x:v>
      </x:c>
      <x:c r="C78" s="81" t="n">
        <x:v>24742.88</x:v>
      </x:c>
      <x:c r="D78" s="81" t="str">
        <x:v>S004</x:v>
      </x:c>
      <x:c r="E78" s="81" t="str">
        <x:v>Assumption</x:v>
      </x:c>
      <x:c r="F78" s="81"/>
      <x:c r="G78" s="81"/>
      <x:c r="H78" s="81"/>
      <x:c r="I78" s="81"/>
      <x:c r="J78" s="81"/>
      <x:c r="K78" s="81"/>
      <x:c r="L78" s="81"/>
      <x:c r="M78" s="81"/>
      <x:c r="N78" s="81"/>
      <x:c r="O78" s="81"/>
      <x:c r="P78" s="81"/>
      <x:c r="Q78" s="81"/>
      <x:c r="R78" s="81"/>
      <x:c r="S78" s="81"/>
      <x:c r="T78" s="81"/>
      <x:c r="U78" s="81"/>
      <x:c r="V78" s="81"/>
      <x:c r="W78" s="81"/>
      <x:c r="X78" s="81"/>
      <x:c r="Y78" s="81"/>
      <x:c r="Z78" s="81"/>
    </x:row>
    <x:row r="79">
      <x:c r="A79" s="81" t="str">
        <x:v>2026-01-31</x:v>
      </x:c>
      <x:c r="B79" s="81" t="str">
        <x:v>VEF_LOCAL</x:v>
      </x:c>
      <x:c r="C79" s="81" t="n">
        <x:v>124.63</x:v>
      </x:c>
      <x:c r="D79" s="81" t="str">
        <x:v>S004</x:v>
      </x:c>
      <x:c r="E79" s="81" t="str">
        <x:v>Assumption</x:v>
      </x:c>
      <x:c r="F79" s="81"/>
      <x:c r="G79" s="81"/>
      <x:c r="H79" s="81"/>
      <x:c r="I79" s="81"/>
      <x:c r="J79" s="81"/>
      <x:c r="K79" s="81"/>
      <x:c r="L79" s="81"/>
      <x:c r="M79" s="81"/>
      <x:c r="N79" s="81"/>
      <x:c r="O79" s="81"/>
      <x:c r="P79" s="81"/>
      <x:c r="Q79" s="81"/>
      <x:c r="R79" s="81"/>
      <x:c r="S79" s="81"/>
      <x:c r="T79" s="81"/>
      <x:c r="U79" s="81"/>
      <x:c r="V79" s="81"/>
      <x:c r="W79" s="81"/>
      <x:c r="X79" s="81"/>
      <x:c r="Y79" s="81"/>
      <x:c r="Z79" s="81"/>
    </x:row>
    <x:row r="80">
      <x:c r="A80" s="81" t="str">
        <x:v>2026-02-28</x:v>
      </x:c>
      <x:c r="B80" s="81" t="str">
        <x:v>DCDS</x:v>
      </x:c>
      <x:c r="C80" s="81" t="n">
        <x:v>74859.78</x:v>
      </x:c>
      <x:c r="D80" s="81" t="str">
        <x:v>S004</x:v>
      </x:c>
      <x:c r="E80" s="81" t="str">
        <x:v>Assumption</x:v>
      </x:c>
      <x:c r="F80" s="81"/>
      <x:c r="G80" s="81"/>
      <x:c r="H80" s="81"/>
      <x:c r="I80" s="81"/>
      <x:c r="J80" s="81"/>
      <x:c r="K80" s="81"/>
      <x:c r="L80" s="81"/>
      <x:c r="M80" s="81"/>
      <x:c r="N80" s="81"/>
      <x:c r="O80" s="81"/>
      <x:c r="P80" s="81"/>
      <x:c r="Q80" s="81"/>
      <x:c r="R80" s="81"/>
      <x:c r="S80" s="81"/>
      <x:c r="T80" s="81"/>
      <x:c r="U80" s="81"/>
      <x:c r="V80" s="81"/>
      <x:c r="W80" s="81"/>
      <x:c r="X80" s="81"/>
      <x:c r="Y80" s="81"/>
      <x:c r="Z80" s="81"/>
    </x:row>
    <x:row r="81">
      <x:c r="A81" s="81" t="str">
        <x:v>2026-02-28</x:v>
      </x:c>
      <x:c r="B81" s="81" t="str">
        <x:v>DCBF</x:v>
      </x:c>
      <x:c r="C81" s="81" t="n">
        <x:v>34696.21</x:v>
      </x:c>
      <x:c r="D81" s="81" t="str">
        <x:v>S004</x:v>
      </x:c>
      <x:c r="E81" s="81" t="str">
        <x:v>Assumption</x:v>
      </x:c>
      <x:c r="F81" s="81"/>
      <x:c r="G81" s="81"/>
      <x:c r="H81" s="81"/>
      <x:c r="I81" s="81"/>
      <x:c r="J81" s="81"/>
      <x:c r="K81" s="81"/>
      <x:c r="L81" s="81"/>
      <x:c r="M81" s="81"/>
      <x:c r="N81" s="81"/>
      <x:c r="O81" s="81"/>
      <x:c r="P81" s="81"/>
      <x:c r="Q81" s="81"/>
      <x:c r="R81" s="81"/>
      <x:c r="S81" s="81"/>
      <x:c r="T81" s="81"/>
      <x:c r="U81" s="81"/>
      <x:c r="V81" s="81"/>
      <x:c r="W81" s="81"/>
      <x:c r="X81" s="81"/>
      <x:c r="Y81" s="81"/>
      <x:c r="Z81" s="81"/>
    </x:row>
    <x:row r="82">
      <x:c r="A82" s="81" t="str">
        <x:v>2026-02-28</x:v>
      </x:c>
      <x:c r="B82" s="81" t="str">
        <x:v>DCDE</x:v>
      </x:c>
      <x:c r="C82" s="81" t="n">
        <x:v>38426.28</x:v>
      </x:c>
      <x:c r="D82" s="81" t="str">
        <x:v>S004</x:v>
      </x:c>
      <x:c r="E82" s="81" t="str">
        <x:v>Assumption</x:v>
      </x:c>
      <x:c r="F82" s="81"/>
      <x:c r="G82" s="81"/>
      <x:c r="H82" s="81"/>
      <x:c r="I82" s="81"/>
      <x:c r="J82" s="81"/>
      <x:c r="K82" s="81"/>
      <x:c r="L82" s="81"/>
      <x:c r="M82" s="81"/>
      <x:c r="N82" s="81"/>
      <x:c r="O82" s="81"/>
      <x:c r="P82" s="81"/>
      <x:c r="Q82" s="81"/>
      <x:c r="R82" s="81"/>
      <x:c r="S82" s="81"/>
      <x:c r="T82" s="81"/>
      <x:c r="U82" s="81"/>
      <x:c r="V82" s="81"/>
      <x:c r="W82" s="81"/>
      <x:c r="X82" s="81"/>
      <x:c r="Y82" s="81"/>
      <x:c r="Z82" s="81"/>
    </x:row>
    <x:row r="83">
      <x:c r="A83" s="81" t="str">
        <x:v>2026-02-28</x:v>
      </x:c>
      <x:c r="B83" s="81" t="str">
        <x:v>E1VFVN30</x:v>
      </x:c>
      <x:c r="C83" s="81" t="n">
        <x:v>23799.83</x:v>
      </x:c>
      <x:c r="D83" s="81" t="str">
        <x:v>S004</x:v>
      </x:c>
      <x:c r="E83" s="81" t="str">
        <x:v>Assumption</x:v>
      </x:c>
      <x:c r="F83" s="81"/>
      <x:c r="G83" s="81"/>
      <x:c r="H83" s="81"/>
      <x:c r="I83" s="81"/>
      <x:c r="J83" s="81"/>
      <x:c r="K83" s="81"/>
      <x:c r="L83" s="81"/>
      <x:c r="M83" s="81"/>
      <x:c r="N83" s="81"/>
      <x:c r="O83" s="81"/>
      <x:c r="P83" s="81"/>
      <x:c r="Q83" s="81"/>
      <x:c r="R83" s="81"/>
      <x:c r="S83" s="81"/>
      <x:c r="T83" s="81"/>
      <x:c r="U83" s="81"/>
      <x:c r="V83" s="81"/>
      <x:c r="W83" s="81"/>
      <x:c r="X83" s="81"/>
      <x:c r="Y83" s="81"/>
      <x:c r="Z83" s="81"/>
    </x:row>
    <x:row r="84">
      <x:c r="A84" s="81" t="str">
        <x:v>2026-02-28</x:v>
      </x:c>
      <x:c r="B84" s="81" t="str">
        <x:v>FUEVFVND</x:v>
      </x:c>
      <x:c r="C84" s="81" t="n">
        <x:v>24404.91</x:v>
      </x:c>
      <x:c r="D84" s="81" t="str">
        <x:v>S004</x:v>
      </x:c>
      <x:c r="E84" s="81" t="str">
        <x:v>Assumption</x:v>
      </x:c>
      <x:c r="F84" s="81"/>
      <x:c r="G84" s="81"/>
      <x:c r="H84" s="81"/>
      <x:c r="I84" s="81"/>
      <x:c r="J84" s="81"/>
      <x:c r="K84" s="81"/>
      <x:c r="L84" s="81"/>
      <x:c r="M84" s="81"/>
      <x:c r="N84" s="81"/>
      <x:c r="O84" s="81"/>
      <x:c r="P84" s="81"/>
      <x:c r="Q84" s="81"/>
      <x:c r="R84" s="81"/>
      <x:c r="S84" s="81"/>
      <x:c r="T84" s="81"/>
      <x:c r="U84" s="81"/>
      <x:c r="V84" s="81"/>
      <x:c r="W84" s="81"/>
      <x:c r="X84" s="81"/>
      <x:c r="Y84" s="81"/>
      <x:c r="Z84" s="81"/>
    </x:row>
    <x:row r="85">
      <x:c r="A85" s="81" t="str">
        <x:v>2026-02-28</x:v>
      </x:c>
      <x:c r="B85" s="81" t="str">
        <x:v>VEF_LOCAL</x:v>
      </x:c>
      <x:c r="C85" s="81" t="n">
        <x:v>124.84</x:v>
      </x:c>
      <x:c r="D85" s="81" t="str">
        <x:v>S004</x:v>
      </x:c>
      <x:c r="E85" s="81" t="str">
        <x:v>Assumption</x:v>
      </x:c>
      <x:c r="F85" s="81"/>
      <x:c r="G85" s="81"/>
      <x:c r="H85" s="81"/>
      <x:c r="I85" s="81"/>
      <x:c r="J85" s="81"/>
      <x:c r="K85" s="81"/>
      <x:c r="L85" s="81"/>
      <x:c r="M85" s="81"/>
      <x:c r="N85" s="81"/>
      <x:c r="O85" s="81"/>
      <x:c r="P85" s="81"/>
      <x:c r="Q85" s="81"/>
      <x:c r="R85" s="81"/>
      <x:c r="S85" s="81"/>
      <x:c r="T85" s="81"/>
      <x:c r="U85" s="81"/>
      <x:c r="V85" s="81"/>
      <x:c r="W85" s="81"/>
      <x:c r="X85" s="81"/>
      <x:c r="Y85" s="81"/>
      <x:c r="Z85" s="81"/>
    </x:row>
    <x:row r="86">
      <x:c r="A86" s="81" t="str">
        <x:v>2026-03-31</x:v>
      </x:c>
      <x:c r="B86" s="81" t="str">
        <x:v>DCDS</x:v>
      </x:c>
      <x:c r="C86" s="81" t="n">
        <x:v>74444.75</x:v>
      </x:c>
      <x:c r="D86" s="81" t="str">
        <x:v>S004</x:v>
      </x:c>
      <x:c r="E86" s="81" t="str">
        <x:v>Assumption</x:v>
      </x:c>
      <x:c r="F86" s="81"/>
      <x:c r="G86" s="81"/>
      <x:c r="H86" s="81"/>
      <x:c r="I86" s="81"/>
      <x:c r="J86" s="81"/>
      <x:c r="K86" s="81"/>
      <x:c r="L86" s="81"/>
      <x:c r="M86" s="81"/>
      <x:c r="N86" s="81"/>
      <x:c r="O86" s="81"/>
      <x:c r="P86" s="81"/>
      <x:c r="Q86" s="81"/>
      <x:c r="R86" s="81"/>
      <x:c r="S86" s="81"/>
      <x:c r="T86" s="81"/>
      <x:c r="U86" s="81"/>
      <x:c r="V86" s="81"/>
      <x:c r="W86" s="81"/>
      <x:c r="X86" s="81"/>
      <x:c r="Y86" s="81"/>
      <x:c r="Z86" s="81"/>
    </x:row>
    <x:row r="87">
      <x:c r="A87" s="81" t="str">
        <x:v>2026-03-31</x:v>
      </x:c>
      <x:c r="B87" s="81" t="str">
        <x:v>DCBF</x:v>
      </x:c>
      <x:c r="C87" s="81" t="n">
        <x:v>34846.53</x:v>
      </x:c>
      <x:c r="D87" s="81" t="str">
        <x:v>S004</x:v>
      </x:c>
      <x:c r="E87" s="81" t="str">
        <x:v>Assumption</x:v>
      </x:c>
      <x:c r="F87" s="81"/>
      <x:c r="G87" s="81"/>
      <x:c r="H87" s="81"/>
      <x:c r="I87" s="81"/>
      <x:c r="J87" s="81"/>
      <x:c r="K87" s="81"/>
      <x:c r="L87" s="81"/>
      <x:c r="M87" s="81"/>
      <x:c r="N87" s="81"/>
      <x:c r="O87" s="81"/>
      <x:c r="P87" s="81"/>
      <x:c r="Q87" s="81"/>
      <x:c r="R87" s="81"/>
      <x:c r="S87" s="81"/>
      <x:c r="T87" s="81"/>
      <x:c r="U87" s="81"/>
      <x:c r="V87" s="81"/>
      <x:c r="W87" s="81"/>
      <x:c r="X87" s="81"/>
      <x:c r="Y87" s="81"/>
      <x:c r="Z87" s="81"/>
    </x:row>
    <x:row r="88">
      <x:c r="A88" s="81" t="str">
        <x:v>2026-03-31</x:v>
      </x:c>
      <x:c r="B88" s="81" t="str">
        <x:v>DCDE</x:v>
      </x:c>
      <x:c r="C88" s="81" t="n">
        <x:v>37624.26</x:v>
      </x:c>
      <x:c r="D88" s="81" t="str">
        <x:v>S004</x:v>
      </x:c>
      <x:c r="E88" s="81" t="str">
        <x:v>Assumption</x:v>
      </x:c>
      <x:c r="F88" s="81"/>
      <x:c r="G88" s="81"/>
      <x:c r="H88" s="81"/>
      <x:c r="I88" s="81"/>
      <x:c r="J88" s="81"/>
      <x:c r="K88" s="81"/>
      <x:c r="L88" s="81"/>
      <x:c r="M88" s="81"/>
      <x:c r="N88" s="81"/>
      <x:c r="O88" s="81"/>
      <x:c r="P88" s="81"/>
      <x:c r="Q88" s="81"/>
      <x:c r="R88" s="81"/>
      <x:c r="S88" s="81"/>
      <x:c r="T88" s="81"/>
      <x:c r="U88" s="81"/>
      <x:c r="V88" s="81"/>
      <x:c r="W88" s="81"/>
      <x:c r="X88" s="81"/>
      <x:c r="Y88" s="81"/>
      <x:c r="Z88" s="81"/>
    </x:row>
    <x:row r="89">
      <x:c r="A89" s="81" t="str">
        <x:v>2026-03-31</x:v>
      </x:c>
      <x:c r="B89" s="81" t="str">
        <x:v>E1VFVN30</x:v>
      </x:c>
      <x:c r="C89" s="81" t="n">
        <x:v>24648.54</x:v>
      </x:c>
      <x:c r="D89" s="81" t="str">
        <x:v>S004</x:v>
      </x:c>
      <x:c r="E89" s="81" t="str">
        <x:v>Assumption</x:v>
      </x:c>
      <x:c r="F89" s="81"/>
      <x:c r="G89" s="81"/>
      <x:c r="H89" s="81"/>
      <x:c r="I89" s="81"/>
      <x:c r="J89" s="81"/>
      <x:c r="K89" s="81"/>
      <x:c r="L89" s="81"/>
      <x:c r="M89" s="81"/>
      <x:c r="N89" s="81"/>
      <x:c r="O89" s="81"/>
      <x:c r="P89" s="81"/>
      <x:c r="Q89" s="81"/>
      <x:c r="R89" s="81"/>
      <x:c r="S89" s="81"/>
      <x:c r="T89" s="81"/>
      <x:c r="U89" s="81"/>
      <x:c r="V89" s="81"/>
      <x:c r="W89" s="81"/>
      <x:c r="X89" s="81"/>
      <x:c r="Y89" s="81"/>
      <x:c r="Z89" s="81"/>
    </x:row>
    <x:row r="90">
      <x:c r="A90" s="81" t="str">
        <x:v>2026-03-31</x:v>
      </x:c>
      <x:c r="B90" s="81" t="str">
        <x:v>FUEVFVND</x:v>
      </x:c>
      <x:c r="C90" s="81" t="n">
        <x:v>25300.56</x:v>
      </x:c>
      <x:c r="D90" s="81" t="str">
        <x:v>S004</x:v>
      </x:c>
      <x:c r="E90" s="81" t="str">
        <x:v>Assumption</x:v>
      </x:c>
      <x:c r="F90" s="81"/>
      <x:c r="G90" s="81"/>
      <x:c r="H90" s="81"/>
      <x:c r="I90" s="81"/>
      <x:c r="J90" s="81"/>
      <x:c r="K90" s="81"/>
      <x:c r="L90" s="81"/>
      <x:c r="M90" s="81"/>
      <x:c r="N90" s="81"/>
      <x:c r="O90" s="81"/>
      <x:c r="P90" s="81"/>
      <x:c r="Q90" s="81"/>
      <x:c r="R90" s="81"/>
      <x:c r="S90" s="81"/>
      <x:c r="T90" s="81"/>
      <x:c r="U90" s="81"/>
      <x:c r="V90" s="81"/>
      <x:c r="W90" s="81"/>
      <x:c r="X90" s="81"/>
      <x:c r="Y90" s="81"/>
      <x:c r="Z90" s="81"/>
    </x:row>
    <x:row r="91">
      <x:c r="A91" s="81" t="str">
        <x:v>2026-03-31</x:v>
      </x:c>
      <x:c r="B91" s="81" t="str">
        <x:v>VEF_LOCAL</x:v>
      </x:c>
      <x:c r="C91" s="81" t="n">
        <x:v>130.95</x:v>
      </x:c>
      <x:c r="D91" s="81" t="str">
        <x:v>S004</x:v>
      </x:c>
      <x:c r="E91" s="81" t="str">
        <x:v>Assumption</x:v>
      </x:c>
      <x:c r="F91" s="81"/>
      <x:c r="G91" s="81"/>
      <x:c r="H91" s="81"/>
      <x:c r="I91" s="81"/>
      <x:c r="J91" s="81"/>
      <x:c r="K91" s="81"/>
      <x:c r="L91" s="81"/>
      <x:c r="M91" s="81"/>
      <x:c r="N91" s="81"/>
      <x:c r="O91" s="81"/>
      <x:c r="P91" s="81"/>
      <x:c r="Q91" s="81"/>
      <x:c r="R91" s="81"/>
      <x:c r="S91" s="81"/>
      <x:c r="T91" s="81"/>
      <x:c r="U91" s="81"/>
      <x:c r="V91" s="81"/>
      <x:c r="W91" s="81"/>
      <x:c r="X91" s="81"/>
      <x:c r="Y91" s="81"/>
      <x:c r="Z91" s="81"/>
    </x:row>
    <x:row r="92">
      <x:c r="A92" s="81" t="str">
        <x:v>2026-04-30</x:v>
      </x:c>
      <x:c r="B92" s="81" t="str">
        <x:v>DCDS</x:v>
      </x:c>
      <x:c r="C92" s="81" t="n">
        <x:v>77388.25</x:v>
      </x:c>
      <x:c r="D92" s="81" t="str">
        <x:v>S004</x:v>
      </x:c>
      <x:c r="E92" s="81" t="str">
        <x:v>Assumption</x:v>
      </x:c>
      <x:c r="F92" s="81"/>
      <x:c r="G92" s="81"/>
      <x:c r="H92" s="81"/>
      <x:c r="I92" s="81"/>
      <x:c r="J92" s="81"/>
      <x:c r="K92" s="81"/>
      <x:c r="L92" s="81"/>
      <x:c r="M92" s="81"/>
      <x:c r="N92" s="81"/>
      <x:c r="O92" s="81"/>
      <x:c r="P92" s="81"/>
      <x:c r="Q92" s="81"/>
      <x:c r="R92" s="81"/>
      <x:c r="S92" s="81"/>
      <x:c r="T92" s="81"/>
      <x:c r="U92" s="81"/>
      <x:c r="V92" s="81"/>
      <x:c r="W92" s="81"/>
      <x:c r="X92" s="81"/>
      <x:c r="Y92" s="81"/>
      <x:c r="Z92" s="81"/>
    </x:row>
    <x:row r="93">
      <x:c r="A93" s="81" t="str">
        <x:v>2026-04-30</x:v>
      </x:c>
      <x:c r="B93" s="81" t="str">
        <x:v>DCBF</x:v>
      </x:c>
      <x:c r="C93" s="81" t="n">
        <x:v>35265.49</x:v>
      </x:c>
      <x:c r="D93" s="81" t="str">
        <x:v>S004</x:v>
      </x:c>
      <x:c r="E93" s="81" t="str">
        <x:v>Assumption</x:v>
      </x:c>
      <x:c r="F93" s="81"/>
      <x:c r="G93" s="81"/>
      <x:c r="H93" s="81"/>
      <x:c r="I93" s="81"/>
      <x:c r="J93" s="81"/>
      <x:c r="K93" s="81"/>
      <x:c r="L93" s="81"/>
      <x:c r="M93" s="81"/>
      <x:c r="N93" s="81"/>
      <x:c r="O93" s="81"/>
      <x:c r="P93" s="81"/>
      <x:c r="Q93" s="81"/>
      <x:c r="R93" s="81"/>
      <x:c r="S93" s="81"/>
      <x:c r="T93" s="81"/>
      <x:c r="U93" s="81"/>
      <x:c r="V93" s="81"/>
      <x:c r="W93" s="81"/>
      <x:c r="X93" s="81"/>
      <x:c r="Y93" s="81"/>
      <x:c r="Z93" s="81"/>
    </x:row>
    <x:row r="94">
      <x:c r="A94" s="81" t="str">
        <x:v>2026-04-30</x:v>
      </x:c>
      <x:c r="B94" s="81" t="str">
        <x:v>DCDE</x:v>
      </x:c>
      <x:c r="C94" s="81" t="n">
        <x:v>36927.93</x:v>
      </x:c>
      <x:c r="D94" s="81" t="str">
        <x:v>S004</x:v>
      </x:c>
      <x:c r="E94" s="81" t="str">
        <x:v>Assumption</x:v>
      </x:c>
      <x:c r="F94" s="81"/>
      <x:c r="G94" s="81"/>
      <x:c r="H94" s="81"/>
      <x:c r="I94" s="81"/>
      <x:c r="J94" s="81"/>
      <x:c r="K94" s="81"/>
      <x:c r="L94" s="81"/>
      <x:c r="M94" s="81"/>
      <x:c r="N94" s="81"/>
      <x:c r="O94" s="81"/>
      <x:c r="P94" s="81"/>
      <x:c r="Q94" s="81"/>
      <x:c r="R94" s="81"/>
      <x:c r="S94" s="81"/>
      <x:c r="T94" s="81"/>
      <x:c r="U94" s="81"/>
      <x:c r="V94" s="81"/>
      <x:c r="W94" s="81"/>
      <x:c r="X94" s="81"/>
      <x:c r="Y94" s="81"/>
      <x:c r="Z94" s="81"/>
    </x:row>
    <x:row r="95">
      <x:c r="A95" s="81" t="str">
        <x:v>2026-04-30</x:v>
      </x:c>
      <x:c r="B95" s="81" t="str">
        <x:v>E1VFVN30</x:v>
      </x:c>
      <x:c r="C95" s="81" t="n">
        <x:v>25245.84</x:v>
      </x:c>
      <x:c r="D95" s="81" t="str">
        <x:v>S004</x:v>
      </x:c>
      <x:c r="E95" s="81" t="str">
        <x:v>Assumption</x:v>
      </x:c>
      <x:c r="F95" s="81"/>
      <x:c r="G95" s="81"/>
      <x:c r="H95" s="81"/>
      <x:c r="I95" s="81"/>
      <x:c r="J95" s="81"/>
      <x:c r="K95" s="81"/>
      <x:c r="L95" s="81"/>
      <x:c r="M95" s="81"/>
      <x:c r="N95" s="81"/>
      <x:c r="O95" s="81"/>
      <x:c r="P95" s="81"/>
      <x:c r="Q95" s="81"/>
      <x:c r="R95" s="81"/>
      <x:c r="S95" s="81"/>
      <x:c r="T95" s="81"/>
      <x:c r="U95" s="81"/>
      <x:c r="V95" s="81"/>
      <x:c r="W95" s="81"/>
      <x:c r="X95" s="81"/>
      <x:c r="Y95" s="81"/>
      <x:c r="Z95" s="81"/>
    </x:row>
    <x:row r="96">
      <x:c r="A96" s="81" t="str">
        <x:v>2026-04-30</x:v>
      </x:c>
      <x:c r="B96" s="81" t="str">
        <x:v>FUEVFVND</x:v>
      </x:c>
      <x:c r="C96" s="81" t="n">
        <x:v>25530.35</x:v>
      </x:c>
      <x:c r="D96" s="81" t="str">
        <x:v>S004</x:v>
      </x:c>
      <x:c r="E96" s="81" t="str">
        <x:v>Assumption</x:v>
      </x:c>
      <x:c r="F96" s="81"/>
      <x:c r="G96" s="81"/>
      <x:c r="H96" s="81"/>
      <x:c r="I96" s="81"/>
      <x:c r="J96" s="81"/>
      <x:c r="K96" s="81"/>
      <x:c r="L96" s="81"/>
      <x:c r="M96" s="81"/>
      <x:c r="N96" s="81"/>
      <x:c r="O96" s="81"/>
      <x:c r="P96" s="81"/>
      <x:c r="Q96" s="81"/>
      <x:c r="R96" s="81"/>
      <x:c r="S96" s="81"/>
      <x:c r="T96" s="81"/>
      <x:c r="U96" s="81"/>
      <x:c r="V96" s="81"/>
      <x:c r="W96" s="81"/>
      <x:c r="X96" s="81"/>
      <x:c r="Y96" s="81"/>
      <x:c r="Z96" s="81"/>
    </x:row>
    <x:row r="97">
      <x:c r="A97" s="81" t="str">
        <x:v>2026-04-30</x:v>
      </x:c>
      <x:c r="B97" s="81" t="str">
        <x:v>VEF_LOCAL</x:v>
      </x:c>
      <x:c r="C97" s="81" t="n">
        <x:v>127.99</x:v>
      </x:c>
      <x:c r="D97" s="81" t="str">
        <x:v>S004</x:v>
      </x:c>
      <x:c r="E97" s="81" t="str">
        <x:v>Assumption</x:v>
      </x:c>
      <x:c r="F97" s="81"/>
      <x:c r="G97" s="81"/>
      <x:c r="H97" s="81"/>
      <x:c r="I97" s="81"/>
      <x:c r="J97" s="81"/>
      <x:c r="K97" s="81"/>
      <x:c r="L97" s="81"/>
      <x:c r="M97" s="81"/>
      <x:c r="N97" s="81"/>
      <x:c r="O97" s="81"/>
      <x:c r="P97" s="81"/>
      <x:c r="Q97" s="81"/>
      <x:c r="R97" s="81"/>
      <x:c r="S97" s="81"/>
      <x:c r="T97" s="81"/>
      <x:c r="U97" s="81"/>
      <x:c r="V97" s="81"/>
      <x:c r="W97" s="81"/>
      <x:c r="X97" s="81"/>
      <x:c r="Y97" s="81"/>
      <x:c r="Z97" s="81"/>
    </x:row>
    <x:row r="98">
      <x:c r="A98" s="81" t="str">
        <x:v>2026-05-31</x:v>
      </x:c>
      <x:c r="B98" s="81" t="str">
        <x:v>DCDS</x:v>
      </x:c>
      <x:c r="C98" s="81" t="n">
        <x:v>74781.75</x:v>
      </x:c>
      <x:c r="D98" s="81" t="str">
        <x:v>S004</x:v>
      </x:c>
      <x:c r="E98" s="81" t="str">
        <x:v>Assumption</x:v>
      </x:c>
      <x:c r="F98" s="81"/>
      <x:c r="G98" s="81"/>
      <x:c r="H98" s="81"/>
      <x:c r="I98" s="81"/>
      <x:c r="J98" s="81"/>
      <x:c r="K98" s="81"/>
      <x:c r="L98" s="81"/>
      <x:c r="M98" s="81"/>
      <x:c r="N98" s="81"/>
      <x:c r="O98" s="81"/>
      <x:c r="P98" s="81"/>
      <x:c r="Q98" s="81"/>
      <x:c r="R98" s="81"/>
      <x:c r="S98" s="81"/>
      <x:c r="T98" s="81"/>
      <x:c r="U98" s="81"/>
      <x:c r="V98" s="81"/>
      <x:c r="W98" s="81"/>
      <x:c r="X98" s="81"/>
      <x:c r="Y98" s="81"/>
      <x:c r="Z98" s="81"/>
    </x:row>
    <x:row r="99">
      <x:c r="A99" s="81" t="str">
        <x:v>2026-05-31</x:v>
      </x:c>
      <x:c r="B99" s="81" t="str">
        <x:v>DCBF</x:v>
      </x:c>
      <x:c r="C99" s="81" t="n">
        <x:v>35307.5</x:v>
      </x:c>
      <x:c r="D99" s="81" t="str">
        <x:v>S004</x:v>
      </x:c>
      <x:c r="E99" s="81" t="str">
        <x:v>Assumption</x:v>
      </x:c>
      <x:c r="F99" s="81"/>
      <x:c r="G99" s="81"/>
      <x:c r="H99" s="81"/>
      <x:c r="I99" s="81"/>
      <x:c r="J99" s="81"/>
      <x:c r="K99" s="81"/>
      <x:c r="L99" s="81"/>
      <x:c r="M99" s="81"/>
      <x:c r="N99" s="81"/>
      <x:c r="O99" s="81"/>
      <x:c r="P99" s="81"/>
      <x:c r="Q99" s="81"/>
      <x:c r="R99" s="81"/>
      <x:c r="S99" s="81"/>
      <x:c r="T99" s="81"/>
      <x:c r="U99" s="81"/>
      <x:c r="V99" s="81"/>
      <x:c r="W99" s="81"/>
      <x:c r="X99" s="81"/>
      <x:c r="Y99" s="81"/>
      <x:c r="Z99" s="81"/>
    </x:row>
    <x:row r="100">
      <x:c r="A100" s="81" t="str">
        <x:v>2026-05-31</x:v>
      </x:c>
      <x:c r="B100" s="81" t="str">
        <x:v>DCDE</x:v>
      </x:c>
      <x:c r="C100" s="81" t="n">
        <x:v>37073.36</x:v>
      </x:c>
      <x:c r="D100" s="81" t="str">
        <x:v>S004</x:v>
      </x:c>
      <x:c r="E100" s="81" t="str">
        <x:v>Assumption</x:v>
      </x:c>
      <x:c r="F100" s="81"/>
      <x:c r="G100" s="81"/>
      <x:c r="H100" s="81"/>
      <x:c r="I100" s="81"/>
      <x:c r="J100" s="81"/>
      <x:c r="K100" s="81"/>
      <x:c r="L100" s="81"/>
      <x:c r="M100" s="81"/>
      <x:c r="N100" s="81"/>
      <x:c r="O100" s="81"/>
      <x:c r="P100" s="81"/>
      <x:c r="Q100" s="81"/>
      <x:c r="R100" s="81"/>
      <x:c r="S100" s="81"/>
      <x:c r="T100" s="81"/>
      <x:c r="U100" s="81"/>
      <x:c r="V100" s="81"/>
      <x:c r="W100" s="81"/>
      <x:c r="X100" s="81"/>
      <x:c r="Y100" s="81"/>
      <x:c r="Z100" s="81"/>
    </x:row>
    <x:row r="101">
      <x:c r="A101" s="81" t="str">
        <x:v>2026-05-31</x:v>
      </x:c>
      <x:c r="B101" s="81" t="str">
        <x:v>E1VFVN30</x:v>
      </x:c>
      <x:c r="C101" s="81" t="n">
        <x:v>26186.88</x:v>
      </x:c>
      <x:c r="D101" s="81" t="str">
        <x:v>S004</x:v>
      </x:c>
      <x:c r="E101" s="81" t="str">
        <x:v>Assumption</x:v>
      </x:c>
      <x:c r="F101" s="81"/>
      <x:c r="G101" s="81"/>
      <x:c r="H101" s="81"/>
      <x:c r="I101" s="81"/>
      <x:c r="J101" s="81"/>
      <x:c r="K101" s="81"/>
      <x:c r="L101" s="81"/>
      <x:c r="M101" s="81"/>
      <x:c r="N101" s="81"/>
      <x:c r="O101" s="81"/>
      <x:c r="P101" s="81"/>
      <x:c r="Q101" s="81"/>
      <x:c r="R101" s="81"/>
      <x:c r="S101" s="81"/>
      <x:c r="T101" s="81"/>
      <x:c r="U101" s="81"/>
      <x:c r="V101" s="81"/>
      <x:c r="W101" s="81"/>
      <x:c r="X101" s="81"/>
      <x:c r="Y101" s="81"/>
      <x:c r="Z101" s="81"/>
    </x:row>
    <x:row r="102">
      <x:c r="A102" s="81" t="str">
        <x:v>2026-05-31</x:v>
      </x:c>
      <x:c r="B102" s="81" t="str">
        <x:v>FUEVFVND</x:v>
      </x:c>
      <x:c r="C102" s="81" t="n">
        <x:v>25066.91</x:v>
      </x:c>
      <x:c r="D102" s="81" t="str">
        <x:v>S004</x:v>
      </x:c>
      <x:c r="E102" s="81" t="str">
        <x:v>Assumption</x:v>
      </x:c>
      <x:c r="F102" s="81"/>
      <x:c r="G102" s="81"/>
      <x:c r="H102" s="81"/>
      <x:c r="I102" s="81"/>
      <x:c r="J102" s="81"/>
      <x:c r="K102" s="81"/>
      <x:c r="L102" s="81"/>
      <x:c r="M102" s="81"/>
      <x:c r="N102" s="81"/>
      <x:c r="O102" s="81"/>
      <x:c r="P102" s="81"/>
      <x:c r="Q102" s="81"/>
      <x:c r="R102" s="81"/>
      <x:c r="S102" s="81"/>
      <x:c r="T102" s="81"/>
      <x:c r="U102" s="81"/>
      <x:c r="V102" s="81"/>
      <x:c r="W102" s="81"/>
      <x:c r="X102" s="81"/>
      <x:c r="Y102" s="81"/>
      <x:c r="Z102" s="81"/>
    </x:row>
    <x:row r="103">
      <x:c r="A103" s="81" t="str">
        <x:v>2026-05-31</x:v>
      </x:c>
      <x:c r="B103" s="81" t="str">
        <x:v>VEF_LOCAL</x:v>
      </x:c>
      <x:c r="C103" s="81" t="n">
        <x:v>133.36</x:v>
      </x:c>
      <x:c r="D103" s="81" t="str">
        <x:v>S004</x:v>
      </x:c>
      <x:c r="E103" s="81" t="str">
        <x:v>Assumption</x:v>
      </x:c>
      <x:c r="F103" s="81"/>
      <x:c r="G103" s="81"/>
      <x:c r="H103" s="81"/>
      <x:c r="I103" s="81"/>
      <x:c r="J103" s="81"/>
      <x:c r="K103" s="81"/>
      <x:c r="L103" s="81"/>
      <x:c r="M103" s="81"/>
      <x:c r="N103" s="81"/>
      <x:c r="O103" s="81"/>
      <x:c r="P103" s="81"/>
      <x:c r="Q103" s="81"/>
      <x:c r="R103" s="81"/>
      <x:c r="S103" s="81"/>
      <x:c r="T103" s="81"/>
      <x:c r="U103" s="81"/>
      <x:c r="V103" s="81"/>
      <x:c r="W103" s="81"/>
      <x:c r="X103" s="81"/>
      <x:c r="Y103" s="81"/>
      <x:c r="Z103" s="81"/>
    </x:row>
    <x:row r="104">
      <x:c r="A104" s="81" t="str">
        <x:v>2026-06-30</x:v>
      </x:c>
      <x:c r="B104" s="81" t="str">
        <x:v>DCDS</x:v>
      </x:c>
      <x:c r="C104" s="81" t="n">
        <x:v>78289.25</x:v>
      </x:c>
      <x:c r="D104" s="81" t="str">
        <x:v>S004</x:v>
      </x:c>
      <x:c r="E104" s="81" t="str">
        <x:v>Assumption</x:v>
      </x:c>
      <x:c r="F104" s="81"/>
      <x:c r="G104" s="81"/>
      <x:c r="H104" s="81"/>
      <x:c r="I104" s="81"/>
      <x:c r="J104" s="81"/>
      <x:c r="K104" s="81"/>
      <x:c r="L104" s="81"/>
      <x:c r="M104" s="81"/>
      <x:c r="N104" s="81"/>
      <x:c r="O104" s="81"/>
      <x:c r="P104" s="81"/>
      <x:c r="Q104" s="81"/>
      <x:c r="R104" s="81"/>
      <x:c r="S104" s="81"/>
      <x:c r="T104" s="81"/>
      <x:c r="U104" s="81"/>
      <x:c r="V104" s="81"/>
      <x:c r="W104" s="81"/>
      <x:c r="X104" s="81"/>
      <x:c r="Y104" s="81"/>
      <x:c r="Z104" s="81"/>
    </x:row>
    <x:row r="105">
      <x:c r="A105" s="81" t="str">
        <x:v>2026-06-30</x:v>
      </x:c>
      <x:c r="B105" s="81" t="str">
        <x:v>DCBF</x:v>
      </x:c>
      <x:c r="C105" s="81" t="n">
        <x:v>35259.65</x:v>
      </x:c>
      <x:c r="D105" s="81" t="str">
        <x:v>S004</x:v>
      </x:c>
      <x:c r="E105" s="81" t="str">
        <x:v>Assumption</x:v>
      </x:c>
      <x:c r="F105" s="81"/>
      <x:c r="G105" s="81"/>
      <x:c r="H105" s="81"/>
      <x:c r="I105" s="81"/>
      <x:c r="J105" s="81"/>
      <x:c r="K105" s="81"/>
      <x:c r="L105" s="81"/>
      <x:c r="M105" s="81"/>
      <x:c r="N105" s="81"/>
      <x:c r="O105" s="81"/>
      <x:c r="P105" s="81"/>
      <x:c r="Q105" s="81"/>
      <x:c r="R105" s="81"/>
      <x:c r="S105" s="81"/>
      <x:c r="T105" s="81"/>
      <x:c r="U105" s="81"/>
      <x:c r="V105" s="81"/>
      <x:c r="W105" s="81"/>
      <x:c r="X105" s="81"/>
      <x:c r="Y105" s="81"/>
      <x:c r="Z105" s="81"/>
    </x:row>
    <x:row r="106">
      <x:c r="A106" s="81" t="str">
        <x:v>2026-06-30</x:v>
      </x:c>
      <x:c r="B106" s="81" t="str">
        <x:v>DCDE</x:v>
      </x:c>
      <x:c r="C106" s="81" t="n">
        <x:v>37164.06</x:v>
      </x:c>
      <x:c r="D106" s="81" t="str">
        <x:v>S004</x:v>
      </x:c>
      <x:c r="E106" s="81" t="str">
        <x:v>Assumption</x:v>
      </x:c>
      <x:c r="F106" s="81"/>
      <x:c r="G106" s="81"/>
      <x:c r="H106" s="81"/>
      <x:c r="I106" s="81"/>
      <x:c r="J106" s="81"/>
      <x:c r="K106" s="81"/>
      <x:c r="L106" s="81"/>
      <x:c r="M106" s="81"/>
      <x:c r="N106" s="81"/>
      <x:c r="O106" s="81"/>
      <x:c r="P106" s="81"/>
      <x:c r="Q106" s="81"/>
      <x:c r="R106" s="81"/>
      <x:c r="S106" s="81"/>
      <x:c r="T106" s="81"/>
      <x:c r="U106" s="81"/>
      <x:c r="V106" s="81"/>
      <x:c r="W106" s="81"/>
      <x:c r="X106" s="81"/>
      <x:c r="Y106" s="81"/>
      <x:c r="Z106" s="81"/>
    </x:row>
    <x:row r="107">
      <x:c r="A107" s="81" t="str">
        <x:v>2026-06-30</x:v>
      </x:c>
      <x:c r="B107" s="81" t="str">
        <x:v>E1VFVN30</x:v>
      </x:c>
      <x:c r="C107" s="81" t="n">
        <x:v>27090.91</x:v>
      </x:c>
      <x:c r="D107" s="81" t="str">
        <x:v>S004</x:v>
      </x:c>
      <x:c r="E107" s="81" t="str">
        <x:v>Assumption</x:v>
      </x:c>
      <x:c r="F107" s="81"/>
      <x:c r="G107" s="81"/>
      <x:c r="H107" s="81"/>
      <x:c r="I107" s="81"/>
      <x:c r="J107" s="81"/>
      <x:c r="K107" s="81"/>
      <x:c r="L107" s="81"/>
      <x:c r="M107" s="81"/>
      <x:c r="N107" s="81"/>
      <x:c r="O107" s="81"/>
      <x:c r="P107" s="81"/>
      <x:c r="Q107" s="81"/>
      <x:c r="R107" s="81"/>
      <x:c r="S107" s="81"/>
      <x:c r="T107" s="81"/>
      <x:c r="U107" s="81"/>
      <x:c r="V107" s="81"/>
      <x:c r="W107" s="81"/>
      <x:c r="X107" s="81"/>
      <x:c r="Y107" s="81"/>
      <x:c r="Z107" s="81"/>
    </x:row>
    <x:row r="108">
      <x:c r="A108" s="81" t="str">
        <x:v>2026-06-30</x:v>
      </x:c>
      <x:c r="B108" s="81" t="str">
        <x:v>FUEVFVND</x:v>
      </x:c>
      <x:c r="C108" s="81" t="n">
        <x:v>24364.61</x:v>
      </x:c>
      <x:c r="D108" s="81" t="str">
        <x:v>S004</x:v>
      </x:c>
      <x:c r="E108" s="81" t="str">
        <x:v>Assumption</x:v>
      </x:c>
      <x:c r="F108" s="81"/>
      <x:c r="G108" s="81"/>
      <x:c r="H108" s="81"/>
      <x:c r="I108" s="81"/>
      <x:c r="J108" s="81"/>
      <x:c r="K108" s="81"/>
      <x:c r="L108" s="81"/>
      <x:c r="M108" s="81"/>
      <x:c r="N108" s="81"/>
      <x:c r="O108" s="81"/>
      <x:c r="P108" s="81"/>
      <x:c r="Q108" s="81"/>
      <x:c r="R108" s="81"/>
      <x:c r="S108" s="81"/>
      <x:c r="T108" s="81"/>
      <x:c r="U108" s="81"/>
      <x:c r="V108" s="81"/>
      <x:c r="W108" s="81"/>
      <x:c r="X108" s="81"/>
      <x:c r="Y108" s="81"/>
      <x:c r="Z108" s="81"/>
    </x:row>
    <x:row r="109">
      <x:c r="A109" s="81" t="str">
        <x:v>2026-06-30</x:v>
      </x:c>
      <x:c r="B109" s="81" t="str">
        <x:v>VEF_LOCAL</x:v>
      </x:c>
      <x:c r="C109" s="81" t="n">
        <x:v>139.29</x:v>
      </x:c>
      <x:c r="D109" s="81" t="str">
        <x:v>S004</x:v>
      </x:c>
      <x:c r="E109" s="81" t="str">
        <x:v>Assumption</x:v>
      </x:c>
      <x:c r="F109" s="81"/>
      <x:c r="G109" s="81"/>
      <x:c r="H109" s="81"/>
      <x:c r="I109" s="81"/>
      <x:c r="J109" s="81"/>
      <x:c r="K109" s="81"/>
      <x:c r="L109" s="81"/>
      <x:c r="M109" s="81"/>
      <x:c r="N109" s="81"/>
      <x:c r="O109" s="81"/>
      <x:c r="P109" s="81"/>
      <x:c r="Q109" s="81"/>
      <x:c r="R109" s="81"/>
      <x:c r="S109" s="81"/>
      <x:c r="T109" s="81"/>
      <x:c r="U109" s="81"/>
      <x:c r="V109" s="81"/>
      <x:c r="W109" s="81"/>
      <x:c r="X109" s="81"/>
      <x:c r="Y109" s="81"/>
      <x:c r="Z109" s="81"/>
    </x:row>
    <x:row r="110">
      <x:c r="A110" s="81" t="str">
        <x:v>2026-07-31</x:v>
      </x:c>
      <x:c r="B110" s="81" t="str">
        <x:v>DCDS</x:v>
      </x:c>
      <x:c r="C110" s="81" t="n">
        <x:v>81339.98</x:v>
      </x:c>
      <x:c r="D110" s="81" t="str">
        <x:v>S004</x:v>
      </x:c>
      <x:c r="E110" s="81" t="str">
        <x:v>Assumption</x:v>
      </x:c>
      <x:c r="F110" s="81"/>
      <x:c r="G110" s="81"/>
      <x:c r="H110" s="81"/>
      <x:c r="I110" s="81"/>
      <x:c r="J110" s="81"/>
      <x:c r="K110" s="81"/>
      <x:c r="L110" s="81"/>
      <x:c r="M110" s="81"/>
      <x:c r="N110" s="81"/>
      <x:c r="O110" s="81"/>
      <x:c r="P110" s="81"/>
      <x:c r="Q110" s="81"/>
      <x:c r="R110" s="81"/>
      <x:c r="S110" s="81"/>
      <x:c r="T110" s="81"/>
      <x:c r="U110" s="81"/>
      <x:c r="V110" s="81"/>
      <x:c r="W110" s="81"/>
      <x:c r="X110" s="81"/>
      <x:c r="Y110" s="81"/>
      <x:c r="Z110" s="81"/>
    </x:row>
    <x:row r="111">
      <x:c r="A111" s="81" t="str">
        <x:v>2026-07-31</x:v>
      </x:c>
      <x:c r="B111" s="81" t="str">
        <x:v>DCBF</x:v>
      </x:c>
      <x:c r="C111" s="81" t="n">
        <x:v>35214.85</x:v>
      </x:c>
      <x:c r="D111" s="81" t="str">
        <x:v>S004</x:v>
      </x:c>
      <x:c r="E111" s="81" t="str">
        <x:v>Assumption</x:v>
      </x:c>
      <x:c r="F111" s="81"/>
      <x:c r="G111" s="81"/>
      <x:c r="H111" s="81"/>
      <x:c r="I111" s="81"/>
      <x:c r="J111" s="81"/>
      <x:c r="K111" s="81"/>
      <x:c r="L111" s="81"/>
      <x:c r="M111" s="81"/>
      <x:c r="N111" s="81"/>
      <x:c r="O111" s="81"/>
      <x:c r="P111" s="81"/>
      <x:c r="Q111" s="81"/>
      <x:c r="R111" s="81"/>
      <x:c r="S111" s="81"/>
      <x:c r="T111" s="81"/>
      <x:c r="U111" s="81"/>
      <x:c r="V111" s="81"/>
      <x:c r="W111" s="81"/>
      <x:c r="X111" s="81"/>
      <x:c r="Y111" s="81"/>
      <x:c r="Z111" s="81"/>
    </x:row>
    <x:row r="112">
      <x:c r="A112" s="81" t="str">
        <x:v>2026-07-31</x:v>
      </x:c>
      <x:c r="B112" s="81" t="str">
        <x:v>DCDE</x:v>
      </x:c>
      <x:c r="C112" s="81" t="n">
        <x:v>36776.45</x:v>
      </x:c>
      <x:c r="D112" s="81" t="str">
        <x:v>S004</x:v>
      </x:c>
      <x:c r="E112" s="81" t="str">
        <x:v>Assumption</x:v>
      </x:c>
      <x:c r="F112" s="81"/>
      <x:c r="G112" s="81"/>
      <x:c r="H112" s="81"/>
      <x:c r="I112" s="81"/>
      <x:c r="J112" s="81"/>
      <x:c r="K112" s="81"/>
      <x:c r="L112" s="81"/>
      <x:c r="M112" s="81"/>
      <x:c r="N112" s="81"/>
      <x:c r="O112" s="81"/>
      <x:c r="P112" s="81"/>
      <x:c r="Q112" s="81"/>
      <x:c r="R112" s="81"/>
      <x:c r="S112" s="81"/>
      <x:c r="T112" s="81"/>
      <x:c r="U112" s="81"/>
      <x:c r="V112" s="81"/>
      <x:c r="W112" s="81"/>
      <x:c r="X112" s="81"/>
      <x:c r="Y112" s="81"/>
      <x:c r="Z112" s="81"/>
    </x:row>
    <x:row r="113">
      <x:c r="A113" s="81" t="str">
        <x:v>2026-07-31</x:v>
      </x:c>
      <x:c r="B113" s="81" t="str">
        <x:v>E1VFVN30</x:v>
      </x:c>
      <x:c r="C113" s="81" t="n">
        <x:v>27894.81</x:v>
      </x:c>
      <x:c r="D113" s="81" t="str">
        <x:v>S004</x:v>
      </x:c>
      <x:c r="E113" s="81" t="str">
        <x:v>Assumption</x:v>
      </x:c>
      <x:c r="F113" s="81"/>
      <x:c r="G113" s="81"/>
      <x:c r="H113" s="81"/>
      <x:c r="I113" s="81"/>
      <x:c r="J113" s="81"/>
      <x:c r="K113" s="81"/>
      <x:c r="L113" s="81"/>
      <x:c r="M113" s="81"/>
      <x:c r="N113" s="81"/>
      <x:c r="O113" s="81"/>
      <x:c r="P113" s="81"/>
      <x:c r="Q113" s="81"/>
      <x:c r="R113" s="81"/>
      <x:c r="S113" s="81"/>
      <x:c r="T113" s="81"/>
      <x:c r="U113" s="81"/>
      <x:c r="V113" s="81"/>
      <x:c r="W113" s="81"/>
      <x:c r="X113" s="81"/>
      <x:c r="Y113" s="81"/>
      <x:c r="Z113" s="81"/>
    </x:row>
    <x:row r="114">
      <x:c r="A114" s="81" t="str">
        <x:v>2026-07-31</x:v>
      </x:c>
      <x:c r="B114" s="81" t="str">
        <x:v>FUEVFVND</x:v>
      </x:c>
      <x:c r="C114" s="81" t="n">
        <x:v>24273.51</x:v>
      </x:c>
      <x:c r="D114" s="81" t="str">
        <x:v>S004</x:v>
      </x:c>
      <x:c r="E114" s="81" t="str">
        <x:v>Assumption</x:v>
      </x:c>
      <x:c r="F114" s="81"/>
      <x:c r="G114" s="81"/>
      <x:c r="H114" s="81"/>
      <x:c r="I114" s="81"/>
      <x:c r="J114" s="81"/>
      <x:c r="K114" s="81"/>
      <x:c r="L114" s="81"/>
      <x:c r="M114" s="81"/>
      <x:c r="N114" s="81"/>
      <x:c r="O114" s="81"/>
      <x:c r="P114" s="81"/>
      <x:c r="Q114" s="81"/>
      <x:c r="R114" s="81"/>
      <x:c r="S114" s="81"/>
      <x:c r="T114" s="81"/>
      <x:c r="U114" s="81"/>
      <x:c r="V114" s="81"/>
      <x:c r="W114" s="81"/>
      <x:c r="X114" s="81"/>
      <x:c r="Y114" s="81"/>
      <x:c r="Z114" s="81"/>
    </x:row>
    <x:row r="115">
      <x:c r="A115" s="81" t="str">
        <x:v>2026-07-31</x:v>
      </x:c>
      <x:c r="B115" s="81" t="str">
        <x:v>VEF_LOCAL</x:v>
      </x:c>
      <x:c r="C115" s="81" t="n">
        <x:v>138.22</x:v>
      </x:c>
      <x:c r="D115" s="81" t="str">
        <x:v>S004</x:v>
      </x:c>
      <x:c r="E115" s="81" t="str">
        <x:v>Assumption</x:v>
      </x:c>
      <x:c r="F115" s="81"/>
      <x:c r="G115" s="81"/>
      <x:c r="H115" s="81"/>
      <x:c r="I115" s="81"/>
      <x:c r="J115" s="81"/>
      <x:c r="K115" s="81"/>
      <x:c r="L115" s="81"/>
      <x:c r="M115" s="81"/>
      <x:c r="N115" s="81"/>
      <x:c r="O115" s="81"/>
      <x:c r="P115" s="81"/>
      <x:c r="Q115" s="81"/>
      <x:c r="R115" s="81"/>
      <x:c r="S115" s="81"/>
      <x:c r="T115" s="81"/>
      <x:c r="U115" s="81"/>
      <x:c r="V115" s="81"/>
      <x:c r="W115" s="81"/>
      <x:c r="X115" s="81"/>
      <x:c r="Y115" s="81"/>
      <x:c r="Z115" s="81"/>
    </x:row>
    <x:row r="116">
      <x:c r="A116" s="81"/>
      <x:c r="B116" s="81"/>
      <x:c r="C116" s="81"/>
      <x:c r="D116" s="81"/>
      <x:c r="E116" s="81"/>
      <x:c r="F116" s="81"/>
      <x:c r="G116" s="81"/>
      <x:c r="H116" s="81"/>
      <x:c r="I116" s="81"/>
      <x:c r="J116" s="81"/>
      <x:c r="K116" s="81"/>
      <x:c r="L116" s="81"/>
      <x:c r="M116" s="81"/>
      <x:c r="N116" s="81"/>
      <x:c r="O116" s="81"/>
      <x:c r="P116" s="81"/>
      <x:c r="Q116" s="81"/>
      <x:c r="R116" s="81"/>
      <x:c r="S116" s="81"/>
      <x:c r="T116" s="81"/>
      <x:c r="U116" s="81"/>
      <x:c r="V116" s="81"/>
      <x:c r="W116" s="81"/>
      <x:c r="X116" s="81"/>
      <x:c r="Y116" s="81"/>
      <x:c r="Z116" s="81"/>
    </x:row>
    <x:row r="117">
      <x:c r="A117" s="81"/>
      <x:c r="B117" s="81"/>
      <x:c r="C117" s="81"/>
      <x:c r="D117" s="81"/>
      <x:c r="E117" s="81"/>
      <x:c r="F117" s="81"/>
      <x:c r="G117" s="81"/>
      <x:c r="H117" s="81"/>
      <x:c r="I117" s="81"/>
      <x:c r="J117" s="81"/>
      <x:c r="K117" s="81"/>
      <x:c r="L117" s="81"/>
      <x:c r="M117" s="81"/>
      <x:c r="N117" s="81"/>
      <x:c r="O117" s="81"/>
      <x:c r="P117" s="81"/>
      <x:c r="Q117" s="81"/>
      <x:c r="R117" s="81"/>
      <x:c r="S117" s="81"/>
      <x:c r="T117" s="81"/>
      <x:c r="U117" s="81"/>
      <x:c r="V117" s="81"/>
      <x:c r="W117" s="81"/>
      <x:c r="X117" s="81"/>
      <x:c r="Y117" s="81"/>
      <x:c r="Z117" s="81"/>
    </x:row>
    <x:row r="118">
      <x:c r="A118" s="81"/>
      <x:c r="B118" s="81"/>
      <x:c r="C118" s="81"/>
      <x:c r="D118" s="81"/>
      <x:c r="E118" s="81"/>
      <x:c r="F118" s="81"/>
      <x:c r="G118" s="81"/>
      <x:c r="H118" s="81"/>
      <x:c r="I118" s="81"/>
      <x:c r="J118" s="81"/>
      <x:c r="K118" s="81"/>
      <x:c r="L118" s="81"/>
      <x:c r="M118" s="81"/>
      <x:c r="N118" s="81"/>
      <x:c r="O118" s="81"/>
      <x:c r="P118" s="81"/>
      <x:c r="Q118" s="81"/>
      <x:c r="R118" s="81"/>
      <x:c r="S118" s="81"/>
      <x:c r="T118" s="81"/>
      <x:c r="U118" s="81"/>
      <x:c r="V118" s="81"/>
      <x:c r="W118" s="81"/>
      <x:c r="X118" s="81"/>
      <x:c r="Y118" s="81"/>
      <x:c r="Z118" s="81"/>
    </x:row>
    <x:row r="119">
      <x:c r="A119" s="81"/>
      <x:c r="B119" s="81"/>
      <x:c r="C119" s="81"/>
      <x:c r="D119" s="81"/>
      <x:c r="E119" s="81"/>
      <x:c r="F119" s="81"/>
      <x:c r="G119" s="81"/>
      <x:c r="H119" s="81"/>
      <x:c r="I119" s="81"/>
      <x:c r="J119" s="81"/>
      <x:c r="K119" s="81"/>
      <x:c r="L119" s="81"/>
      <x:c r="M119" s="81"/>
      <x:c r="N119" s="81"/>
      <x:c r="O119" s="81"/>
      <x:c r="P119" s="81"/>
      <x:c r="Q119" s="81"/>
      <x:c r="R119" s="81"/>
      <x:c r="S119" s="81"/>
      <x:c r="T119" s="81"/>
      <x:c r="U119" s="81"/>
      <x:c r="V119" s="81"/>
      <x:c r="W119" s="81"/>
      <x:c r="X119" s="81"/>
      <x:c r="Y119" s="81"/>
      <x:c r="Z119" s="81"/>
    </x:row>
    <x:row r="120">
      <x:c r="A120" s="81"/>
      <x:c r="B120" s="81"/>
      <x:c r="C120" s="81"/>
      <x:c r="D120" s="81"/>
      <x:c r="E120" s="81"/>
      <x:c r="F120" s="81"/>
      <x:c r="G120" s="81"/>
      <x:c r="H120" s="81"/>
      <x:c r="I120" s="81"/>
      <x:c r="J120" s="81"/>
      <x:c r="K120" s="81"/>
      <x:c r="L120" s="81"/>
      <x:c r="M120" s="81"/>
      <x:c r="N120" s="81"/>
      <x:c r="O120" s="81"/>
      <x:c r="P120" s="81"/>
      <x:c r="Q120" s="81"/>
      <x:c r="R120" s="81"/>
      <x:c r="S120" s="81"/>
      <x:c r="T120" s="81"/>
      <x:c r="U120" s="81"/>
      <x:c r="V120" s="81"/>
      <x:c r="W120" s="81"/>
      <x:c r="X120" s="81"/>
      <x:c r="Y120" s="81"/>
      <x:c r="Z120" s="81"/>
    </x:row>
    <x:row r="121">
      <x:c r="A121" s="81"/>
      <x:c r="B121" s="81"/>
      <x:c r="C121" s="81"/>
      <x:c r="D121" s="81"/>
      <x:c r="E121" s="81"/>
      <x:c r="F121" s="81"/>
      <x:c r="G121" s="81"/>
      <x:c r="H121" s="81"/>
      <x:c r="I121" s="81"/>
      <x:c r="J121" s="81"/>
      <x:c r="K121" s="81"/>
      <x:c r="L121" s="81"/>
      <x:c r="M121" s="81"/>
      <x:c r="N121" s="81"/>
      <x:c r="O121" s="81"/>
      <x:c r="P121" s="81"/>
      <x:c r="Q121" s="81"/>
      <x:c r="R121" s="81"/>
      <x:c r="S121" s="81"/>
      <x:c r="T121" s="81"/>
      <x:c r="U121" s="81"/>
      <x:c r="V121" s="81"/>
      <x:c r="W121" s="81"/>
      <x:c r="X121" s="81"/>
      <x:c r="Y121" s="81"/>
      <x:c r="Z121" s="81"/>
    </x:row>
    <x:row r="122">
      <x:c r="A122" s="81"/>
      <x:c r="B122" s="81"/>
      <x:c r="C122" s="81"/>
      <x:c r="D122" s="81"/>
      <x:c r="E122" s="81"/>
      <x:c r="F122" s="81"/>
      <x:c r="G122" s="81"/>
      <x:c r="H122" s="81"/>
      <x:c r="I122" s="81"/>
      <x:c r="J122" s="81"/>
      <x:c r="K122" s="81"/>
      <x:c r="L122" s="81"/>
      <x:c r="M122" s="81"/>
      <x:c r="N122" s="81"/>
      <x:c r="O122" s="81"/>
      <x:c r="P122" s="81"/>
      <x:c r="Q122" s="81"/>
      <x:c r="R122" s="81"/>
      <x:c r="S122" s="81"/>
      <x:c r="T122" s="81"/>
      <x:c r="U122" s="81"/>
      <x:c r="V122" s="81"/>
      <x:c r="W122" s="81"/>
      <x:c r="X122" s="81"/>
      <x:c r="Y122" s="81"/>
      <x:c r="Z122" s="81"/>
    </x:row>
    <x:row r="123">
      <x:c r="A123" s="81"/>
      <x:c r="B123" s="81"/>
      <x:c r="C123" s="81"/>
      <x:c r="D123" s="81"/>
      <x:c r="E123" s="81"/>
      <x:c r="F123" s="81"/>
      <x:c r="G123" s="81"/>
      <x:c r="H123" s="81"/>
      <x:c r="I123" s="81"/>
      <x:c r="J123" s="81"/>
      <x:c r="K123" s="81"/>
      <x:c r="L123" s="81"/>
      <x:c r="M123" s="81"/>
      <x:c r="N123" s="81"/>
      <x:c r="O123" s="81"/>
      <x:c r="P123" s="81"/>
      <x:c r="Q123" s="81"/>
      <x:c r="R123" s="81"/>
      <x:c r="S123" s="81"/>
      <x:c r="T123" s="81"/>
      <x:c r="U123" s="81"/>
      <x:c r="V123" s="81"/>
      <x:c r="W123" s="81"/>
      <x:c r="X123" s="81"/>
      <x:c r="Y123" s="81"/>
      <x:c r="Z123" s="81"/>
    </x:row>
    <x:row r="124">
      <x:c r="A124" s="81"/>
      <x:c r="B124" s="81"/>
      <x:c r="C124" s="81"/>
      <x:c r="D124" s="81"/>
      <x:c r="E124" s="81"/>
      <x:c r="F124" s="81"/>
      <x:c r="G124" s="81"/>
      <x:c r="H124" s="81"/>
      <x:c r="I124" s="81"/>
      <x:c r="J124" s="81"/>
      <x:c r="K124" s="81"/>
      <x:c r="L124" s="81"/>
      <x:c r="M124" s="81"/>
      <x:c r="N124" s="81"/>
      <x:c r="O124" s="81"/>
      <x:c r="P124" s="81"/>
      <x:c r="Q124" s="81"/>
      <x:c r="R124" s="81"/>
      <x:c r="S124" s="81"/>
      <x:c r="T124" s="81"/>
      <x:c r="U124" s="81"/>
      <x:c r="V124" s="81"/>
      <x:c r="W124" s="81"/>
      <x:c r="X124" s="81"/>
      <x:c r="Y124" s="81"/>
      <x:c r="Z124" s="81"/>
    </x:row>
    <x:row r="125">
      <x:c r="A125" s="81"/>
      <x:c r="B125" s="81"/>
      <x:c r="C125" s="81"/>
      <x:c r="D125" s="81"/>
      <x:c r="E125" s="81"/>
      <x:c r="F125" s="81"/>
      <x:c r="G125" s="81"/>
      <x:c r="H125" s="81"/>
      <x:c r="I125" s="81"/>
      <x:c r="J125" s="81"/>
      <x:c r="K125" s="81"/>
      <x:c r="L125" s="81"/>
      <x:c r="M125" s="81"/>
      <x:c r="N125" s="81"/>
      <x:c r="O125" s="81"/>
      <x:c r="P125" s="81"/>
      <x:c r="Q125" s="81"/>
      <x:c r="R125" s="81"/>
      <x:c r="S125" s="81"/>
      <x:c r="T125" s="81"/>
      <x:c r="U125" s="81"/>
      <x:c r="V125" s="81"/>
      <x:c r="W125" s="81"/>
      <x:c r="X125" s="81"/>
      <x:c r="Y125" s="81"/>
      <x:c r="Z125" s="81"/>
    </x:row>
    <x:row r="126">
      <x:c r="A126" s="81"/>
      <x:c r="B126" s="81"/>
      <x:c r="C126" s="81"/>
      <x:c r="D126" s="81"/>
      <x:c r="E126" s="81"/>
      <x:c r="F126" s="81"/>
      <x:c r="G126" s="81"/>
      <x:c r="H126" s="81"/>
      <x:c r="I126" s="81"/>
      <x:c r="J126" s="81"/>
      <x:c r="K126" s="81"/>
      <x:c r="L126" s="81"/>
      <x:c r="M126" s="81"/>
      <x:c r="N126" s="81"/>
      <x:c r="O126" s="81"/>
      <x:c r="P126" s="81"/>
      <x:c r="Q126" s="81"/>
      <x:c r="R126" s="81"/>
      <x:c r="S126" s="81"/>
      <x:c r="T126" s="81"/>
      <x:c r="U126" s="81"/>
      <x:c r="V126" s="81"/>
      <x:c r="W126" s="81"/>
      <x:c r="X126" s="81"/>
      <x:c r="Y126" s="81"/>
      <x:c r="Z126" s="81"/>
    </x:row>
    <x:row r="127">
      <x:c r="A127" s="81"/>
      <x:c r="B127" s="81"/>
      <x:c r="C127" s="81"/>
      <x:c r="D127" s="81"/>
      <x:c r="E127" s="81"/>
      <x:c r="F127" s="81"/>
      <x:c r="G127" s="81"/>
      <x:c r="H127" s="81"/>
      <x:c r="I127" s="81"/>
      <x:c r="J127" s="81"/>
      <x:c r="K127" s="81"/>
      <x:c r="L127" s="81"/>
      <x:c r="M127" s="81"/>
      <x:c r="N127" s="81"/>
      <x:c r="O127" s="81"/>
      <x:c r="P127" s="81"/>
      <x:c r="Q127" s="81"/>
      <x:c r="R127" s="81"/>
      <x:c r="S127" s="81"/>
      <x:c r="T127" s="81"/>
      <x:c r="U127" s="81"/>
      <x:c r="V127" s="81"/>
      <x:c r="W127" s="81"/>
      <x:c r="X127" s="81"/>
      <x:c r="Y127" s="81"/>
      <x:c r="Z127" s="81"/>
    </x:row>
    <x:row r="128">
      <x:c r="A128" s="81"/>
      <x:c r="B128" s="81"/>
      <x:c r="C128" s="81"/>
      <x:c r="D128" s="81"/>
      <x:c r="E128" s="81"/>
      <x:c r="F128" s="81"/>
      <x:c r="G128" s="81"/>
      <x:c r="H128" s="81"/>
      <x:c r="I128" s="81"/>
      <x:c r="J128" s="81"/>
      <x:c r="K128" s="81"/>
      <x:c r="L128" s="81"/>
      <x:c r="M128" s="81"/>
      <x:c r="N128" s="81"/>
      <x:c r="O128" s="81"/>
      <x:c r="P128" s="81"/>
      <x:c r="Q128" s="81"/>
      <x:c r="R128" s="81"/>
      <x:c r="S128" s="81"/>
      <x:c r="T128" s="81"/>
      <x:c r="U128" s="81"/>
      <x:c r="V128" s="81"/>
      <x:c r="W128" s="81"/>
      <x:c r="X128" s="81"/>
      <x:c r="Y128" s="81"/>
      <x:c r="Z128" s="81"/>
    </x:row>
    <x:row r="129">
      <x:c r="A129" s="81"/>
      <x:c r="B129" s="81"/>
      <x:c r="C129" s="81"/>
      <x:c r="D129" s="81"/>
      <x:c r="E129" s="81"/>
      <x:c r="F129" s="81"/>
      <x:c r="G129" s="81"/>
      <x:c r="H129" s="81"/>
      <x:c r="I129" s="81"/>
      <x:c r="J129" s="81"/>
      <x:c r="K129" s="81"/>
      <x:c r="L129" s="81"/>
      <x:c r="M129" s="81"/>
      <x:c r="N129" s="81"/>
      <x:c r="O129" s="81"/>
      <x:c r="P129" s="81"/>
      <x:c r="Q129" s="81"/>
      <x:c r="R129" s="81"/>
      <x:c r="S129" s="81"/>
      <x:c r="T129" s="81"/>
      <x:c r="U129" s="81"/>
      <x:c r="V129" s="81"/>
      <x:c r="W129" s="81"/>
      <x:c r="X129" s="81"/>
      <x:c r="Y129" s="81"/>
      <x:c r="Z129" s="81"/>
    </x:row>
    <x:row r="130">
      <x:c r="A130" s="81"/>
      <x:c r="B130" s="81"/>
      <x:c r="C130" s="81"/>
      <x:c r="D130" s="81"/>
      <x:c r="E130" s="81"/>
      <x:c r="F130" s="81"/>
      <x:c r="G130" s="81"/>
      <x:c r="H130" s="81"/>
      <x:c r="I130" s="81"/>
      <x:c r="J130" s="81"/>
      <x:c r="K130" s="81"/>
      <x:c r="L130" s="81"/>
      <x:c r="M130" s="81"/>
      <x:c r="N130" s="81"/>
      <x:c r="O130" s="81"/>
      <x:c r="P130" s="81"/>
      <x:c r="Q130" s="81"/>
      <x:c r="R130" s="81"/>
      <x:c r="S130" s="81"/>
      <x:c r="T130" s="81"/>
      <x:c r="U130" s="81"/>
      <x:c r="V130" s="81"/>
      <x:c r="W130" s="81"/>
      <x:c r="X130" s="81"/>
      <x:c r="Y130" s="81"/>
      <x:c r="Z130" s="81"/>
    </x:row>
    <x:row r="131">
      <x:c r="A131" s="81"/>
      <x:c r="B131" s="81"/>
      <x:c r="C131" s="81"/>
      <x:c r="D131" s="81"/>
      <x:c r="E131" s="81"/>
      <x:c r="F131" s="81"/>
      <x:c r="G131" s="81"/>
      <x:c r="H131" s="81"/>
      <x:c r="I131" s="81"/>
      <x:c r="J131" s="81"/>
      <x:c r="K131" s="81"/>
      <x:c r="L131" s="81"/>
      <x:c r="M131" s="81"/>
      <x:c r="N131" s="81"/>
      <x:c r="O131" s="81"/>
      <x:c r="P131" s="81"/>
      <x:c r="Q131" s="81"/>
      <x:c r="R131" s="81"/>
      <x:c r="S131" s="81"/>
      <x:c r="T131" s="81"/>
      <x:c r="U131" s="81"/>
      <x:c r="V131" s="81"/>
      <x:c r="W131" s="81"/>
      <x:c r="X131" s="81"/>
      <x:c r="Y131" s="81"/>
      <x:c r="Z131" s="81"/>
    </x:row>
    <x:row r="132">
      <x:c r="A132" s="81"/>
      <x:c r="B132" s="81"/>
      <x:c r="C132" s="81"/>
      <x:c r="D132" s="81"/>
      <x:c r="E132" s="81"/>
      <x:c r="F132" s="81"/>
      <x:c r="G132" s="81"/>
      <x:c r="H132" s="81"/>
      <x:c r="I132" s="81"/>
      <x:c r="J132" s="81"/>
      <x:c r="K132" s="81"/>
      <x:c r="L132" s="81"/>
      <x:c r="M132" s="81"/>
      <x:c r="N132" s="81"/>
      <x:c r="O132" s="81"/>
      <x:c r="P132" s="81"/>
      <x:c r="Q132" s="81"/>
      <x:c r="R132" s="81"/>
      <x:c r="S132" s="81"/>
      <x:c r="T132" s="81"/>
      <x:c r="U132" s="81"/>
      <x:c r="V132" s="81"/>
      <x:c r="W132" s="81"/>
      <x:c r="X132" s="81"/>
      <x:c r="Y132" s="81"/>
      <x:c r="Z132" s="81"/>
    </x:row>
    <x:row r="133">
      <x:c r="A133" s="81"/>
      <x:c r="B133" s="81"/>
      <x:c r="C133" s="81"/>
      <x:c r="D133" s="81"/>
      <x:c r="E133" s="81"/>
      <x:c r="F133" s="81"/>
      <x:c r="G133" s="81"/>
      <x:c r="H133" s="81"/>
      <x:c r="I133" s="81"/>
      <x:c r="J133" s="81"/>
      <x:c r="K133" s="81"/>
      <x:c r="L133" s="81"/>
      <x:c r="M133" s="81"/>
      <x:c r="N133" s="81"/>
      <x:c r="O133" s="81"/>
      <x:c r="P133" s="81"/>
      <x:c r="Q133" s="81"/>
      <x:c r="R133" s="81"/>
      <x:c r="S133" s="81"/>
      <x:c r="T133" s="81"/>
      <x:c r="U133" s="81"/>
      <x:c r="V133" s="81"/>
      <x:c r="W133" s="81"/>
      <x:c r="X133" s="81"/>
      <x:c r="Y133" s="81"/>
      <x:c r="Z133" s="81"/>
    </x:row>
    <x:row r="134">
      <x:c r="A134" s="81"/>
      <x:c r="B134" s="81"/>
      <x:c r="C134" s="81"/>
      <x:c r="D134" s="81"/>
      <x:c r="E134" s="81"/>
      <x:c r="F134" s="81"/>
      <x:c r="G134" s="81"/>
      <x:c r="H134" s="81"/>
      <x:c r="I134" s="81"/>
      <x:c r="J134" s="81"/>
      <x:c r="K134" s="81"/>
      <x:c r="L134" s="81"/>
      <x:c r="M134" s="81"/>
      <x:c r="N134" s="81"/>
      <x:c r="O134" s="81"/>
      <x:c r="P134" s="81"/>
      <x:c r="Q134" s="81"/>
      <x:c r="R134" s="81"/>
      <x:c r="S134" s="81"/>
      <x:c r="T134" s="81"/>
      <x:c r="U134" s="81"/>
      <x:c r="V134" s="81"/>
      <x:c r="W134" s="81"/>
      <x:c r="X134" s="81"/>
      <x:c r="Y134" s="81"/>
      <x:c r="Z134" s="81"/>
    </x:row>
    <x:row r="135">
      <x:c r="A135" s="81"/>
      <x:c r="B135" s="81"/>
      <x:c r="C135" s="81"/>
      <x:c r="D135" s="81"/>
      <x:c r="E135" s="81"/>
      <x:c r="F135" s="81"/>
      <x:c r="G135" s="81"/>
      <x:c r="H135" s="81"/>
      <x:c r="I135" s="81"/>
      <x:c r="J135" s="81"/>
      <x:c r="K135" s="81"/>
      <x:c r="L135" s="81"/>
      <x:c r="M135" s="81"/>
      <x:c r="N135" s="81"/>
      <x:c r="O135" s="81"/>
      <x:c r="P135" s="81"/>
      <x:c r="Q135" s="81"/>
      <x:c r="R135" s="81"/>
      <x:c r="S135" s="81"/>
      <x:c r="T135" s="81"/>
      <x:c r="U135" s="81"/>
      <x:c r="V135" s="81"/>
      <x:c r="W135" s="81"/>
      <x:c r="X135" s="81"/>
      <x:c r="Y135" s="81"/>
      <x:c r="Z135" s="81"/>
    </x:row>
    <x:row r="136">
      <x:c r="A136" s="81"/>
      <x:c r="B136" s="81"/>
      <x:c r="C136" s="81"/>
      <x:c r="D136" s="81"/>
      <x:c r="E136" s="81"/>
      <x:c r="F136" s="81"/>
      <x:c r="G136" s="81"/>
      <x:c r="H136" s="81"/>
      <x:c r="I136" s="81"/>
      <x:c r="J136" s="81"/>
      <x:c r="K136" s="81"/>
      <x:c r="L136" s="81"/>
      <x:c r="M136" s="81"/>
      <x:c r="N136" s="81"/>
      <x:c r="O136" s="81"/>
      <x:c r="P136" s="81"/>
      <x:c r="Q136" s="81"/>
      <x:c r="R136" s="81"/>
      <x:c r="S136" s="81"/>
      <x:c r="T136" s="81"/>
      <x:c r="U136" s="81"/>
      <x:c r="V136" s="81"/>
      <x:c r="W136" s="81"/>
      <x:c r="X136" s="81"/>
      <x:c r="Y136" s="81"/>
      <x:c r="Z136" s="81"/>
    </x:row>
    <x:row r="137">
      <x:c r="A137" s="81"/>
      <x:c r="B137" s="81"/>
      <x:c r="C137" s="81"/>
      <x:c r="D137" s="81"/>
      <x:c r="E137" s="81"/>
      <x:c r="F137" s="81"/>
      <x:c r="G137" s="81"/>
      <x:c r="H137" s="81"/>
      <x:c r="I137" s="81"/>
      <x:c r="J137" s="81"/>
      <x:c r="K137" s="81"/>
      <x:c r="L137" s="81"/>
      <x:c r="M137" s="81"/>
      <x:c r="N137" s="81"/>
      <x:c r="O137" s="81"/>
      <x:c r="P137" s="81"/>
      <x:c r="Q137" s="81"/>
      <x:c r="R137" s="81"/>
      <x:c r="S137" s="81"/>
      <x:c r="T137" s="81"/>
      <x:c r="U137" s="81"/>
      <x:c r="V137" s="81"/>
      <x:c r="W137" s="81"/>
      <x:c r="X137" s="81"/>
      <x:c r="Y137" s="81"/>
      <x:c r="Z137" s="81"/>
    </x:row>
    <x:row r="138">
      <x:c r="A138" s="81"/>
      <x:c r="B138" s="81"/>
      <x:c r="C138" s="81"/>
      <x:c r="D138" s="81"/>
      <x:c r="E138" s="81"/>
      <x:c r="F138" s="81"/>
      <x:c r="G138" s="81"/>
      <x:c r="H138" s="81"/>
      <x:c r="I138" s="81"/>
      <x:c r="J138" s="81"/>
      <x:c r="K138" s="81"/>
      <x:c r="L138" s="81"/>
      <x:c r="M138" s="81"/>
      <x:c r="N138" s="81"/>
      <x:c r="O138" s="81"/>
      <x:c r="P138" s="81"/>
      <x:c r="Q138" s="81"/>
      <x:c r="R138" s="81"/>
      <x:c r="S138" s="81"/>
      <x:c r="T138" s="81"/>
      <x:c r="U138" s="81"/>
      <x:c r="V138" s="81"/>
      <x:c r="W138" s="81"/>
      <x:c r="X138" s="81"/>
      <x:c r="Y138" s="81"/>
      <x:c r="Z138" s="81"/>
    </x:row>
    <x:row r="139">
      <x:c r="A139" s="81"/>
      <x:c r="B139" s="81"/>
      <x:c r="C139" s="81"/>
      <x:c r="D139" s="81"/>
      <x:c r="E139" s="81"/>
      <x:c r="F139" s="81"/>
      <x:c r="G139" s="81"/>
      <x:c r="H139" s="81"/>
      <x:c r="I139" s="81"/>
      <x:c r="J139" s="81"/>
      <x:c r="K139" s="81"/>
      <x:c r="L139" s="81"/>
      <x:c r="M139" s="81"/>
      <x:c r="N139" s="81"/>
      <x:c r="O139" s="81"/>
      <x:c r="P139" s="81"/>
      <x:c r="Q139" s="81"/>
      <x:c r="R139" s="81"/>
      <x:c r="S139" s="81"/>
      <x:c r="T139" s="81"/>
      <x:c r="U139" s="81"/>
      <x:c r="V139" s="81"/>
      <x:c r="W139" s="81"/>
      <x:c r="X139" s="81"/>
      <x:c r="Y139" s="81"/>
      <x:c r="Z139" s="81"/>
    </x:row>
    <x:row r="140">
      <x:c r="A140" s="81"/>
      <x:c r="B140" s="81"/>
      <x:c r="C140" s="81"/>
      <x:c r="D140" s="81"/>
      <x:c r="E140" s="81"/>
      <x:c r="F140" s="81"/>
      <x:c r="G140" s="81"/>
      <x:c r="H140" s="81"/>
      <x:c r="I140" s="81"/>
      <x:c r="J140" s="81"/>
      <x:c r="K140" s="81"/>
      <x:c r="L140" s="81"/>
      <x:c r="M140" s="81"/>
      <x:c r="N140" s="81"/>
      <x:c r="O140" s="81"/>
      <x:c r="P140" s="81"/>
      <x:c r="Q140" s="81"/>
      <x:c r="R140" s="81"/>
      <x:c r="S140" s="81"/>
      <x:c r="T140" s="81"/>
      <x:c r="U140" s="81"/>
      <x:c r="V140" s="81"/>
      <x:c r="W140" s="81"/>
      <x:c r="X140" s="81"/>
      <x:c r="Y140" s="81"/>
      <x:c r="Z140" s="81"/>
    </x:row>
    <x:row r="141">
      <x:c r="A141" s="81"/>
      <x:c r="B141" s="81"/>
      <x:c r="C141" s="81"/>
      <x:c r="D141" s="81"/>
      <x:c r="E141" s="81"/>
      <x:c r="F141" s="81"/>
      <x:c r="G141" s="81"/>
      <x:c r="H141" s="81"/>
      <x:c r="I141" s="81"/>
      <x:c r="J141" s="81"/>
      <x:c r="K141" s="81"/>
      <x:c r="L141" s="81"/>
      <x:c r="M141" s="81"/>
      <x:c r="N141" s="81"/>
      <x:c r="O141" s="81"/>
      <x:c r="P141" s="81"/>
      <x:c r="Q141" s="81"/>
      <x:c r="R141" s="81"/>
      <x:c r="S141" s="81"/>
      <x:c r="T141" s="81"/>
      <x:c r="U141" s="81"/>
      <x:c r="V141" s="81"/>
      <x:c r="W141" s="81"/>
      <x:c r="X141" s="81"/>
      <x:c r="Y141" s="81"/>
      <x:c r="Z141" s="81"/>
    </x:row>
    <x:row r="142">
      <x:c r="A142" s="81"/>
      <x:c r="B142" s="81"/>
      <x:c r="C142" s="81"/>
      <x:c r="D142" s="81"/>
      <x:c r="E142" s="81"/>
      <x:c r="F142" s="81"/>
      <x:c r="G142" s="81"/>
      <x:c r="H142" s="81"/>
      <x:c r="I142" s="81"/>
      <x:c r="J142" s="81"/>
      <x:c r="K142" s="81"/>
      <x:c r="L142" s="81"/>
      <x:c r="M142" s="81"/>
      <x:c r="N142" s="81"/>
      <x:c r="O142" s="81"/>
      <x:c r="P142" s="81"/>
      <x:c r="Q142" s="81"/>
      <x:c r="R142" s="81"/>
      <x:c r="S142" s="81"/>
      <x:c r="T142" s="81"/>
      <x:c r="U142" s="81"/>
      <x:c r="V142" s="81"/>
      <x:c r="W142" s="81"/>
      <x:c r="X142" s="81"/>
      <x:c r="Y142" s="81"/>
      <x:c r="Z142" s="81"/>
    </x:row>
    <x:row r="143">
      <x:c r="A143" s="81"/>
      <x:c r="B143" s="81"/>
      <x:c r="C143" s="81"/>
      <x:c r="D143" s="81"/>
      <x:c r="E143" s="81"/>
      <x:c r="F143" s="81"/>
      <x:c r="G143" s="81"/>
      <x:c r="H143" s="81"/>
      <x:c r="I143" s="81"/>
      <x:c r="J143" s="81"/>
      <x:c r="K143" s="81"/>
      <x:c r="L143" s="81"/>
      <x:c r="M143" s="81"/>
      <x:c r="N143" s="81"/>
      <x:c r="O143" s="81"/>
      <x:c r="P143" s="81"/>
      <x:c r="Q143" s="81"/>
      <x:c r="R143" s="81"/>
      <x:c r="S143" s="81"/>
      <x:c r="T143" s="81"/>
      <x:c r="U143" s="81"/>
      <x:c r="V143" s="81"/>
      <x:c r="W143" s="81"/>
      <x:c r="X143" s="81"/>
      <x:c r="Y143" s="81"/>
      <x:c r="Z143" s="81"/>
    </x:row>
    <x:row r="144">
      <x:c r="A144" s="81"/>
      <x:c r="B144" s="81"/>
      <x:c r="C144" s="81"/>
      <x:c r="D144" s="81"/>
      <x:c r="E144" s="81"/>
      <x:c r="F144" s="81"/>
      <x:c r="G144" s="81"/>
      <x:c r="H144" s="81"/>
      <x:c r="I144" s="81"/>
      <x:c r="J144" s="81"/>
      <x:c r="K144" s="81"/>
      <x:c r="L144" s="81"/>
      <x:c r="M144" s="81"/>
      <x:c r="N144" s="81"/>
      <x:c r="O144" s="81"/>
      <x:c r="P144" s="81"/>
      <x:c r="Q144" s="81"/>
      <x:c r="R144" s="81"/>
      <x:c r="S144" s="81"/>
      <x:c r="T144" s="81"/>
      <x:c r="U144" s="81"/>
      <x:c r="V144" s="81"/>
      <x:c r="W144" s="81"/>
      <x:c r="X144" s="81"/>
      <x:c r="Y144" s="81"/>
      <x:c r="Z144" s="81"/>
    </x:row>
    <x:row r="145">
      <x:c r="A145" s="81"/>
      <x:c r="B145" s="81"/>
      <x:c r="C145" s="81"/>
      <x:c r="D145" s="81"/>
      <x:c r="E145" s="81"/>
      <x:c r="F145" s="81"/>
      <x:c r="G145" s="81"/>
      <x:c r="H145" s="81"/>
      <x:c r="I145" s="81"/>
      <x:c r="J145" s="81"/>
      <x:c r="K145" s="81"/>
      <x:c r="L145" s="81"/>
      <x:c r="M145" s="81"/>
      <x:c r="N145" s="81"/>
      <x:c r="O145" s="81"/>
      <x:c r="P145" s="81"/>
      <x:c r="Q145" s="81"/>
      <x:c r="R145" s="81"/>
      <x:c r="S145" s="81"/>
      <x:c r="T145" s="81"/>
      <x:c r="U145" s="81"/>
      <x:c r="V145" s="81"/>
      <x:c r="W145" s="81"/>
      <x:c r="X145" s="81"/>
      <x:c r="Y145" s="81"/>
      <x:c r="Z145" s="81"/>
    </x:row>
    <x:row r="146">
      <x:c r="A146" s="81"/>
      <x:c r="B146" s="81"/>
      <x:c r="C146" s="81"/>
      <x:c r="D146" s="81"/>
      <x:c r="E146" s="81"/>
      <x:c r="F146" s="81"/>
      <x:c r="G146" s="81"/>
      <x:c r="H146" s="81"/>
      <x:c r="I146" s="81"/>
      <x:c r="J146" s="81"/>
      <x:c r="K146" s="81"/>
      <x:c r="L146" s="81"/>
      <x:c r="M146" s="81"/>
      <x:c r="N146" s="81"/>
      <x:c r="O146" s="81"/>
      <x:c r="P146" s="81"/>
      <x:c r="Q146" s="81"/>
      <x:c r="R146" s="81"/>
      <x:c r="S146" s="81"/>
      <x:c r="T146" s="81"/>
      <x:c r="U146" s="81"/>
      <x:c r="V146" s="81"/>
      <x:c r="W146" s="81"/>
      <x:c r="X146" s="81"/>
      <x:c r="Y146" s="81"/>
      <x:c r="Z146" s="81"/>
    </x:row>
    <x:row r="147">
      <x:c r="A147" s="81"/>
      <x:c r="B147" s="81"/>
      <x:c r="C147" s="81"/>
      <x:c r="D147" s="81"/>
      <x:c r="E147" s="81"/>
      <x:c r="F147" s="81"/>
      <x:c r="G147" s="81"/>
      <x:c r="H147" s="81"/>
      <x:c r="I147" s="81"/>
      <x:c r="J147" s="81"/>
      <x:c r="K147" s="81"/>
      <x:c r="L147" s="81"/>
      <x:c r="M147" s="81"/>
      <x:c r="N147" s="81"/>
      <x:c r="O147" s="81"/>
      <x:c r="P147" s="81"/>
      <x:c r="Q147" s="81"/>
      <x:c r="R147" s="81"/>
      <x:c r="S147" s="81"/>
      <x:c r="T147" s="81"/>
      <x:c r="U147" s="81"/>
      <x:c r="V147" s="81"/>
      <x:c r="W147" s="81"/>
      <x:c r="X147" s="81"/>
      <x:c r="Y147" s="81"/>
      <x:c r="Z147" s="81"/>
    </x:row>
    <x:row r="148">
      <x:c r="A148" s="81"/>
      <x:c r="B148" s="81"/>
      <x:c r="C148" s="81"/>
      <x:c r="D148" s="81"/>
      <x:c r="E148" s="81"/>
      <x:c r="F148" s="81"/>
      <x:c r="G148" s="81"/>
      <x:c r="H148" s="81"/>
      <x:c r="I148" s="81"/>
      <x:c r="J148" s="81"/>
      <x:c r="K148" s="81"/>
      <x:c r="L148" s="81"/>
      <x:c r="M148" s="81"/>
      <x:c r="N148" s="81"/>
      <x:c r="O148" s="81"/>
      <x:c r="P148" s="81"/>
      <x:c r="Q148" s="81"/>
      <x:c r="R148" s="81"/>
      <x:c r="S148" s="81"/>
      <x:c r="T148" s="81"/>
      <x:c r="U148" s="81"/>
      <x:c r="V148" s="81"/>
      <x:c r="W148" s="81"/>
      <x:c r="X148" s="81"/>
      <x:c r="Y148" s="81"/>
      <x:c r="Z148" s="81"/>
    </x:row>
    <x:row r="149">
      <x:c r="A149" s="81"/>
      <x:c r="B149" s="81"/>
      <x:c r="C149" s="81"/>
      <x:c r="D149" s="81"/>
      <x:c r="E149" s="81"/>
      <x:c r="F149" s="81"/>
      <x:c r="G149" s="81"/>
      <x:c r="H149" s="81"/>
      <x:c r="I149" s="81"/>
      <x:c r="J149" s="81"/>
      <x:c r="K149" s="81"/>
      <x:c r="L149" s="81"/>
      <x:c r="M149" s="81"/>
      <x:c r="N149" s="81"/>
      <x:c r="O149" s="81"/>
      <x:c r="P149" s="81"/>
      <x:c r="Q149" s="81"/>
      <x:c r="R149" s="81"/>
      <x:c r="S149" s="81"/>
      <x:c r="T149" s="81"/>
      <x:c r="U149" s="81"/>
      <x:c r="V149" s="81"/>
      <x:c r="W149" s="81"/>
      <x:c r="X149" s="81"/>
      <x:c r="Y149" s="81"/>
      <x:c r="Z149" s="81"/>
    </x:row>
    <x:row r="150">
      <x:c r="A150" s="81"/>
      <x:c r="B150" s="81"/>
      <x:c r="C150" s="81"/>
      <x:c r="D150" s="81"/>
      <x:c r="E150" s="81"/>
      <x:c r="F150" s="81"/>
      <x:c r="G150" s="81"/>
      <x:c r="H150" s="81"/>
      <x:c r="I150" s="81"/>
      <x:c r="J150" s="81"/>
      <x:c r="K150" s="81"/>
      <x:c r="L150" s="81"/>
      <x:c r="M150" s="81"/>
      <x:c r="N150" s="81"/>
      <x:c r="O150" s="81"/>
      <x:c r="P150" s="81"/>
      <x:c r="Q150" s="81"/>
      <x:c r="R150" s="81"/>
      <x:c r="S150" s="81"/>
      <x:c r="T150" s="81"/>
      <x:c r="U150" s="81"/>
      <x:c r="V150" s="81"/>
      <x:c r="W150" s="81"/>
      <x:c r="X150" s="81"/>
      <x:c r="Y150" s="81"/>
      <x:c r="Z150" s="81"/>
    </x:row>
    <x:row r="151">
      <x:c r="A151" s="81"/>
      <x:c r="B151" s="81"/>
      <x:c r="C151" s="81"/>
      <x:c r="D151" s="81"/>
      <x:c r="E151" s="81"/>
      <x:c r="F151" s="81"/>
      <x:c r="G151" s="81"/>
      <x:c r="H151" s="81"/>
      <x:c r="I151" s="81"/>
      <x:c r="J151" s="81"/>
      <x:c r="K151" s="81"/>
      <x:c r="L151" s="81"/>
      <x:c r="M151" s="81"/>
      <x:c r="N151" s="81"/>
      <x:c r="O151" s="81"/>
      <x:c r="P151" s="81"/>
      <x:c r="Q151" s="81"/>
      <x:c r="R151" s="81"/>
      <x:c r="S151" s="81"/>
      <x:c r="T151" s="81"/>
      <x:c r="U151" s="81"/>
      <x:c r="V151" s="81"/>
      <x:c r="W151" s="81"/>
      <x:c r="X151" s="81"/>
      <x:c r="Y151" s="81"/>
      <x:c r="Z151" s="81"/>
    </x:row>
    <x:row r="152">
      <x:c r="A152" s="81"/>
      <x:c r="B152" s="81"/>
      <x:c r="C152" s="81"/>
      <x:c r="D152" s="81"/>
      <x:c r="E152" s="81"/>
      <x:c r="F152" s="81"/>
      <x:c r="G152" s="81"/>
      <x:c r="H152" s="81"/>
      <x:c r="I152" s="81"/>
      <x:c r="J152" s="81"/>
      <x:c r="K152" s="81"/>
      <x:c r="L152" s="81"/>
      <x:c r="M152" s="81"/>
      <x:c r="N152" s="81"/>
      <x:c r="O152" s="81"/>
      <x:c r="P152" s="81"/>
      <x:c r="Q152" s="81"/>
      <x:c r="R152" s="81"/>
      <x:c r="S152" s="81"/>
      <x:c r="T152" s="81"/>
      <x:c r="U152" s="81"/>
      <x:c r="V152" s="81"/>
      <x:c r="W152" s="81"/>
      <x:c r="X152" s="81"/>
      <x:c r="Y152" s="81"/>
      <x:c r="Z152" s="81"/>
    </x:row>
    <x:row r="153">
      <x:c r="A153" s="81"/>
      <x:c r="B153" s="81"/>
      <x:c r="C153" s="81"/>
      <x:c r="D153" s="81"/>
      <x:c r="E153" s="81"/>
      <x:c r="F153" s="81"/>
      <x:c r="G153" s="81"/>
      <x:c r="H153" s="81"/>
      <x:c r="I153" s="81"/>
      <x:c r="J153" s="81"/>
      <x:c r="K153" s="81"/>
      <x:c r="L153" s="81"/>
      <x:c r="M153" s="81"/>
      <x:c r="N153" s="81"/>
      <x:c r="O153" s="81"/>
      <x:c r="P153" s="81"/>
      <x:c r="Q153" s="81"/>
      <x:c r="R153" s="81"/>
      <x:c r="S153" s="81"/>
      <x:c r="T153" s="81"/>
      <x:c r="U153" s="81"/>
      <x:c r="V153" s="81"/>
      <x:c r="W153" s="81"/>
      <x:c r="X153" s="81"/>
      <x:c r="Y153" s="81"/>
      <x:c r="Z153" s="81"/>
    </x:row>
    <x:row r="154">
      <x:c r="A154" s="81"/>
      <x:c r="B154" s="81"/>
      <x:c r="C154" s="81"/>
      <x:c r="D154" s="81"/>
      <x:c r="E154" s="81"/>
      <x:c r="F154" s="81"/>
      <x:c r="G154" s="81"/>
      <x:c r="H154" s="81"/>
      <x:c r="I154" s="81"/>
      <x:c r="J154" s="81"/>
      <x:c r="K154" s="81"/>
      <x:c r="L154" s="81"/>
      <x:c r="M154" s="81"/>
      <x:c r="N154" s="81"/>
      <x:c r="O154" s="81"/>
      <x:c r="P154" s="81"/>
      <x:c r="Q154" s="81"/>
      <x:c r="R154" s="81"/>
      <x:c r="S154" s="81"/>
      <x:c r="T154" s="81"/>
      <x:c r="U154" s="81"/>
      <x:c r="V154" s="81"/>
      <x:c r="W154" s="81"/>
      <x:c r="X154" s="81"/>
      <x:c r="Y154" s="81"/>
      <x:c r="Z154" s="81"/>
    </x:row>
    <x:row r="155">
      <x:c r="A155" s="81"/>
      <x:c r="B155" s="81"/>
      <x:c r="C155" s="81"/>
      <x:c r="D155" s="81"/>
      <x:c r="E155" s="81"/>
      <x:c r="F155" s="81"/>
      <x:c r="G155" s="81"/>
      <x:c r="H155" s="81"/>
      <x:c r="I155" s="81"/>
      <x:c r="J155" s="81"/>
      <x:c r="K155" s="81"/>
      <x:c r="L155" s="81"/>
      <x:c r="M155" s="81"/>
      <x:c r="N155" s="81"/>
      <x:c r="O155" s="81"/>
      <x:c r="P155" s="81"/>
      <x:c r="Q155" s="81"/>
      <x:c r="R155" s="81"/>
      <x:c r="S155" s="81"/>
      <x:c r="T155" s="81"/>
      <x:c r="U155" s="81"/>
      <x:c r="V155" s="81"/>
      <x:c r="W155" s="81"/>
      <x:c r="X155" s="81"/>
      <x:c r="Y155" s="81"/>
      <x:c r="Z155" s="81"/>
    </x:row>
    <x:row r="156">
      <x:c r="A156" s="81"/>
      <x:c r="B156" s="81"/>
      <x:c r="C156" s="81"/>
      <x:c r="D156" s="81"/>
      <x:c r="E156" s="81"/>
      <x:c r="F156" s="81"/>
      <x:c r="G156" s="81"/>
      <x:c r="H156" s="81"/>
      <x:c r="I156" s="81"/>
      <x:c r="J156" s="81"/>
      <x:c r="K156" s="81"/>
      <x:c r="L156" s="81"/>
      <x:c r="M156" s="81"/>
      <x:c r="N156" s="81"/>
      <x:c r="O156" s="81"/>
      <x:c r="P156" s="81"/>
      <x:c r="Q156" s="81"/>
      <x:c r="R156" s="81"/>
      <x:c r="S156" s="81"/>
      <x:c r="T156" s="81"/>
      <x:c r="U156" s="81"/>
      <x:c r="V156" s="81"/>
      <x:c r="W156" s="81"/>
      <x:c r="X156" s="81"/>
      <x:c r="Y156" s="81"/>
      <x:c r="Z156" s="81"/>
    </x:row>
    <x:row r="157">
      <x:c r="A157" s="81"/>
      <x:c r="B157" s="81"/>
      <x:c r="C157" s="81"/>
      <x:c r="D157" s="81"/>
      <x:c r="E157" s="81"/>
      <x:c r="F157" s="81"/>
      <x:c r="G157" s="81"/>
      <x:c r="H157" s="81"/>
      <x:c r="I157" s="81"/>
      <x:c r="J157" s="81"/>
      <x:c r="K157" s="81"/>
      <x:c r="L157" s="81"/>
      <x:c r="M157" s="81"/>
      <x:c r="N157" s="81"/>
      <x:c r="O157" s="81"/>
      <x:c r="P157" s="81"/>
      <x:c r="Q157" s="81"/>
      <x:c r="R157" s="81"/>
      <x:c r="S157" s="81"/>
      <x:c r="T157" s="81"/>
      <x:c r="U157" s="81"/>
      <x:c r="V157" s="81"/>
      <x:c r="W157" s="81"/>
      <x:c r="X157" s="81"/>
      <x:c r="Y157" s="81"/>
      <x:c r="Z157" s="81"/>
    </x:row>
    <x:row r="158">
      <x:c r="A158" s="81"/>
      <x:c r="B158" s="81"/>
      <x:c r="C158" s="81"/>
      <x:c r="D158" s="81"/>
      <x:c r="E158" s="81"/>
      <x:c r="F158" s="81"/>
      <x:c r="G158" s="81"/>
      <x:c r="H158" s="81"/>
      <x:c r="I158" s="81"/>
      <x:c r="J158" s="81"/>
      <x:c r="K158" s="81"/>
      <x:c r="L158" s="81"/>
      <x:c r="M158" s="81"/>
      <x:c r="N158" s="81"/>
      <x:c r="O158" s="81"/>
      <x:c r="P158" s="81"/>
      <x:c r="Q158" s="81"/>
      <x:c r="R158" s="81"/>
      <x:c r="S158" s="81"/>
      <x:c r="T158" s="81"/>
      <x:c r="U158" s="81"/>
      <x:c r="V158" s="81"/>
      <x:c r="W158" s="81"/>
      <x:c r="X158" s="81"/>
      <x:c r="Y158" s="81"/>
      <x:c r="Z158" s="81"/>
    </x:row>
    <x:row r="159">
      <x:c r="A159" s="81"/>
      <x:c r="B159" s="81"/>
      <x:c r="C159" s="81"/>
      <x:c r="D159" s="81"/>
      <x:c r="E159" s="81"/>
      <x:c r="F159" s="81"/>
      <x:c r="G159" s="81"/>
      <x:c r="H159" s="81"/>
      <x:c r="I159" s="81"/>
      <x:c r="J159" s="81"/>
      <x:c r="K159" s="81"/>
      <x:c r="L159" s="81"/>
      <x:c r="M159" s="81"/>
      <x:c r="N159" s="81"/>
      <x:c r="O159" s="81"/>
      <x:c r="P159" s="81"/>
      <x:c r="Q159" s="81"/>
      <x:c r="R159" s="81"/>
      <x:c r="S159" s="81"/>
      <x:c r="T159" s="81"/>
      <x:c r="U159" s="81"/>
      <x:c r="V159" s="81"/>
      <x:c r="W159" s="81"/>
      <x:c r="X159" s="81"/>
      <x:c r="Y159" s="81"/>
      <x:c r="Z159" s="81"/>
    </x:row>
    <x:row r="160">
      <x:c r="A160" s="81"/>
      <x:c r="B160" s="81"/>
      <x:c r="C160" s="81"/>
      <x:c r="D160" s="81"/>
      <x:c r="E160" s="81"/>
      <x:c r="F160" s="81"/>
      <x:c r="G160" s="81"/>
      <x:c r="H160" s="81"/>
      <x:c r="I160" s="81"/>
      <x:c r="J160" s="81"/>
      <x:c r="K160" s="81"/>
      <x:c r="L160" s="81"/>
      <x:c r="M160" s="81"/>
      <x:c r="N160" s="81"/>
      <x:c r="O160" s="81"/>
      <x:c r="P160" s="81"/>
      <x:c r="Q160" s="81"/>
      <x:c r="R160" s="81"/>
      <x:c r="S160" s="81"/>
      <x:c r="T160" s="81"/>
      <x:c r="U160" s="81"/>
      <x:c r="V160" s="81"/>
      <x:c r="W160" s="81"/>
      <x:c r="X160" s="81"/>
      <x:c r="Y160" s="81"/>
      <x:c r="Z160" s="81"/>
    </x:row>
    <x:row r="161">
      <x:c r="A161" s="81"/>
      <x:c r="B161" s="81"/>
      <x:c r="C161" s="81"/>
      <x:c r="D161" s="81"/>
      <x:c r="E161" s="81"/>
      <x:c r="F161" s="81"/>
      <x:c r="G161" s="81"/>
      <x:c r="H161" s="81"/>
      <x:c r="I161" s="81"/>
      <x:c r="J161" s="81"/>
      <x:c r="K161" s="81"/>
      <x:c r="L161" s="81"/>
      <x:c r="M161" s="81"/>
      <x:c r="N161" s="81"/>
      <x:c r="O161" s="81"/>
      <x:c r="P161" s="81"/>
      <x:c r="Q161" s="81"/>
      <x:c r="R161" s="81"/>
      <x:c r="S161" s="81"/>
      <x:c r="T161" s="81"/>
      <x:c r="U161" s="81"/>
      <x:c r="V161" s="81"/>
      <x:c r="W161" s="81"/>
      <x:c r="X161" s="81"/>
      <x:c r="Y161" s="81"/>
      <x:c r="Z161" s="81"/>
    </x:row>
    <x:row r="162">
      <x:c r="A162" s="81"/>
      <x:c r="B162" s="81"/>
      <x:c r="C162" s="81"/>
      <x:c r="D162" s="81"/>
      <x:c r="E162" s="81"/>
      <x:c r="F162" s="81"/>
      <x:c r="G162" s="81"/>
      <x:c r="H162" s="81"/>
      <x:c r="I162" s="81"/>
      <x:c r="J162" s="81"/>
      <x:c r="K162" s="81"/>
      <x:c r="L162" s="81"/>
      <x:c r="M162" s="81"/>
      <x:c r="N162" s="81"/>
      <x:c r="O162" s="81"/>
      <x:c r="P162" s="81"/>
      <x:c r="Q162" s="81"/>
      <x:c r="R162" s="81"/>
      <x:c r="S162" s="81"/>
      <x:c r="T162" s="81"/>
      <x:c r="U162" s="81"/>
      <x:c r="V162" s="81"/>
      <x:c r="W162" s="81"/>
      <x:c r="X162" s="81"/>
      <x:c r="Y162" s="81"/>
      <x:c r="Z162" s="81"/>
    </x:row>
    <x:row r="163">
      <x:c r="A163" s="81"/>
      <x:c r="B163" s="81"/>
      <x:c r="C163" s="81"/>
      <x:c r="D163" s="81"/>
      <x:c r="E163" s="81"/>
      <x:c r="F163" s="81"/>
      <x:c r="G163" s="81"/>
      <x:c r="H163" s="81"/>
      <x:c r="I163" s="81"/>
      <x:c r="J163" s="81"/>
      <x:c r="K163" s="81"/>
      <x:c r="L163" s="81"/>
      <x:c r="M163" s="81"/>
      <x:c r="N163" s="81"/>
      <x:c r="O163" s="81"/>
      <x:c r="P163" s="81"/>
      <x:c r="Q163" s="81"/>
      <x:c r="R163" s="81"/>
      <x:c r="S163" s="81"/>
      <x:c r="T163" s="81"/>
      <x:c r="U163" s="81"/>
      <x:c r="V163" s="81"/>
      <x:c r="W163" s="81"/>
      <x:c r="X163" s="81"/>
      <x:c r="Y163" s="81"/>
      <x:c r="Z163" s="81"/>
    </x:row>
    <x:row r="164">
      <x:c r="A164" s="81"/>
      <x:c r="B164" s="81"/>
      <x:c r="C164" s="81"/>
      <x:c r="D164" s="81"/>
      <x:c r="E164" s="81"/>
      <x:c r="F164" s="81"/>
      <x:c r="G164" s="81"/>
      <x:c r="H164" s="81"/>
      <x:c r="I164" s="81"/>
      <x:c r="J164" s="81"/>
      <x:c r="K164" s="81"/>
      <x:c r="L164" s="81"/>
      <x:c r="M164" s="81"/>
      <x:c r="N164" s="81"/>
      <x:c r="O164" s="81"/>
      <x:c r="P164" s="81"/>
      <x:c r="Q164" s="81"/>
      <x:c r="R164" s="81"/>
      <x:c r="S164" s="81"/>
      <x:c r="T164" s="81"/>
      <x:c r="U164" s="81"/>
      <x:c r="V164" s="81"/>
      <x:c r="W164" s="81"/>
      <x:c r="X164" s="81"/>
      <x:c r="Y164" s="81"/>
      <x:c r="Z164" s="81"/>
    </x:row>
    <x:row r="165">
      <x:c r="A165" s="81"/>
      <x:c r="B165" s="81"/>
      <x:c r="C165" s="81"/>
      <x:c r="D165" s="81"/>
      <x:c r="E165" s="81"/>
      <x:c r="F165" s="81"/>
      <x:c r="G165" s="81"/>
      <x:c r="H165" s="81"/>
      <x:c r="I165" s="81"/>
      <x:c r="J165" s="81"/>
      <x:c r="K165" s="81"/>
      <x:c r="L165" s="81"/>
      <x:c r="M165" s="81"/>
      <x:c r="N165" s="81"/>
      <x:c r="O165" s="81"/>
      <x:c r="P165" s="81"/>
      <x:c r="Q165" s="81"/>
      <x:c r="R165" s="81"/>
      <x:c r="S165" s="81"/>
      <x:c r="T165" s="81"/>
      <x:c r="U165" s="81"/>
      <x:c r="V165" s="81"/>
      <x:c r="W165" s="81"/>
      <x:c r="X165" s="81"/>
      <x:c r="Y165" s="81"/>
      <x:c r="Z165" s="81"/>
    </x:row>
    <x:row r="166">
      <x:c r="A166" s="81"/>
      <x:c r="B166" s="81"/>
      <x:c r="C166" s="81"/>
      <x:c r="D166" s="81"/>
      <x:c r="E166" s="81"/>
      <x:c r="F166" s="81"/>
      <x:c r="G166" s="81"/>
      <x:c r="H166" s="81"/>
      <x:c r="I166" s="81"/>
      <x:c r="J166" s="81"/>
      <x:c r="K166" s="81"/>
      <x:c r="L166" s="81"/>
      <x:c r="M166" s="81"/>
      <x:c r="N166" s="81"/>
      <x:c r="O166" s="81"/>
      <x:c r="P166" s="81"/>
      <x:c r="Q166" s="81"/>
      <x:c r="R166" s="81"/>
      <x:c r="S166" s="81"/>
      <x:c r="T166" s="81"/>
      <x:c r="U166" s="81"/>
      <x:c r="V166" s="81"/>
      <x:c r="W166" s="81"/>
      <x:c r="X166" s="81"/>
      <x:c r="Y166" s="81"/>
      <x:c r="Z166" s="81"/>
    </x:row>
    <x:row r="167">
      <x:c r="A167" s="81"/>
      <x:c r="B167" s="81"/>
      <x:c r="C167" s="81"/>
      <x:c r="D167" s="81"/>
      <x:c r="E167" s="81"/>
      <x:c r="F167" s="81"/>
      <x:c r="G167" s="81"/>
      <x:c r="H167" s="81"/>
      <x:c r="I167" s="81"/>
      <x:c r="J167" s="81"/>
      <x:c r="K167" s="81"/>
      <x:c r="L167" s="81"/>
      <x:c r="M167" s="81"/>
      <x:c r="N167" s="81"/>
      <x:c r="O167" s="81"/>
      <x:c r="P167" s="81"/>
      <x:c r="Q167" s="81"/>
      <x:c r="R167" s="81"/>
      <x:c r="S167" s="81"/>
      <x:c r="T167" s="81"/>
      <x:c r="U167" s="81"/>
      <x:c r="V167" s="81"/>
      <x:c r="W167" s="81"/>
      <x:c r="X167" s="81"/>
      <x:c r="Y167" s="81"/>
      <x:c r="Z167" s="81"/>
    </x:row>
    <x:row r="168">
      <x:c r="A168" s="81"/>
      <x:c r="B168" s="81"/>
      <x:c r="C168" s="81"/>
      <x:c r="D168" s="81"/>
      <x:c r="E168" s="81"/>
      <x:c r="F168" s="81"/>
      <x:c r="G168" s="81"/>
      <x:c r="H168" s="81"/>
      <x:c r="I168" s="81"/>
      <x:c r="J168" s="81"/>
      <x:c r="K168" s="81"/>
      <x:c r="L168" s="81"/>
      <x:c r="M168" s="81"/>
      <x:c r="N168" s="81"/>
      <x:c r="O168" s="81"/>
      <x:c r="P168" s="81"/>
      <x:c r="Q168" s="81"/>
      <x:c r="R168" s="81"/>
      <x:c r="S168" s="81"/>
      <x:c r="T168" s="81"/>
      <x:c r="U168" s="81"/>
      <x:c r="V168" s="81"/>
      <x:c r="W168" s="81"/>
      <x:c r="X168" s="81"/>
      <x:c r="Y168" s="81"/>
      <x:c r="Z168" s="81"/>
    </x:row>
    <x:row r="169">
      <x:c r="A169" s="81"/>
      <x:c r="B169" s="81"/>
      <x:c r="C169" s="81"/>
      <x:c r="D169" s="81"/>
      <x:c r="E169" s="81"/>
      <x:c r="F169" s="81"/>
      <x:c r="G169" s="81"/>
      <x:c r="H169" s="81"/>
      <x:c r="I169" s="81"/>
      <x:c r="J169" s="81"/>
      <x:c r="K169" s="81"/>
      <x:c r="L169" s="81"/>
      <x:c r="M169" s="81"/>
      <x:c r="N169" s="81"/>
      <x:c r="O169" s="81"/>
      <x:c r="P169" s="81"/>
      <x:c r="Q169" s="81"/>
      <x:c r="R169" s="81"/>
      <x:c r="S169" s="81"/>
      <x:c r="T169" s="81"/>
      <x:c r="U169" s="81"/>
      <x:c r="V169" s="81"/>
      <x:c r="W169" s="81"/>
      <x:c r="X169" s="81"/>
      <x:c r="Y169" s="81"/>
      <x:c r="Z169" s="81"/>
    </x:row>
    <x:row r="170">
      <x:c r="A170" s="81"/>
      <x:c r="B170" s="81"/>
      <x:c r="C170" s="81"/>
      <x:c r="D170" s="81"/>
      <x:c r="E170" s="81"/>
      <x:c r="F170" s="81"/>
      <x:c r="G170" s="81"/>
      <x:c r="H170" s="81"/>
      <x:c r="I170" s="81"/>
      <x:c r="J170" s="81"/>
      <x:c r="K170" s="81"/>
      <x:c r="L170" s="81"/>
      <x:c r="M170" s="81"/>
      <x:c r="N170" s="81"/>
      <x:c r="O170" s="81"/>
      <x:c r="P170" s="81"/>
      <x:c r="Q170" s="81"/>
      <x:c r="R170" s="81"/>
      <x:c r="S170" s="81"/>
      <x:c r="T170" s="81"/>
      <x:c r="U170" s="81"/>
      <x:c r="V170" s="81"/>
      <x:c r="W170" s="81"/>
      <x:c r="X170" s="81"/>
      <x:c r="Y170" s="81"/>
      <x:c r="Z170" s="81"/>
    </x:row>
    <x:row r="171">
      <x:c r="A171" s="81"/>
      <x:c r="B171" s="81"/>
      <x:c r="C171" s="81"/>
      <x:c r="D171" s="81"/>
      <x:c r="E171" s="81"/>
      <x:c r="F171" s="81"/>
      <x:c r="G171" s="81"/>
      <x:c r="H171" s="81"/>
      <x:c r="I171" s="81"/>
      <x:c r="J171" s="81"/>
      <x:c r="K171" s="81"/>
      <x:c r="L171" s="81"/>
      <x:c r="M171" s="81"/>
      <x:c r="N171" s="81"/>
      <x:c r="O171" s="81"/>
      <x:c r="P171" s="81"/>
      <x:c r="Q171" s="81"/>
      <x:c r="R171" s="81"/>
      <x:c r="S171" s="81"/>
      <x:c r="T171" s="81"/>
      <x:c r="U171" s="81"/>
      <x:c r="V171" s="81"/>
      <x:c r="W171" s="81"/>
      <x:c r="X171" s="81"/>
      <x:c r="Y171" s="81"/>
      <x:c r="Z171" s="81"/>
    </x:row>
    <x:row r="172">
      <x:c r="A172" s="81"/>
      <x:c r="B172" s="81"/>
      <x:c r="C172" s="81"/>
      <x:c r="D172" s="81"/>
      <x:c r="E172" s="81"/>
      <x:c r="F172" s="81"/>
      <x:c r="G172" s="81"/>
      <x:c r="H172" s="81"/>
      <x:c r="I172" s="81"/>
      <x:c r="J172" s="81"/>
      <x:c r="K172" s="81"/>
      <x:c r="L172" s="81"/>
      <x:c r="M172" s="81"/>
      <x:c r="N172" s="81"/>
      <x:c r="O172" s="81"/>
      <x:c r="P172" s="81"/>
      <x:c r="Q172" s="81"/>
      <x:c r="R172" s="81"/>
      <x:c r="S172" s="81"/>
      <x:c r="T172" s="81"/>
      <x:c r="U172" s="81"/>
      <x:c r="V172" s="81"/>
      <x:c r="W172" s="81"/>
      <x:c r="X172" s="81"/>
      <x:c r="Y172" s="81"/>
      <x:c r="Z172" s="81"/>
    </x:row>
    <x:row r="173">
      <x:c r="A173" s="81"/>
      <x:c r="B173" s="81"/>
      <x:c r="C173" s="81"/>
      <x:c r="D173" s="81"/>
      <x:c r="E173" s="81"/>
      <x:c r="F173" s="81"/>
      <x:c r="G173" s="81"/>
      <x:c r="H173" s="81"/>
      <x:c r="I173" s="81"/>
      <x:c r="J173" s="81"/>
      <x:c r="K173" s="81"/>
      <x:c r="L173" s="81"/>
      <x:c r="M173" s="81"/>
      <x:c r="N173" s="81"/>
      <x:c r="O173" s="81"/>
      <x:c r="P173" s="81"/>
      <x:c r="Q173" s="81"/>
      <x:c r="R173" s="81"/>
      <x:c r="S173" s="81"/>
      <x:c r="T173" s="81"/>
      <x:c r="U173" s="81"/>
      <x:c r="V173" s="81"/>
      <x:c r="W173" s="81"/>
      <x:c r="X173" s="81"/>
      <x:c r="Y173" s="81"/>
      <x:c r="Z173" s="81"/>
    </x:row>
    <x:row r="174">
      <x:c r="A174" s="81"/>
      <x:c r="B174" s="81"/>
      <x:c r="C174" s="81"/>
      <x:c r="D174" s="81"/>
      <x:c r="E174" s="81"/>
      <x:c r="F174" s="81"/>
      <x:c r="G174" s="81"/>
      <x:c r="H174" s="81"/>
      <x:c r="I174" s="81"/>
      <x:c r="J174" s="81"/>
      <x:c r="K174" s="81"/>
      <x:c r="L174" s="81"/>
      <x:c r="M174" s="81"/>
      <x:c r="N174" s="81"/>
      <x:c r="O174" s="81"/>
      <x:c r="P174" s="81"/>
      <x:c r="Q174" s="81"/>
      <x:c r="R174" s="81"/>
      <x:c r="S174" s="81"/>
      <x:c r="T174" s="81"/>
      <x:c r="U174" s="81"/>
      <x:c r="V174" s="81"/>
      <x:c r="W174" s="81"/>
      <x:c r="X174" s="81"/>
      <x:c r="Y174" s="81"/>
      <x:c r="Z174" s="81"/>
    </x:row>
    <x:row r="175">
      <x:c r="A175" s="81"/>
      <x:c r="B175" s="81"/>
      <x:c r="C175" s="81"/>
      <x:c r="D175" s="81"/>
      <x:c r="E175" s="81"/>
      <x:c r="F175" s="81"/>
      <x:c r="G175" s="81"/>
      <x:c r="H175" s="81"/>
      <x:c r="I175" s="81"/>
      <x:c r="J175" s="81"/>
      <x:c r="K175" s="81"/>
      <x:c r="L175" s="81"/>
      <x:c r="M175" s="81"/>
      <x:c r="N175" s="81"/>
      <x:c r="O175" s="81"/>
      <x:c r="P175" s="81"/>
      <x:c r="Q175" s="81"/>
      <x:c r="R175" s="81"/>
      <x:c r="S175" s="81"/>
      <x:c r="T175" s="81"/>
      <x:c r="U175" s="81"/>
      <x:c r="V175" s="81"/>
      <x:c r="W175" s="81"/>
      <x:c r="X175" s="81"/>
      <x:c r="Y175" s="81"/>
      <x:c r="Z175" s="81"/>
    </x:row>
    <x:row r="176">
      <x:c r="A176" s="81"/>
      <x:c r="B176" s="81"/>
      <x:c r="C176" s="81"/>
      <x:c r="D176" s="81"/>
      <x:c r="E176" s="81"/>
      <x:c r="F176" s="81"/>
      <x:c r="G176" s="81"/>
      <x:c r="H176" s="81"/>
      <x:c r="I176" s="81"/>
      <x:c r="J176" s="81"/>
      <x:c r="K176" s="81"/>
      <x:c r="L176" s="81"/>
      <x:c r="M176" s="81"/>
      <x:c r="N176" s="81"/>
      <x:c r="O176" s="81"/>
      <x:c r="P176" s="81"/>
      <x:c r="Q176" s="81"/>
      <x:c r="R176" s="81"/>
      <x:c r="S176" s="81"/>
      <x:c r="T176" s="81"/>
      <x:c r="U176" s="81"/>
      <x:c r="V176" s="81"/>
      <x:c r="W176" s="81"/>
      <x:c r="X176" s="81"/>
      <x:c r="Y176" s="81"/>
      <x:c r="Z176" s="81"/>
    </x:row>
    <x:row r="177">
      <x:c r="A177" s="81"/>
      <x:c r="B177" s="81"/>
      <x:c r="C177" s="81"/>
      <x:c r="D177" s="81"/>
      <x:c r="E177" s="81"/>
      <x:c r="F177" s="81"/>
      <x:c r="G177" s="81"/>
      <x:c r="H177" s="81"/>
      <x:c r="I177" s="81"/>
      <x:c r="J177" s="81"/>
      <x:c r="K177" s="81"/>
      <x:c r="L177" s="81"/>
      <x:c r="M177" s="81"/>
      <x:c r="N177" s="81"/>
      <x:c r="O177" s="81"/>
      <x:c r="P177" s="81"/>
      <x:c r="Q177" s="81"/>
      <x:c r="R177" s="81"/>
      <x:c r="S177" s="81"/>
      <x:c r="T177" s="81"/>
      <x:c r="U177" s="81"/>
      <x:c r="V177" s="81"/>
      <x:c r="W177" s="81"/>
      <x:c r="X177" s="81"/>
      <x:c r="Y177" s="81"/>
      <x:c r="Z177" s="81"/>
    </x:row>
    <x:row r="178">
      <x:c r="A178" s="81"/>
      <x:c r="B178" s="81"/>
      <x:c r="C178" s="81"/>
      <x:c r="D178" s="81"/>
      <x:c r="E178" s="81"/>
      <x:c r="F178" s="81"/>
      <x:c r="G178" s="81"/>
      <x:c r="H178" s="81"/>
      <x:c r="I178" s="81"/>
      <x:c r="J178" s="81"/>
      <x:c r="K178" s="81"/>
      <x:c r="L178" s="81"/>
      <x:c r="M178" s="81"/>
      <x:c r="N178" s="81"/>
      <x:c r="O178" s="81"/>
      <x:c r="P178" s="81"/>
      <x:c r="Q178" s="81"/>
      <x:c r="R178" s="81"/>
      <x:c r="S178" s="81"/>
      <x:c r="T178" s="81"/>
      <x:c r="U178" s="81"/>
      <x:c r="V178" s="81"/>
      <x:c r="W178" s="81"/>
      <x:c r="X178" s="81"/>
      <x:c r="Y178" s="81"/>
      <x:c r="Z178" s="81"/>
    </x:row>
    <x:row r="179">
      <x:c r="A179" s="81"/>
      <x:c r="B179" s="81"/>
      <x:c r="C179" s="81"/>
      <x:c r="D179" s="81"/>
      <x:c r="E179" s="81"/>
      <x:c r="F179" s="81"/>
      <x:c r="G179" s="81"/>
      <x:c r="H179" s="81"/>
      <x:c r="I179" s="81"/>
      <x:c r="J179" s="81"/>
      <x:c r="K179" s="81"/>
      <x:c r="L179" s="81"/>
      <x:c r="M179" s="81"/>
      <x:c r="N179" s="81"/>
      <x:c r="O179" s="81"/>
      <x:c r="P179" s="81"/>
      <x:c r="Q179" s="81"/>
      <x:c r="R179" s="81"/>
      <x:c r="S179" s="81"/>
      <x:c r="T179" s="81"/>
      <x:c r="U179" s="81"/>
      <x:c r="V179" s="81"/>
      <x:c r="W179" s="81"/>
      <x:c r="X179" s="81"/>
      <x:c r="Y179" s="81"/>
      <x:c r="Z179" s="81"/>
    </x:row>
    <x:row r="180">
      <x:c r="A180" s="81"/>
      <x:c r="B180" s="81"/>
      <x:c r="C180" s="81"/>
      <x:c r="D180" s="81"/>
      <x:c r="E180" s="81"/>
      <x:c r="F180" s="81"/>
      <x:c r="G180" s="81"/>
      <x:c r="H180" s="81"/>
      <x:c r="I180" s="81"/>
      <x:c r="J180" s="81"/>
      <x:c r="K180" s="81"/>
      <x:c r="L180" s="81"/>
      <x:c r="M180" s="81"/>
      <x:c r="N180" s="81"/>
      <x:c r="O180" s="81"/>
      <x:c r="P180" s="81"/>
      <x:c r="Q180" s="81"/>
      <x:c r="R180" s="81"/>
      <x:c r="S180" s="81"/>
      <x:c r="T180" s="81"/>
      <x:c r="U180" s="81"/>
      <x:c r="V180" s="81"/>
      <x:c r="W180" s="81"/>
      <x:c r="X180" s="81"/>
      <x:c r="Y180" s="81"/>
      <x:c r="Z180" s="81"/>
    </x:row>
    <x:row r="181">
      <x:c r="A181" s="81"/>
      <x:c r="B181" s="81"/>
      <x:c r="C181" s="81"/>
      <x:c r="D181" s="81"/>
      <x:c r="E181" s="81"/>
      <x:c r="F181" s="81"/>
      <x:c r="G181" s="81"/>
      <x:c r="H181" s="81"/>
      <x:c r="I181" s="81"/>
      <x:c r="J181" s="81"/>
      <x:c r="K181" s="81"/>
      <x:c r="L181" s="81"/>
      <x:c r="M181" s="81"/>
      <x:c r="N181" s="81"/>
      <x:c r="O181" s="81"/>
      <x:c r="P181" s="81"/>
      <x:c r="Q181" s="81"/>
      <x:c r="R181" s="81"/>
      <x:c r="S181" s="81"/>
      <x:c r="T181" s="81"/>
      <x:c r="U181" s="81"/>
      <x:c r="V181" s="81"/>
      <x:c r="W181" s="81"/>
      <x:c r="X181" s="81"/>
      <x:c r="Y181" s="81"/>
      <x:c r="Z181" s="81"/>
    </x:row>
    <x:row r="182">
      <x:c r="A182" s="81"/>
      <x:c r="B182" s="81"/>
      <x:c r="C182" s="81"/>
      <x:c r="D182" s="81"/>
      <x:c r="E182" s="81"/>
      <x:c r="F182" s="81"/>
      <x:c r="G182" s="81"/>
      <x:c r="H182" s="81"/>
      <x:c r="I182" s="81"/>
      <x:c r="J182" s="81"/>
      <x:c r="K182" s="81"/>
      <x:c r="L182" s="81"/>
      <x:c r="M182" s="81"/>
      <x:c r="N182" s="81"/>
      <x:c r="O182" s="81"/>
      <x:c r="P182" s="81"/>
      <x:c r="Q182" s="81"/>
      <x:c r="R182" s="81"/>
      <x:c r="S182" s="81"/>
      <x:c r="T182" s="81"/>
      <x:c r="U182" s="81"/>
      <x:c r="V182" s="81"/>
      <x:c r="W182" s="81"/>
      <x:c r="X182" s="81"/>
      <x:c r="Y182" s="81"/>
      <x:c r="Z182" s="81"/>
    </x:row>
    <x:row r="183">
      <x:c r="A183" s="81"/>
      <x:c r="B183" s="81"/>
      <x:c r="C183" s="81"/>
      <x:c r="D183" s="81"/>
      <x:c r="E183" s="81"/>
      <x:c r="F183" s="81"/>
      <x:c r="G183" s="81"/>
      <x:c r="H183" s="81"/>
      <x:c r="I183" s="81"/>
      <x:c r="J183" s="81"/>
      <x:c r="K183" s="81"/>
      <x:c r="L183" s="81"/>
      <x:c r="M183" s="81"/>
      <x:c r="N183" s="81"/>
      <x:c r="O183" s="81"/>
      <x:c r="P183" s="81"/>
      <x:c r="Q183" s="81"/>
      <x:c r="R183" s="81"/>
      <x:c r="S183" s="81"/>
      <x:c r="T183" s="81"/>
      <x:c r="U183" s="81"/>
      <x:c r="V183" s="81"/>
      <x:c r="W183" s="81"/>
      <x:c r="X183" s="81"/>
      <x:c r="Y183" s="81"/>
      <x:c r="Z183" s="81"/>
    </x:row>
    <x:row r="184">
      <x:c r="A184" s="81"/>
      <x:c r="B184" s="81"/>
      <x:c r="C184" s="81"/>
      <x:c r="D184" s="81"/>
      <x:c r="E184" s="81"/>
      <x:c r="F184" s="81"/>
      <x:c r="G184" s="81"/>
      <x:c r="H184" s="81"/>
      <x:c r="I184" s="81"/>
      <x:c r="J184" s="81"/>
      <x:c r="K184" s="81"/>
      <x:c r="L184" s="81"/>
      <x:c r="M184" s="81"/>
      <x:c r="N184" s="81"/>
      <x:c r="O184" s="81"/>
      <x:c r="P184" s="81"/>
      <x:c r="Q184" s="81"/>
      <x:c r="R184" s="81"/>
      <x:c r="S184" s="81"/>
      <x:c r="T184" s="81"/>
      <x:c r="U184" s="81"/>
      <x:c r="V184" s="81"/>
      <x:c r="W184" s="81"/>
      <x:c r="X184" s="81"/>
      <x:c r="Y184" s="81"/>
      <x:c r="Z184" s="81"/>
    </x:row>
    <x:row r="185">
      <x:c r="A185" s="81"/>
      <x:c r="B185" s="81"/>
      <x:c r="C185" s="81"/>
      <x:c r="D185" s="81"/>
      <x:c r="E185" s="81"/>
      <x:c r="F185" s="81"/>
      <x:c r="G185" s="81"/>
      <x:c r="H185" s="81"/>
      <x:c r="I185" s="81"/>
      <x:c r="J185" s="81"/>
      <x:c r="K185" s="81"/>
      <x:c r="L185" s="81"/>
      <x:c r="M185" s="81"/>
      <x:c r="N185" s="81"/>
      <x:c r="O185" s="81"/>
      <x:c r="P185" s="81"/>
      <x:c r="Q185" s="81"/>
      <x:c r="R185" s="81"/>
      <x:c r="S185" s="81"/>
      <x:c r="T185" s="81"/>
      <x:c r="U185" s="81"/>
      <x:c r="V185" s="81"/>
      <x:c r="W185" s="81"/>
      <x:c r="X185" s="81"/>
      <x:c r="Y185" s="81"/>
      <x:c r="Z185" s="81"/>
    </x:row>
    <x:row r="186">
      <x:c r="A186" s="81"/>
      <x:c r="B186" s="81"/>
      <x:c r="C186" s="81"/>
      <x:c r="D186" s="81"/>
      <x:c r="E186" s="81"/>
      <x:c r="F186" s="81"/>
      <x:c r="G186" s="81"/>
      <x:c r="H186" s="81"/>
      <x:c r="I186" s="81"/>
      <x:c r="J186" s="81"/>
      <x:c r="K186" s="81"/>
      <x:c r="L186" s="81"/>
      <x:c r="M186" s="81"/>
      <x:c r="N186" s="81"/>
      <x:c r="O186" s="81"/>
      <x:c r="P186" s="81"/>
      <x:c r="Q186" s="81"/>
      <x:c r="R186" s="81"/>
      <x:c r="S186" s="81"/>
      <x:c r="T186" s="81"/>
      <x:c r="U186" s="81"/>
      <x:c r="V186" s="81"/>
      <x:c r="W186" s="81"/>
      <x:c r="X186" s="81"/>
      <x:c r="Y186" s="81"/>
      <x:c r="Z186" s="81"/>
    </x:row>
    <x:row r="187">
      <x:c r="A187" s="81"/>
      <x:c r="B187" s="81"/>
      <x:c r="C187" s="81"/>
      <x:c r="D187" s="81"/>
      <x:c r="E187" s="81"/>
      <x:c r="F187" s="81"/>
      <x:c r="G187" s="81"/>
      <x:c r="H187" s="81"/>
      <x:c r="I187" s="81"/>
      <x:c r="J187" s="81"/>
      <x:c r="K187" s="81"/>
      <x:c r="L187" s="81"/>
      <x:c r="M187" s="81"/>
      <x:c r="N187" s="81"/>
      <x:c r="O187" s="81"/>
      <x:c r="P187" s="81"/>
      <x:c r="Q187" s="81"/>
      <x:c r="R187" s="81"/>
      <x:c r="S187" s="81"/>
      <x:c r="T187" s="81"/>
      <x:c r="U187" s="81"/>
      <x:c r="V187" s="81"/>
      <x:c r="W187" s="81"/>
      <x:c r="X187" s="81"/>
      <x:c r="Y187" s="81"/>
      <x:c r="Z187" s="81"/>
    </x:row>
    <x:row r="188">
      <x:c r="A188" s="81"/>
      <x:c r="B188" s="81"/>
      <x:c r="C188" s="81"/>
      <x:c r="D188" s="81"/>
      <x:c r="E188" s="81"/>
      <x:c r="F188" s="81"/>
      <x:c r="G188" s="81"/>
      <x:c r="H188" s="81"/>
      <x:c r="I188" s="81"/>
      <x:c r="J188" s="81"/>
      <x:c r="K188" s="81"/>
      <x:c r="L188" s="81"/>
      <x:c r="M188" s="81"/>
      <x:c r="N188" s="81"/>
      <x:c r="O188" s="81"/>
      <x:c r="P188" s="81"/>
      <x:c r="Q188" s="81"/>
      <x:c r="R188" s="81"/>
      <x:c r="S188" s="81"/>
      <x:c r="T188" s="81"/>
      <x:c r="U188" s="81"/>
      <x:c r="V188" s="81"/>
      <x:c r="W188" s="81"/>
      <x:c r="X188" s="81"/>
      <x:c r="Y188" s="81"/>
      <x:c r="Z188" s="81"/>
    </x:row>
    <x:row r="189">
      <x:c r="A189" s="81"/>
      <x:c r="B189" s="81"/>
      <x:c r="C189" s="81"/>
      <x:c r="D189" s="81"/>
      <x:c r="E189" s="81"/>
      <x:c r="F189" s="81"/>
      <x:c r="G189" s="81"/>
      <x:c r="H189" s="81"/>
      <x:c r="I189" s="81"/>
      <x:c r="J189" s="81"/>
      <x:c r="K189" s="81"/>
      <x:c r="L189" s="81"/>
      <x:c r="M189" s="81"/>
      <x:c r="N189" s="81"/>
      <x:c r="O189" s="81"/>
      <x:c r="P189" s="81"/>
      <x:c r="Q189" s="81"/>
      <x:c r="R189" s="81"/>
      <x:c r="S189" s="81"/>
      <x:c r="T189" s="81"/>
      <x:c r="U189" s="81"/>
      <x:c r="V189" s="81"/>
      <x:c r="W189" s="81"/>
      <x:c r="X189" s="81"/>
      <x:c r="Y189" s="81"/>
      <x:c r="Z189" s="81"/>
    </x:row>
    <x:row r="190">
      <x:c r="A190" s="81"/>
      <x:c r="B190" s="81"/>
      <x:c r="C190" s="81"/>
      <x:c r="D190" s="81"/>
      <x:c r="E190" s="81"/>
      <x:c r="F190" s="81"/>
      <x:c r="G190" s="81"/>
      <x:c r="H190" s="81"/>
      <x:c r="I190" s="81"/>
      <x:c r="J190" s="81"/>
      <x:c r="K190" s="81"/>
      <x:c r="L190" s="81"/>
      <x:c r="M190" s="81"/>
      <x:c r="N190" s="81"/>
      <x:c r="O190" s="81"/>
      <x:c r="P190" s="81"/>
      <x:c r="Q190" s="81"/>
      <x:c r="R190" s="81"/>
      <x:c r="S190" s="81"/>
      <x:c r="T190" s="81"/>
      <x:c r="U190" s="81"/>
      <x:c r="V190" s="81"/>
      <x:c r="W190" s="81"/>
      <x:c r="X190" s="81"/>
      <x:c r="Y190" s="81"/>
      <x:c r="Z190" s="81"/>
    </x:row>
    <x:row r="191">
      <x:c r="A191" s="81"/>
      <x:c r="B191" s="81"/>
      <x:c r="C191" s="81"/>
      <x:c r="D191" s="81"/>
      <x:c r="E191" s="81"/>
      <x:c r="F191" s="81"/>
      <x:c r="G191" s="81"/>
      <x:c r="H191" s="81"/>
      <x:c r="I191" s="81"/>
      <x:c r="J191" s="81"/>
      <x:c r="K191" s="81"/>
      <x:c r="L191" s="81"/>
      <x:c r="M191" s="81"/>
      <x:c r="N191" s="81"/>
      <x:c r="O191" s="81"/>
      <x:c r="P191" s="81"/>
      <x:c r="Q191" s="81"/>
      <x:c r="R191" s="81"/>
      <x:c r="S191" s="81"/>
      <x:c r="T191" s="81"/>
      <x:c r="U191" s="81"/>
      <x:c r="V191" s="81"/>
      <x:c r="W191" s="81"/>
      <x:c r="X191" s="81"/>
      <x:c r="Y191" s="81"/>
      <x:c r="Z191" s="81"/>
    </x:row>
    <x:row r="192">
      <x:c r="A192" s="81"/>
      <x:c r="B192" s="81"/>
      <x:c r="C192" s="81"/>
      <x:c r="D192" s="81"/>
      <x:c r="E192" s="81"/>
      <x:c r="F192" s="81"/>
      <x:c r="G192" s="81"/>
      <x:c r="H192" s="81"/>
      <x:c r="I192" s="81"/>
      <x:c r="J192" s="81"/>
      <x:c r="K192" s="81"/>
      <x:c r="L192" s="81"/>
      <x:c r="M192" s="81"/>
      <x:c r="N192" s="81"/>
      <x:c r="O192" s="81"/>
      <x:c r="P192" s="81"/>
      <x:c r="Q192" s="81"/>
      <x:c r="R192" s="81"/>
      <x:c r="S192" s="81"/>
      <x:c r="T192" s="81"/>
      <x:c r="U192" s="81"/>
      <x:c r="V192" s="81"/>
      <x:c r="W192" s="81"/>
      <x:c r="X192" s="81"/>
      <x:c r="Y192" s="81"/>
      <x:c r="Z192" s="81"/>
    </x:row>
    <x:row r="193">
      <x:c r="A193" s="81"/>
      <x:c r="B193" s="81"/>
      <x:c r="C193" s="81"/>
      <x:c r="D193" s="81"/>
      <x:c r="E193" s="81"/>
      <x:c r="F193" s="81"/>
      <x:c r="G193" s="81"/>
      <x:c r="H193" s="81"/>
      <x:c r="I193" s="81"/>
      <x:c r="J193" s="81"/>
      <x:c r="K193" s="81"/>
      <x:c r="L193" s="81"/>
      <x:c r="M193" s="81"/>
      <x:c r="N193" s="81"/>
      <x:c r="O193" s="81"/>
      <x:c r="P193" s="81"/>
      <x:c r="Q193" s="81"/>
      <x:c r="R193" s="81"/>
      <x:c r="S193" s="81"/>
      <x:c r="T193" s="81"/>
      <x:c r="U193" s="81"/>
      <x:c r="V193" s="81"/>
      <x:c r="W193" s="81"/>
      <x:c r="X193" s="81"/>
      <x:c r="Y193" s="81"/>
      <x:c r="Z193" s="81"/>
    </x:row>
    <x:row r="194">
      <x:c r="A194" s="81"/>
      <x:c r="B194" s="81"/>
      <x:c r="C194" s="81"/>
      <x:c r="D194" s="81"/>
      <x:c r="E194" s="81"/>
      <x:c r="F194" s="81"/>
      <x:c r="G194" s="81"/>
      <x:c r="H194" s="81"/>
      <x:c r="I194" s="81"/>
      <x:c r="J194" s="81"/>
      <x:c r="K194" s="81"/>
      <x:c r="L194" s="81"/>
      <x:c r="M194" s="81"/>
      <x:c r="N194" s="81"/>
      <x:c r="O194" s="81"/>
      <x:c r="P194" s="81"/>
      <x:c r="Q194" s="81"/>
      <x:c r="R194" s="81"/>
      <x:c r="S194" s="81"/>
      <x:c r="T194" s="81"/>
      <x:c r="U194" s="81"/>
      <x:c r="V194" s="81"/>
      <x:c r="W194" s="81"/>
      <x:c r="X194" s="81"/>
      <x:c r="Y194" s="81"/>
      <x:c r="Z194" s="81"/>
    </x:row>
    <x:row r="195">
      <x:c r="A195" s="81"/>
      <x:c r="B195" s="81"/>
      <x:c r="C195" s="81"/>
      <x:c r="D195" s="81"/>
      <x:c r="E195" s="81"/>
      <x:c r="F195" s="81"/>
      <x:c r="G195" s="81"/>
      <x:c r="H195" s="81"/>
      <x:c r="I195" s="81"/>
      <x:c r="J195" s="81"/>
      <x:c r="K195" s="81"/>
      <x:c r="L195" s="81"/>
      <x:c r="M195" s="81"/>
      <x:c r="N195" s="81"/>
      <x:c r="O195" s="81"/>
      <x:c r="P195" s="81"/>
      <x:c r="Q195" s="81"/>
      <x:c r="R195" s="81"/>
      <x:c r="S195" s="81"/>
      <x:c r="T195" s="81"/>
      <x:c r="U195" s="81"/>
      <x:c r="V195" s="81"/>
      <x:c r="W195" s="81"/>
      <x:c r="X195" s="81"/>
      <x:c r="Y195" s="81"/>
      <x:c r="Z195" s="81"/>
    </x:row>
    <x:row r="196">
      <x:c r="A196" s="81"/>
      <x:c r="B196" s="81"/>
      <x:c r="C196" s="81"/>
      <x:c r="D196" s="81"/>
      <x:c r="E196" s="81"/>
      <x:c r="F196" s="81"/>
      <x:c r="G196" s="81"/>
      <x:c r="H196" s="81"/>
      <x:c r="I196" s="81"/>
      <x:c r="J196" s="81"/>
      <x:c r="K196" s="81"/>
      <x:c r="L196" s="81"/>
      <x:c r="M196" s="81"/>
      <x:c r="N196" s="81"/>
      <x:c r="O196" s="81"/>
      <x:c r="P196" s="81"/>
      <x:c r="Q196" s="81"/>
      <x:c r="R196" s="81"/>
      <x:c r="S196" s="81"/>
      <x:c r="T196" s="81"/>
      <x:c r="U196" s="81"/>
      <x:c r="V196" s="81"/>
      <x:c r="W196" s="81"/>
      <x:c r="X196" s="81"/>
      <x:c r="Y196" s="81"/>
      <x:c r="Z196" s="81"/>
    </x:row>
    <x:row r="197">
      <x:c r="A197" s="81"/>
      <x:c r="B197" s="81"/>
      <x:c r="C197" s="81"/>
      <x:c r="D197" s="81"/>
      <x:c r="E197" s="81"/>
      <x:c r="F197" s="81"/>
      <x:c r="G197" s="81"/>
      <x:c r="H197" s="81"/>
      <x:c r="I197" s="81"/>
      <x:c r="J197" s="81"/>
      <x:c r="K197" s="81"/>
      <x:c r="L197" s="81"/>
      <x:c r="M197" s="81"/>
      <x:c r="N197" s="81"/>
      <x:c r="O197" s="81"/>
      <x:c r="P197" s="81"/>
      <x:c r="Q197" s="81"/>
      <x:c r="R197" s="81"/>
      <x:c r="S197" s="81"/>
      <x:c r="T197" s="81"/>
      <x:c r="U197" s="81"/>
      <x:c r="V197" s="81"/>
      <x:c r="W197" s="81"/>
      <x:c r="X197" s="81"/>
      <x:c r="Y197" s="81"/>
      <x:c r="Z197" s="81"/>
    </x:row>
    <x:row r="198">
      <x:c r="A198" s="81"/>
      <x:c r="B198" s="81"/>
      <x:c r="C198" s="81"/>
      <x:c r="D198" s="81"/>
      <x:c r="E198" s="81"/>
      <x:c r="F198" s="81"/>
      <x:c r="G198" s="81"/>
      <x:c r="H198" s="81"/>
      <x:c r="I198" s="81"/>
      <x:c r="J198" s="81"/>
      <x:c r="K198" s="81"/>
      <x:c r="L198" s="81"/>
      <x:c r="M198" s="81"/>
      <x:c r="N198" s="81"/>
      <x:c r="O198" s="81"/>
      <x:c r="P198" s="81"/>
      <x:c r="Q198" s="81"/>
      <x:c r="R198" s="81"/>
      <x:c r="S198" s="81"/>
      <x:c r="T198" s="81"/>
      <x:c r="U198" s="81"/>
      <x:c r="V198" s="81"/>
      <x:c r="W198" s="81"/>
      <x:c r="X198" s="81"/>
      <x:c r="Y198" s="81"/>
      <x:c r="Z198" s="81"/>
    </x:row>
    <x:row r="199">
      <x:c r="A199" s="81"/>
      <x:c r="B199" s="81"/>
      <x:c r="C199" s="81"/>
      <x:c r="D199" s="81"/>
      <x:c r="E199" s="81"/>
      <x:c r="F199" s="81"/>
      <x:c r="G199" s="81"/>
      <x:c r="H199" s="81"/>
      <x:c r="I199" s="81"/>
      <x:c r="J199" s="81"/>
      <x:c r="K199" s="81"/>
      <x:c r="L199" s="81"/>
      <x:c r="M199" s="81"/>
      <x:c r="N199" s="81"/>
      <x:c r="O199" s="81"/>
      <x:c r="P199" s="81"/>
      <x:c r="Q199" s="81"/>
      <x:c r="R199" s="81"/>
      <x:c r="S199" s="81"/>
      <x:c r="T199" s="81"/>
      <x:c r="U199" s="81"/>
      <x:c r="V199" s="81"/>
      <x:c r="W199" s="81"/>
      <x:c r="X199" s="81"/>
      <x:c r="Y199" s="81"/>
      <x:c r="Z199" s="81"/>
    </x:row>
    <x:row r="200">
      <x:c r="A200" s="81"/>
      <x:c r="B200" s="81"/>
      <x:c r="C200" s="81"/>
      <x:c r="D200" s="81"/>
      <x:c r="E200" s="81"/>
      <x:c r="F200" s="81"/>
      <x:c r="G200" s="81"/>
      <x:c r="H200" s="81"/>
      <x:c r="I200" s="81"/>
      <x:c r="J200" s="81"/>
      <x:c r="K200" s="81"/>
      <x:c r="L200" s="81"/>
      <x:c r="M200" s="81"/>
      <x:c r="N200" s="81"/>
      <x:c r="O200" s="81"/>
      <x:c r="P200" s="81"/>
      <x:c r="Q200" s="81"/>
      <x:c r="R200" s="81"/>
      <x:c r="S200" s="81"/>
      <x:c r="T200" s="81"/>
      <x:c r="U200" s="81"/>
      <x:c r="V200" s="81"/>
      <x:c r="W200" s="81"/>
      <x:c r="X200" s="81"/>
      <x:c r="Y200" s="81"/>
      <x:c r="Z200" s="81"/>
    </x:row>
    <x:row r="201">
      <x:c r="A201" s="81"/>
      <x:c r="B201" s="81"/>
      <x:c r="C201" s="81"/>
      <x:c r="D201" s="81"/>
      <x:c r="E201" s="81"/>
      <x:c r="F201" s="81"/>
      <x:c r="G201" s="81"/>
      <x:c r="H201" s="81"/>
      <x:c r="I201" s="81"/>
      <x:c r="J201" s="81"/>
      <x:c r="K201" s="81"/>
      <x:c r="L201" s="81"/>
      <x:c r="M201" s="81"/>
      <x:c r="N201" s="81"/>
      <x:c r="O201" s="81"/>
      <x:c r="P201" s="81"/>
      <x:c r="Q201" s="81"/>
      <x:c r="R201" s="81"/>
      <x:c r="S201" s="81"/>
      <x:c r="T201" s="81"/>
      <x:c r="U201" s="81"/>
      <x:c r="V201" s="81"/>
      <x:c r="W201" s="81"/>
      <x:c r="X201" s="81"/>
      <x:c r="Y201" s="81"/>
      <x:c r="Z201" s="81"/>
    </x:row>
    <x:row r="202">
      <x:c r="A202" s="81"/>
      <x:c r="B202" s="81"/>
      <x:c r="C202" s="81"/>
      <x:c r="D202" s="81"/>
      <x:c r="E202" s="81"/>
      <x:c r="F202" s="81"/>
      <x:c r="G202" s="81"/>
      <x:c r="H202" s="81"/>
      <x:c r="I202" s="81"/>
      <x:c r="J202" s="81"/>
      <x:c r="K202" s="81"/>
      <x:c r="L202" s="81"/>
      <x:c r="M202" s="81"/>
      <x:c r="N202" s="81"/>
      <x:c r="O202" s="81"/>
      <x:c r="P202" s="81"/>
      <x:c r="Q202" s="81"/>
      <x:c r="R202" s="81"/>
      <x:c r="S202" s="81"/>
      <x:c r="T202" s="81"/>
      <x:c r="U202" s="81"/>
      <x:c r="V202" s="81"/>
      <x:c r="W202" s="81"/>
      <x:c r="X202" s="81"/>
      <x:c r="Y202" s="81"/>
      <x:c r="Z202" s="81"/>
    </x:row>
    <x:row r="203">
      <x:c r="A203" s="81"/>
      <x:c r="B203" s="81"/>
      <x:c r="C203" s="81"/>
      <x:c r="D203" s="81"/>
      <x:c r="E203" s="81"/>
      <x:c r="F203" s="81"/>
      <x:c r="G203" s="81"/>
      <x:c r="H203" s="81"/>
      <x:c r="I203" s="81"/>
      <x:c r="J203" s="81"/>
      <x:c r="K203" s="81"/>
      <x:c r="L203" s="81"/>
      <x:c r="M203" s="81"/>
      <x:c r="N203" s="81"/>
      <x:c r="O203" s="81"/>
      <x:c r="P203" s="81"/>
      <x:c r="Q203" s="81"/>
      <x:c r="R203" s="81"/>
      <x:c r="S203" s="81"/>
      <x:c r="T203" s="81"/>
      <x:c r="U203" s="81"/>
      <x:c r="V203" s="81"/>
      <x:c r="W203" s="81"/>
      <x:c r="X203" s="81"/>
      <x:c r="Y203" s="81"/>
      <x:c r="Z203" s="81"/>
    </x:row>
    <x:row r="204">
      <x:c r="A204" s="81"/>
      <x:c r="B204" s="81"/>
      <x:c r="C204" s="81"/>
      <x:c r="D204" s="81"/>
      <x:c r="E204" s="81"/>
      <x:c r="F204" s="81"/>
      <x:c r="G204" s="81"/>
      <x:c r="H204" s="81"/>
      <x:c r="I204" s="81"/>
      <x:c r="J204" s="81"/>
      <x:c r="K204" s="81"/>
      <x:c r="L204" s="81"/>
      <x:c r="M204" s="81"/>
      <x:c r="N204" s="81"/>
      <x:c r="O204" s="81"/>
      <x:c r="P204" s="81"/>
      <x:c r="Q204" s="81"/>
      <x:c r="R204" s="81"/>
      <x:c r="S204" s="81"/>
      <x:c r="T204" s="81"/>
      <x:c r="U204" s="81"/>
      <x:c r="V204" s="81"/>
      <x:c r="W204" s="81"/>
      <x:c r="X204" s="81"/>
      <x:c r="Y204" s="81"/>
      <x:c r="Z204" s="81"/>
    </x:row>
    <x:row r="205">
      <x:c r="A205" s="81"/>
      <x:c r="B205" s="81"/>
      <x:c r="C205" s="81"/>
      <x:c r="D205" s="81"/>
      <x:c r="E205" s="81"/>
      <x:c r="F205" s="81"/>
      <x:c r="G205" s="81"/>
      <x:c r="H205" s="81"/>
      <x:c r="I205" s="81"/>
      <x:c r="J205" s="81"/>
      <x:c r="K205" s="81"/>
      <x:c r="L205" s="81"/>
      <x:c r="M205" s="81"/>
      <x:c r="N205" s="81"/>
      <x:c r="O205" s="81"/>
      <x:c r="P205" s="81"/>
      <x:c r="Q205" s="81"/>
      <x:c r="R205" s="81"/>
      <x:c r="S205" s="81"/>
      <x:c r="T205" s="81"/>
      <x:c r="U205" s="81"/>
      <x:c r="V205" s="81"/>
      <x:c r="W205" s="81"/>
      <x:c r="X205" s="81"/>
      <x:c r="Y205" s="81"/>
      <x:c r="Z205" s="81"/>
    </x:row>
    <x:row r="206">
      <x:c r="A206" s="81"/>
      <x:c r="B206" s="81"/>
      <x:c r="C206" s="81"/>
      <x:c r="D206" s="81"/>
      <x:c r="E206" s="81"/>
      <x:c r="F206" s="81"/>
      <x:c r="G206" s="81"/>
      <x:c r="H206" s="81"/>
      <x:c r="I206" s="81"/>
      <x:c r="J206" s="81"/>
      <x:c r="K206" s="81"/>
      <x:c r="L206" s="81"/>
      <x:c r="M206" s="81"/>
      <x:c r="N206" s="81"/>
      <x:c r="O206" s="81"/>
      <x:c r="P206" s="81"/>
      <x:c r="Q206" s="81"/>
      <x:c r="R206" s="81"/>
      <x:c r="S206" s="81"/>
      <x:c r="T206" s="81"/>
      <x:c r="U206" s="81"/>
      <x:c r="V206" s="81"/>
      <x:c r="W206" s="81"/>
      <x:c r="X206" s="81"/>
      <x:c r="Y206" s="81"/>
      <x:c r="Z206" s="81"/>
    </x:row>
    <x:row r="207">
      <x:c r="A207" s="81"/>
      <x:c r="B207" s="81"/>
      <x:c r="C207" s="81"/>
      <x:c r="D207" s="81"/>
      <x:c r="E207" s="81"/>
      <x:c r="F207" s="81"/>
      <x:c r="G207" s="81"/>
      <x:c r="H207" s="81"/>
      <x:c r="I207" s="81"/>
      <x:c r="J207" s="81"/>
      <x:c r="K207" s="81"/>
      <x:c r="L207" s="81"/>
      <x:c r="M207" s="81"/>
      <x:c r="N207" s="81"/>
      <x:c r="O207" s="81"/>
      <x:c r="P207" s="81"/>
      <x:c r="Q207" s="81"/>
      <x:c r="R207" s="81"/>
      <x:c r="S207" s="81"/>
      <x:c r="T207" s="81"/>
      <x:c r="U207" s="81"/>
      <x:c r="V207" s="81"/>
      <x:c r="W207" s="81"/>
      <x:c r="X207" s="81"/>
      <x:c r="Y207" s="81"/>
      <x:c r="Z207" s="81"/>
    </x:row>
    <x:row r="208">
      <x:c r="A208" s="81"/>
      <x:c r="B208" s="81"/>
      <x:c r="C208" s="81"/>
      <x:c r="D208" s="81"/>
      <x:c r="E208" s="81"/>
      <x:c r="F208" s="81"/>
      <x:c r="G208" s="81"/>
      <x:c r="H208" s="81"/>
      <x:c r="I208" s="81"/>
      <x:c r="J208" s="81"/>
      <x:c r="K208" s="81"/>
      <x:c r="L208" s="81"/>
      <x:c r="M208" s="81"/>
      <x:c r="N208" s="81"/>
      <x:c r="O208" s="81"/>
      <x:c r="P208" s="81"/>
      <x:c r="Q208" s="81"/>
      <x:c r="R208" s="81"/>
      <x:c r="S208" s="81"/>
      <x:c r="T208" s="81"/>
      <x:c r="U208" s="81"/>
      <x:c r="V208" s="81"/>
      <x:c r="W208" s="81"/>
      <x:c r="X208" s="81"/>
      <x:c r="Y208" s="81"/>
      <x:c r="Z208" s="81"/>
    </x:row>
    <x:row r="209">
      <x:c r="A209" s="81"/>
      <x:c r="B209" s="81"/>
      <x:c r="C209" s="81"/>
      <x:c r="D209" s="81"/>
      <x:c r="E209" s="81"/>
      <x:c r="F209" s="81"/>
      <x:c r="G209" s="81"/>
      <x:c r="H209" s="81"/>
      <x:c r="I209" s="81"/>
      <x:c r="J209" s="81"/>
      <x:c r="K209" s="81"/>
      <x:c r="L209" s="81"/>
      <x:c r="M209" s="81"/>
      <x:c r="N209" s="81"/>
      <x:c r="O209" s="81"/>
      <x:c r="P209" s="81"/>
      <x:c r="Q209" s="81"/>
      <x:c r="R209" s="81"/>
      <x:c r="S209" s="81"/>
      <x:c r="T209" s="81"/>
      <x:c r="U209" s="81"/>
      <x:c r="V209" s="81"/>
      <x:c r="W209" s="81"/>
      <x:c r="X209" s="81"/>
      <x:c r="Y209" s="81"/>
      <x:c r="Z209" s="81"/>
    </x:row>
    <x:row r="210">
      <x:c r="A210" s="81"/>
      <x:c r="B210" s="81"/>
      <x:c r="C210" s="81"/>
      <x:c r="D210" s="81"/>
      <x:c r="E210" s="81"/>
      <x:c r="F210" s="81"/>
      <x:c r="G210" s="81"/>
      <x:c r="H210" s="81"/>
      <x:c r="I210" s="81"/>
      <x:c r="J210" s="81"/>
      <x:c r="K210" s="81"/>
      <x:c r="L210" s="81"/>
      <x:c r="M210" s="81"/>
      <x:c r="N210" s="81"/>
      <x:c r="O210" s="81"/>
      <x:c r="P210" s="81"/>
      <x:c r="Q210" s="81"/>
      <x:c r="R210" s="81"/>
      <x:c r="S210" s="81"/>
      <x:c r="T210" s="81"/>
      <x:c r="U210" s="81"/>
      <x:c r="V210" s="81"/>
      <x:c r="W210" s="81"/>
      <x:c r="X210" s="81"/>
      <x:c r="Y210" s="81"/>
      <x:c r="Z210" s="81"/>
    </x:row>
    <x:row r="211">
      <x:c r="A211" s="81"/>
      <x:c r="B211" s="81"/>
      <x:c r="C211" s="81"/>
      <x:c r="D211" s="81"/>
      <x:c r="E211" s="81"/>
      <x:c r="F211" s="81"/>
      <x:c r="G211" s="81"/>
      <x:c r="H211" s="81"/>
      <x:c r="I211" s="81"/>
      <x:c r="J211" s="81"/>
      <x:c r="K211" s="81"/>
      <x:c r="L211" s="81"/>
      <x:c r="M211" s="81"/>
      <x:c r="N211" s="81"/>
      <x:c r="O211" s="81"/>
      <x:c r="P211" s="81"/>
      <x:c r="Q211" s="81"/>
      <x:c r="R211" s="81"/>
      <x:c r="S211" s="81"/>
      <x:c r="T211" s="81"/>
      <x:c r="U211" s="81"/>
      <x:c r="V211" s="81"/>
      <x:c r="W211" s="81"/>
      <x:c r="X211" s="81"/>
      <x:c r="Y211" s="81"/>
      <x:c r="Z211" s="81"/>
    </x:row>
    <x:row r="212">
      <x:c r="A212" s="81"/>
      <x:c r="B212" s="81"/>
      <x:c r="C212" s="81"/>
      <x:c r="D212" s="81"/>
      <x:c r="E212" s="81"/>
      <x:c r="F212" s="81"/>
      <x:c r="G212" s="81"/>
      <x:c r="H212" s="81"/>
      <x:c r="I212" s="81"/>
      <x:c r="J212" s="81"/>
      <x:c r="K212" s="81"/>
      <x:c r="L212" s="81"/>
      <x:c r="M212" s="81"/>
      <x:c r="N212" s="81"/>
      <x:c r="O212" s="81"/>
      <x:c r="P212" s="81"/>
      <x:c r="Q212" s="81"/>
      <x:c r="R212" s="81"/>
      <x:c r="S212" s="81"/>
      <x:c r="T212" s="81"/>
      <x:c r="U212" s="81"/>
      <x:c r="V212" s="81"/>
      <x:c r="W212" s="81"/>
      <x:c r="X212" s="81"/>
      <x:c r="Y212" s="81"/>
      <x:c r="Z212" s="81"/>
    </x:row>
    <x:row r="213">
      <x:c r="A213" s="81"/>
      <x:c r="B213" s="81"/>
      <x:c r="C213" s="81"/>
      <x:c r="D213" s="81"/>
      <x:c r="E213" s="81"/>
      <x:c r="F213" s="81"/>
      <x:c r="G213" s="81"/>
      <x:c r="H213" s="81"/>
      <x:c r="I213" s="81"/>
      <x:c r="J213" s="81"/>
      <x:c r="K213" s="81"/>
      <x:c r="L213" s="81"/>
      <x:c r="M213" s="81"/>
      <x:c r="N213" s="81"/>
      <x:c r="O213" s="81"/>
      <x:c r="P213" s="81"/>
      <x:c r="Q213" s="81"/>
      <x:c r="R213" s="81"/>
      <x:c r="S213" s="81"/>
      <x:c r="T213" s="81"/>
      <x:c r="U213" s="81"/>
      <x:c r="V213" s="81"/>
      <x:c r="W213" s="81"/>
      <x:c r="X213" s="81"/>
      <x:c r="Y213" s="81"/>
      <x:c r="Z213" s="81"/>
    </x:row>
    <x:row r="214">
      <x:c r="A214" s="81"/>
      <x:c r="B214" s="81"/>
      <x:c r="C214" s="81"/>
      <x:c r="D214" s="81"/>
      <x:c r="E214" s="81"/>
      <x:c r="F214" s="81"/>
      <x:c r="G214" s="81"/>
      <x:c r="H214" s="81"/>
      <x:c r="I214" s="81"/>
      <x:c r="J214" s="81"/>
      <x:c r="K214" s="81"/>
      <x:c r="L214" s="81"/>
      <x:c r="M214" s="81"/>
      <x:c r="N214" s="81"/>
      <x:c r="O214" s="81"/>
      <x:c r="P214" s="81"/>
      <x:c r="Q214" s="81"/>
      <x:c r="R214" s="81"/>
      <x:c r="S214" s="81"/>
      <x:c r="T214" s="81"/>
      <x:c r="U214" s="81"/>
      <x:c r="V214" s="81"/>
      <x:c r="W214" s="81"/>
      <x:c r="X214" s="81"/>
      <x:c r="Y214" s="81"/>
      <x:c r="Z214" s="81"/>
    </x:row>
    <x:row r="215">
      <x:c r="A215" s="81"/>
      <x:c r="B215" s="81"/>
      <x:c r="C215" s="81"/>
      <x:c r="D215" s="81"/>
      <x:c r="E215" s="81"/>
      <x:c r="F215" s="81"/>
      <x:c r="G215" s="81"/>
      <x:c r="H215" s="81"/>
      <x:c r="I215" s="81"/>
      <x:c r="J215" s="81"/>
      <x:c r="K215" s="81"/>
      <x:c r="L215" s="81"/>
      <x:c r="M215" s="81"/>
      <x:c r="N215" s="81"/>
      <x:c r="O215" s="81"/>
      <x:c r="P215" s="81"/>
      <x:c r="Q215" s="81"/>
      <x:c r="R215" s="81"/>
      <x:c r="S215" s="81"/>
      <x:c r="T215" s="81"/>
      <x:c r="U215" s="81"/>
      <x:c r="V215" s="81"/>
      <x:c r="W215" s="81"/>
      <x:c r="X215" s="81"/>
      <x:c r="Y215" s="81"/>
      <x:c r="Z215" s="81"/>
    </x:row>
    <x:row r="216">
      <x:c r="A216" s="81"/>
      <x:c r="B216" s="81"/>
      <x:c r="C216" s="81"/>
      <x:c r="D216" s="81"/>
      <x:c r="E216" s="81"/>
      <x:c r="F216" s="81"/>
      <x:c r="G216" s="81"/>
      <x:c r="H216" s="81"/>
      <x:c r="I216" s="81"/>
      <x:c r="J216" s="81"/>
      <x:c r="K216" s="81"/>
      <x:c r="L216" s="81"/>
      <x:c r="M216" s="81"/>
      <x:c r="N216" s="81"/>
      <x:c r="O216" s="81"/>
      <x:c r="P216" s="81"/>
      <x:c r="Q216" s="81"/>
      <x:c r="R216" s="81"/>
      <x:c r="S216" s="81"/>
      <x:c r="T216" s="81"/>
      <x:c r="U216" s="81"/>
      <x:c r="V216" s="81"/>
      <x:c r="W216" s="81"/>
      <x:c r="X216" s="81"/>
      <x:c r="Y216" s="81"/>
      <x:c r="Z216" s="81"/>
    </x:row>
    <x:row r="217">
      <x:c r="A217" s="81"/>
      <x:c r="B217" s="81"/>
      <x:c r="C217" s="81"/>
      <x:c r="D217" s="81"/>
      <x:c r="E217" s="81"/>
      <x:c r="F217" s="81"/>
      <x:c r="G217" s="81"/>
      <x:c r="H217" s="81"/>
      <x:c r="I217" s="81"/>
      <x:c r="J217" s="81"/>
      <x:c r="K217" s="81"/>
      <x:c r="L217" s="81"/>
      <x:c r="M217" s="81"/>
      <x:c r="N217" s="81"/>
      <x:c r="O217" s="81"/>
      <x:c r="P217" s="81"/>
      <x:c r="Q217" s="81"/>
      <x:c r="R217" s="81"/>
      <x:c r="S217" s="81"/>
      <x:c r="T217" s="81"/>
      <x:c r="U217" s="81"/>
      <x:c r="V217" s="81"/>
      <x:c r="W217" s="81"/>
      <x:c r="X217" s="81"/>
      <x:c r="Y217" s="81"/>
      <x:c r="Z217" s="81"/>
    </x:row>
    <x:row r="218">
      <x:c r="A218" s="81"/>
      <x:c r="B218" s="81"/>
      <x:c r="C218" s="81"/>
      <x:c r="D218" s="81"/>
      <x:c r="E218" s="81"/>
      <x:c r="F218" s="81"/>
      <x:c r="G218" s="81"/>
      <x:c r="H218" s="81"/>
      <x:c r="I218" s="81"/>
      <x:c r="J218" s="81"/>
      <x:c r="K218" s="81"/>
      <x:c r="L218" s="81"/>
      <x:c r="M218" s="81"/>
      <x:c r="N218" s="81"/>
      <x:c r="O218" s="81"/>
      <x:c r="P218" s="81"/>
      <x:c r="Q218" s="81"/>
      <x:c r="R218" s="81"/>
      <x:c r="S218" s="81"/>
      <x:c r="T218" s="81"/>
      <x:c r="U218" s="81"/>
      <x:c r="V218" s="81"/>
      <x:c r="W218" s="81"/>
      <x:c r="X218" s="81"/>
      <x:c r="Y218" s="81"/>
      <x:c r="Z218" s="81"/>
    </x:row>
    <x:row r="219">
      <x:c r="A219" s="81"/>
      <x:c r="B219" s="81"/>
      <x:c r="C219" s="81"/>
      <x:c r="D219" s="81"/>
      <x:c r="E219" s="81"/>
      <x:c r="F219" s="81"/>
      <x:c r="G219" s="81"/>
      <x:c r="H219" s="81"/>
      <x:c r="I219" s="81"/>
      <x:c r="J219" s="81"/>
      <x:c r="K219" s="81"/>
      <x:c r="L219" s="81"/>
      <x:c r="M219" s="81"/>
      <x:c r="N219" s="81"/>
      <x:c r="O219" s="81"/>
      <x:c r="P219" s="81"/>
      <x:c r="Q219" s="81"/>
      <x:c r="R219" s="81"/>
      <x:c r="S219" s="81"/>
      <x:c r="T219" s="81"/>
      <x:c r="U219" s="81"/>
      <x:c r="V219" s="81"/>
      <x:c r="W219" s="81"/>
      <x:c r="X219" s="81"/>
      <x:c r="Y219" s="81"/>
      <x:c r="Z219" s="81"/>
    </x:row>
    <x:row r="220">
      <x:c r="A220" s="81"/>
      <x:c r="B220" s="81"/>
      <x:c r="C220" s="81"/>
      <x:c r="D220" s="81"/>
      <x:c r="E220" s="81"/>
      <x:c r="F220" s="81"/>
      <x:c r="G220" s="81"/>
      <x:c r="H220" s="81"/>
      <x:c r="I220" s="81"/>
      <x:c r="J220" s="81"/>
      <x:c r="K220" s="81"/>
      <x:c r="L220" s="81"/>
      <x:c r="M220" s="81"/>
      <x:c r="N220" s="81"/>
      <x:c r="O220" s="81"/>
      <x:c r="P220" s="81"/>
      <x:c r="Q220" s="81"/>
      <x:c r="R220" s="81"/>
      <x:c r="S220" s="81"/>
      <x:c r="T220" s="81"/>
      <x:c r="U220" s="81"/>
      <x:c r="V220" s="81"/>
      <x:c r="W220" s="81"/>
      <x:c r="X220" s="81"/>
      <x:c r="Y220" s="81"/>
      <x:c r="Z220" s="81"/>
    </x:row>
    <x:row r="221">
      <x:c r="A221" s="81"/>
      <x:c r="B221" s="81"/>
      <x:c r="C221" s="81"/>
      <x:c r="D221" s="81"/>
      <x:c r="E221" s="81"/>
      <x:c r="F221" s="81"/>
      <x:c r="G221" s="81"/>
      <x:c r="H221" s="81"/>
      <x:c r="I221" s="81"/>
      <x:c r="J221" s="81"/>
      <x:c r="K221" s="81"/>
      <x:c r="L221" s="81"/>
      <x:c r="M221" s="81"/>
      <x:c r="N221" s="81"/>
      <x:c r="O221" s="81"/>
      <x:c r="P221" s="81"/>
      <x:c r="Q221" s="81"/>
      <x:c r="R221" s="81"/>
      <x:c r="S221" s="81"/>
      <x:c r="T221" s="81"/>
      <x:c r="U221" s="81"/>
      <x:c r="V221" s="81"/>
      <x:c r="W221" s="81"/>
      <x:c r="X221" s="81"/>
      <x:c r="Y221" s="81"/>
      <x:c r="Z221" s="81"/>
    </x:row>
    <x:row r="222">
      <x:c r="A222" s="81"/>
      <x:c r="B222" s="81"/>
      <x:c r="C222" s="81"/>
      <x:c r="D222" s="81"/>
      <x:c r="E222" s="81"/>
      <x:c r="F222" s="81"/>
      <x:c r="G222" s="81"/>
      <x:c r="H222" s="81"/>
      <x:c r="I222" s="81"/>
      <x:c r="J222" s="81"/>
      <x:c r="K222" s="81"/>
      <x:c r="L222" s="81"/>
      <x:c r="M222" s="81"/>
      <x:c r="N222" s="81"/>
      <x:c r="O222" s="81"/>
      <x:c r="P222" s="81"/>
      <x:c r="Q222" s="81"/>
      <x:c r="R222" s="81"/>
      <x:c r="S222" s="81"/>
      <x:c r="T222" s="81"/>
      <x:c r="U222" s="81"/>
      <x:c r="V222" s="81"/>
      <x:c r="W222" s="81"/>
      <x:c r="X222" s="81"/>
      <x:c r="Y222" s="81"/>
      <x:c r="Z222" s="81"/>
    </x:row>
    <x:row r="223">
      <x:c r="A223" s="81"/>
      <x:c r="B223" s="81"/>
      <x:c r="C223" s="81"/>
      <x:c r="D223" s="81"/>
      <x:c r="E223" s="81"/>
      <x:c r="F223" s="81"/>
      <x:c r="G223" s="81"/>
      <x:c r="H223" s="81"/>
      <x:c r="I223" s="81"/>
      <x:c r="J223" s="81"/>
      <x:c r="K223" s="81"/>
      <x:c r="L223" s="81"/>
      <x:c r="M223" s="81"/>
      <x:c r="N223" s="81"/>
      <x:c r="O223" s="81"/>
      <x:c r="P223" s="81"/>
      <x:c r="Q223" s="81"/>
      <x:c r="R223" s="81"/>
      <x:c r="S223" s="81"/>
      <x:c r="T223" s="81"/>
      <x:c r="U223" s="81"/>
      <x:c r="V223" s="81"/>
      <x:c r="W223" s="81"/>
      <x:c r="X223" s="81"/>
      <x:c r="Y223" s="81"/>
      <x:c r="Z223" s="81"/>
    </x:row>
    <x:row r="224">
      <x:c r="A224" s="81"/>
      <x:c r="B224" s="81"/>
      <x:c r="C224" s="81"/>
      <x:c r="D224" s="81"/>
      <x:c r="E224" s="81"/>
      <x:c r="F224" s="81"/>
      <x:c r="G224" s="81"/>
      <x:c r="H224" s="81"/>
      <x:c r="I224" s="81"/>
      <x:c r="J224" s="81"/>
      <x:c r="K224" s="81"/>
      <x:c r="L224" s="81"/>
      <x:c r="M224" s="81"/>
      <x:c r="N224" s="81"/>
      <x:c r="O224" s="81"/>
      <x:c r="P224" s="81"/>
      <x:c r="Q224" s="81"/>
      <x:c r="R224" s="81"/>
      <x:c r="S224" s="81"/>
      <x:c r="T224" s="81"/>
      <x:c r="U224" s="81"/>
      <x:c r="V224" s="81"/>
      <x:c r="W224" s="81"/>
      <x:c r="X224" s="81"/>
      <x:c r="Y224" s="81"/>
      <x:c r="Z224" s="81"/>
    </x:row>
    <x:row r="225">
      <x:c r="A225" s="81"/>
      <x:c r="B225" s="81"/>
      <x:c r="C225" s="81"/>
      <x:c r="D225" s="81"/>
      <x:c r="E225" s="81"/>
      <x:c r="F225" s="81"/>
      <x:c r="G225" s="81"/>
      <x:c r="H225" s="81"/>
      <x:c r="I225" s="81"/>
      <x:c r="J225" s="81"/>
      <x:c r="K225" s="81"/>
      <x:c r="L225" s="81"/>
      <x:c r="M225" s="81"/>
      <x:c r="N225" s="81"/>
      <x:c r="O225" s="81"/>
      <x:c r="P225" s="81"/>
      <x:c r="Q225" s="81"/>
      <x:c r="R225" s="81"/>
      <x:c r="S225" s="81"/>
      <x:c r="T225" s="81"/>
      <x:c r="U225" s="81"/>
      <x:c r="V225" s="81"/>
      <x:c r="W225" s="81"/>
      <x:c r="X225" s="81"/>
      <x:c r="Y225" s="81"/>
      <x:c r="Z225" s="81"/>
    </x:row>
    <x:row r="226">
      <x:c r="A226" s="81"/>
      <x:c r="B226" s="81"/>
      <x:c r="C226" s="81"/>
      <x:c r="D226" s="81"/>
      <x:c r="E226" s="81"/>
      <x:c r="F226" s="81"/>
      <x:c r="G226" s="81"/>
      <x:c r="H226" s="81"/>
      <x:c r="I226" s="81"/>
      <x:c r="J226" s="81"/>
      <x:c r="K226" s="81"/>
      <x:c r="L226" s="81"/>
      <x:c r="M226" s="81"/>
      <x:c r="N226" s="81"/>
      <x:c r="O226" s="81"/>
      <x:c r="P226" s="81"/>
      <x:c r="Q226" s="81"/>
      <x:c r="R226" s="81"/>
      <x:c r="S226" s="81"/>
      <x:c r="T226" s="81"/>
      <x:c r="U226" s="81"/>
      <x:c r="V226" s="81"/>
      <x:c r="W226" s="81"/>
      <x:c r="X226" s="81"/>
      <x:c r="Y226" s="81"/>
      <x:c r="Z226" s="81"/>
    </x:row>
    <x:row r="227">
      <x:c r="A227" s="81"/>
      <x:c r="B227" s="81"/>
      <x:c r="C227" s="81"/>
      <x:c r="D227" s="81"/>
      <x:c r="E227" s="81"/>
      <x:c r="F227" s="81"/>
      <x:c r="G227" s="81"/>
      <x:c r="H227" s="81"/>
      <x:c r="I227" s="81"/>
      <x:c r="J227" s="81"/>
      <x:c r="K227" s="81"/>
      <x:c r="L227" s="81"/>
      <x:c r="M227" s="81"/>
      <x:c r="N227" s="81"/>
      <x:c r="O227" s="81"/>
      <x:c r="P227" s="81"/>
      <x:c r="Q227" s="81"/>
      <x:c r="R227" s="81"/>
      <x:c r="S227" s="81"/>
      <x:c r="T227" s="81"/>
      <x:c r="U227" s="81"/>
      <x:c r="V227" s="81"/>
      <x:c r="W227" s="81"/>
      <x:c r="X227" s="81"/>
      <x:c r="Y227" s="81"/>
      <x:c r="Z227" s="81"/>
    </x:row>
    <x:row r="228">
      <x:c r="A228" s="81"/>
      <x:c r="B228" s="81"/>
      <x:c r="C228" s="81"/>
      <x:c r="D228" s="81"/>
      <x:c r="E228" s="81"/>
      <x:c r="F228" s="81"/>
      <x:c r="G228" s="81"/>
      <x:c r="H228" s="81"/>
      <x:c r="I228" s="81"/>
      <x:c r="J228" s="81"/>
      <x:c r="K228" s="81"/>
      <x:c r="L228" s="81"/>
      <x:c r="M228" s="81"/>
      <x:c r="N228" s="81"/>
      <x:c r="O228" s="81"/>
      <x:c r="P228" s="81"/>
      <x:c r="Q228" s="81"/>
      <x:c r="R228" s="81"/>
      <x:c r="S228" s="81"/>
      <x:c r="T228" s="81"/>
      <x:c r="U228" s="81"/>
      <x:c r="V228" s="81"/>
      <x:c r="W228" s="81"/>
      <x:c r="X228" s="81"/>
      <x:c r="Y228" s="81"/>
      <x:c r="Z228" s="81"/>
    </x:row>
    <x:row r="229">
      <x:c r="A229" s="81"/>
      <x:c r="B229" s="81"/>
      <x:c r="C229" s="81"/>
      <x:c r="D229" s="81"/>
      <x:c r="E229" s="81"/>
      <x:c r="F229" s="81"/>
      <x:c r="G229" s="81"/>
      <x:c r="H229" s="81"/>
      <x:c r="I229" s="81"/>
      <x:c r="J229" s="81"/>
      <x:c r="K229" s="81"/>
      <x:c r="L229" s="81"/>
      <x:c r="M229" s="81"/>
      <x:c r="N229" s="81"/>
      <x:c r="O229" s="81"/>
      <x:c r="P229" s="81"/>
      <x:c r="Q229" s="81"/>
      <x:c r="R229" s="81"/>
      <x:c r="S229" s="81"/>
      <x:c r="T229" s="81"/>
      <x:c r="U229" s="81"/>
      <x:c r="V229" s="81"/>
      <x:c r="W229" s="81"/>
      <x:c r="X229" s="81"/>
      <x:c r="Y229" s="81"/>
      <x:c r="Z229" s="81"/>
    </x:row>
    <x:row r="230">
      <x:c r="A230" s="81"/>
      <x:c r="B230" s="81"/>
      <x:c r="C230" s="81"/>
      <x:c r="D230" s="81"/>
      <x:c r="E230" s="81"/>
      <x:c r="F230" s="81"/>
      <x:c r="G230" s="81"/>
      <x:c r="H230" s="81"/>
      <x:c r="I230" s="81"/>
      <x:c r="J230" s="81"/>
      <x:c r="K230" s="81"/>
      <x:c r="L230" s="81"/>
      <x:c r="M230" s="81"/>
      <x:c r="N230" s="81"/>
      <x:c r="O230" s="81"/>
      <x:c r="P230" s="81"/>
      <x:c r="Q230" s="81"/>
      <x:c r="R230" s="81"/>
      <x:c r="S230" s="81"/>
      <x:c r="T230" s="81"/>
      <x:c r="U230" s="81"/>
      <x:c r="V230" s="81"/>
      <x:c r="W230" s="81"/>
      <x:c r="X230" s="81"/>
      <x:c r="Y230" s="81"/>
      <x:c r="Z230" s="81"/>
    </x:row>
    <x:row r="231">
      <x:c r="A231" s="81"/>
      <x:c r="B231" s="81"/>
      <x:c r="C231" s="81"/>
      <x:c r="D231" s="81"/>
      <x:c r="E231" s="81"/>
      <x:c r="F231" s="81"/>
      <x:c r="G231" s="81"/>
      <x:c r="H231" s="81"/>
      <x:c r="I231" s="81"/>
      <x:c r="J231" s="81"/>
      <x:c r="K231" s="81"/>
      <x:c r="L231" s="81"/>
      <x:c r="M231" s="81"/>
      <x:c r="N231" s="81"/>
      <x:c r="O231" s="81"/>
      <x:c r="P231" s="81"/>
      <x:c r="Q231" s="81"/>
      <x:c r="R231" s="81"/>
      <x:c r="S231" s="81"/>
      <x:c r="T231" s="81"/>
      <x:c r="U231" s="81"/>
      <x:c r="V231" s="81"/>
      <x:c r="W231" s="81"/>
      <x:c r="X231" s="81"/>
      <x:c r="Y231" s="81"/>
      <x:c r="Z231" s="81"/>
    </x:row>
    <x:row r="232">
      <x:c r="A232" s="81"/>
      <x:c r="B232" s="81"/>
      <x:c r="C232" s="81"/>
      <x:c r="D232" s="81"/>
      <x:c r="E232" s="81"/>
      <x:c r="F232" s="81"/>
      <x:c r="G232" s="81"/>
      <x:c r="H232" s="81"/>
      <x:c r="I232" s="81"/>
      <x:c r="J232" s="81"/>
      <x:c r="K232" s="81"/>
      <x:c r="L232" s="81"/>
      <x:c r="M232" s="81"/>
      <x:c r="N232" s="81"/>
      <x:c r="O232" s="81"/>
      <x:c r="P232" s="81"/>
      <x:c r="Q232" s="81"/>
      <x:c r="R232" s="81"/>
      <x:c r="S232" s="81"/>
      <x:c r="T232" s="81"/>
      <x:c r="U232" s="81"/>
      <x:c r="V232" s="81"/>
      <x:c r="W232" s="81"/>
      <x:c r="X232" s="81"/>
      <x:c r="Y232" s="81"/>
      <x:c r="Z232" s="81"/>
    </x:row>
    <x:row r="233">
      <x:c r="A233" s="81"/>
      <x:c r="B233" s="81"/>
      <x:c r="C233" s="81"/>
      <x:c r="D233" s="81"/>
      <x:c r="E233" s="81"/>
      <x:c r="F233" s="81"/>
      <x:c r="G233" s="81"/>
      <x:c r="H233" s="81"/>
      <x:c r="I233" s="81"/>
      <x:c r="J233" s="81"/>
      <x:c r="K233" s="81"/>
      <x:c r="L233" s="81"/>
      <x:c r="M233" s="81"/>
      <x:c r="N233" s="81"/>
      <x:c r="O233" s="81"/>
      <x:c r="P233" s="81"/>
      <x:c r="Q233" s="81"/>
      <x:c r="R233" s="81"/>
      <x:c r="S233" s="81"/>
      <x:c r="T233" s="81"/>
      <x:c r="U233" s="81"/>
      <x:c r="V233" s="81"/>
      <x:c r="W233" s="81"/>
      <x:c r="X233" s="81"/>
      <x:c r="Y233" s="81"/>
      <x:c r="Z233" s="81"/>
    </x:row>
    <x:row r="234">
      <x:c r="A234" s="81"/>
      <x:c r="B234" s="81"/>
      <x:c r="C234" s="81"/>
      <x:c r="D234" s="81"/>
      <x:c r="E234" s="81"/>
      <x:c r="F234" s="81"/>
      <x:c r="G234" s="81"/>
      <x:c r="H234" s="81"/>
      <x:c r="I234" s="81"/>
      <x:c r="J234" s="81"/>
      <x:c r="K234" s="81"/>
      <x:c r="L234" s="81"/>
      <x:c r="M234" s="81"/>
      <x:c r="N234" s="81"/>
      <x:c r="O234" s="81"/>
      <x:c r="P234" s="81"/>
      <x:c r="Q234" s="81"/>
      <x:c r="R234" s="81"/>
      <x:c r="S234" s="81"/>
      <x:c r="T234" s="81"/>
      <x:c r="U234" s="81"/>
      <x:c r="V234" s="81"/>
      <x:c r="W234" s="81"/>
      <x:c r="X234" s="81"/>
      <x:c r="Y234" s="81"/>
      <x:c r="Z234" s="81"/>
    </x:row>
    <x:row r="235">
      <x:c r="A235" s="81"/>
      <x:c r="B235" s="81"/>
      <x:c r="C235" s="81"/>
      <x:c r="D235" s="81"/>
      <x:c r="E235" s="81"/>
      <x:c r="F235" s="81"/>
      <x:c r="G235" s="81"/>
      <x:c r="H235" s="81"/>
      <x:c r="I235" s="81"/>
      <x:c r="J235" s="81"/>
      <x:c r="K235" s="81"/>
      <x:c r="L235" s="81"/>
      <x:c r="M235" s="81"/>
      <x:c r="N235" s="81"/>
      <x:c r="O235" s="81"/>
      <x:c r="P235" s="81"/>
      <x:c r="Q235" s="81"/>
      <x:c r="R235" s="81"/>
      <x:c r="S235" s="81"/>
      <x:c r="T235" s="81"/>
      <x:c r="U235" s="81"/>
      <x:c r="V235" s="81"/>
      <x:c r="W235" s="81"/>
      <x:c r="X235" s="81"/>
      <x:c r="Y235" s="81"/>
      <x:c r="Z235" s="81"/>
    </x:row>
    <x:row r="236">
      <x:c r="A236" s="81"/>
      <x:c r="B236" s="81"/>
      <x:c r="C236" s="81"/>
      <x:c r="D236" s="81"/>
      <x:c r="E236" s="81"/>
      <x:c r="F236" s="81"/>
      <x:c r="G236" s="81"/>
      <x:c r="H236" s="81"/>
      <x:c r="I236" s="81"/>
      <x:c r="J236" s="81"/>
      <x:c r="K236" s="81"/>
      <x:c r="L236" s="81"/>
      <x:c r="M236" s="81"/>
      <x:c r="N236" s="81"/>
      <x:c r="O236" s="81"/>
      <x:c r="P236" s="81"/>
      <x:c r="Q236" s="81"/>
      <x:c r="R236" s="81"/>
      <x:c r="S236" s="81"/>
      <x:c r="T236" s="81"/>
      <x:c r="U236" s="81"/>
      <x:c r="V236" s="81"/>
      <x:c r="W236" s="81"/>
      <x:c r="X236" s="81"/>
      <x:c r="Y236" s="81"/>
      <x:c r="Z236" s="81"/>
    </x:row>
    <x:row r="237">
      <x:c r="A237" s="81"/>
      <x:c r="B237" s="81"/>
      <x:c r="C237" s="81"/>
      <x:c r="D237" s="81"/>
      <x:c r="E237" s="81"/>
      <x:c r="F237" s="81"/>
      <x:c r="G237" s="81"/>
      <x:c r="H237" s="81"/>
      <x:c r="I237" s="81"/>
      <x:c r="J237" s="81"/>
      <x:c r="K237" s="81"/>
      <x:c r="L237" s="81"/>
      <x:c r="M237" s="81"/>
      <x:c r="N237" s="81"/>
      <x:c r="O237" s="81"/>
      <x:c r="P237" s="81"/>
      <x:c r="Q237" s="81"/>
      <x:c r="R237" s="81"/>
      <x:c r="S237" s="81"/>
      <x:c r="T237" s="81"/>
      <x:c r="U237" s="81"/>
      <x:c r="V237" s="81"/>
      <x:c r="W237" s="81"/>
      <x:c r="X237" s="81"/>
      <x:c r="Y237" s="81"/>
      <x:c r="Z237" s="81"/>
    </x:row>
    <x:row r="238">
      <x:c r="A238" s="81"/>
      <x:c r="B238" s="81"/>
      <x:c r="C238" s="81"/>
      <x:c r="D238" s="81"/>
      <x:c r="E238" s="81"/>
      <x:c r="F238" s="81"/>
      <x:c r="G238" s="81"/>
      <x:c r="H238" s="81"/>
      <x:c r="I238" s="81"/>
      <x:c r="J238" s="81"/>
      <x:c r="K238" s="81"/>
      <x:c r="L238" s="81"/>
      <x:c r="M238" s="81"/>
      <x:c r="N238" s="81"/>
      <x:c r="O238" s="81"/>
      <x:c r="P238" s="81"/>
      <x:c r="Q238" s="81"/>
      <x:c r="R238" s="81"/>
      <x:c r="S238" s="81"/>
      <x:c r="T238" s="81"/>
      <x:c r="U238" s="81"/>
      <x:c r="V238" s="81"/>
      <x:c r="W238" s="81"/>
      <x:c r="X238" s="81"/>
      <x:c r="Y238" s="81"/>
      <x:c r="Z238" s="81"/>
    </x:row>
    <x:row r="239">
      <x:c r="A239" s="81"/>
      <x:c r="B239" s="81"/>
      <x:c r="C239" s="81"/>
      <x:c r="D239" s="81"/>
      <x:c r="E239" s="81"/>
      <x:c r="F239" s="81"/>
      <x:c r="G239" s="81"/>
      <x:c r="H239" s="81"/>
      <x:c r="I239" s="81"/>
      <x:c r="J239" s="81"/>
      <x:c r="K239" s="81"/>
      <x:c r="L239" s="81"/>
      <x:c r="M239" s="81"/>
      <x:c r="N239" s="81"/>
      <x:c r="O239" s="81"/>
      <x:c r="P239" s="81"/>
      <x:c r="Q239" s="81"/>
      <x:c r="R239" s="81"/>
      <x:c r="S239" s="81"/>
      <x:c r="T239" s="81"/>
      <x:c r="U239" s="81"/>
      <x:c r="V239" s="81"/>
      <x:c r="W239" s="81"/>
      <x:c r="X239" s="81"/>
      <x:c r="Y239" s="81"/>
      <x:c r="Z239" s="81"/>
    </x:row>
    <x:row r="240">
      <x:c r="A240" s="81"/>
      <x:c r="B240" s="81"/>
      <x:c r="C240" s="81"/>
      <x:c r="D240" s="81"/>
      <x:c r="E240" s="81"/>
      <x:c r="F240" s="81"/>
      <x:c r="G240" s="81"/>
      <x:c r="H240" s="81"/>
      <x:c r="I240" s="81"/>
      <x:c r="J240" s="81"/>
      <x:c r="K240" s="81"/>
      <x:c r="L240" s="81"/>
      <x:c r="M240" s="81"/>
      <x:c r="N240" s="81"/>
      <x:c r="O240" s="81"/>
      <x:c r="P240" s="81"/>
      <x:c r="Q240" s="81"/>
      <x:c r="R240" s="81"/>
      <x:c r="S240" s="81"/>
      <x:c r="T240" s="81"/>
      <x:c r="U240" s="81"/>
      <x:c r="V240" s="81"/>
      <x:c r="W240" s="81"/>
      <x:c r="X240" s="81"/>
      <x:c r="Y240" s="81"/>
      <x:c r="Z240" s="81"/>
    </x:row>
    <x:row r="241">
      <x:c r="A241" s="81"/>
      <x:c r="B241" s="81"/>
      <x:c r="C241" s="81"/>
      <x:c r="D241" s="81"/>
      <x:c r="E241" s="81"/>
      <x:c r="F241" s="81"/>
      <x:c r="G241" s="81"/>
      <x:c r="H241" s="81"/>
      <x:c r="I241" s="81"/>
      <x:c r="J241" s="81"/>
      <x:c r="K241" s="81"/>
      <x:c r="L241" s="81"/>
      <x:c r="M241" s="81"/>
      <x:c r="N241" s="81"/>
      <x:c r="O241" s="81"/>
      <x:c r="P241" s="81"/>
      <x:c r="Q241" s="81"/>
      <x:c r="R241" s="81"/>
      <x:c r="S241" s="81"/>
      <x:c r="T241" s="81"/>
      <x:c r="U241" s="81"/>
      <x:c r="V241" s="81"/>
      <x:c r="W241" s="81"/>
      <x:c r="X241" s="81"/>
      <x:c r="Y241" s="81"/>
      <x:c r="Z241" s="81"/>
    </x:row>
    <x:row r="242">
      <x:c r="A242" s="81"/>
      <x:c r="B242" s="81"/>
      <x:c r="C242" s="81"/>
      <x:c r="D242" s="81"/>
      <x:c r="E242" s="81"/>
      <x:c r="F242" s="81"/>
      <x:c r="G242" s="81"/>
      <x:c r="H242" s="81"/>
      <x:c r="I242" s="81"/>
      <x:c r="J242" s="81"/>
      <x:c r="K242" s="81"/>
      <x:c r="L242" s="81"/>
      <x:c r="M242" s="81"/>
      <x:c r="N242" s="81"/>
      <x:c r="O242" s="81"/>
      <x:c r="P242" s="81"/>
      <x:c r="Q242" s="81"/>
      <x:c r="R242" s="81"/>
      <x:c r="S242" s="81"/>
      <x:c r="T242" s="81"/>
      <x:c r="U242" s="81"/>
      <x:c r="V242" s="81"/>
      <x:c r="W242" s="81"/>
      <x:c r="X242" s="81"/>
      <x:c r="Y242" s="81"/>
      <x:c r="Z242" s="81"/>
    </x:row>
    <x:row r="243">
      <x:c r="A243" s="81"/>
      <x:c r="B243" s="81"/>
      <x:c r="C243" s="81"/>
      <x:c r="D243" s="81"/>
      <x:c r="E243" s="81"/>
      <x:c r="F243" s="81"/>
      <x:c r="G243" s="81"/>
      <x:c r="H243" s="81"/>
      <x:c r="I243" s="81"/>
      <x:c r="J243" s="81"/>
      <x:c r="K243" s="81"/>
      <x:c r="L243" s="81"/>
      <x:c r="M243" s="81"/>
      <x:c r="N243" s="81"/>
      <x:c r="O243" s="81"/>
      <x:c r="P243" s="81"/>
      <x:c r="Q243" s="81"/>
      <x:c r="R243" s="81"/>
      <x:c r="S243" s="81"/>
      <x:c r="T243" s="81"/>
      <x:c r="U243" s="81"/>
      <x:c r="V243" s="81"/>
      <x:c r="W243" s="81"/>
      <x:c r="X243" s="81"/>
      <x:c r="Y243" s="81"/>
      <x:c r="Z243" s="81"/>
    </x:row>
    <x:row r="244">
      <x:c r="A244" s="81"/>
      <x:c r="B244" s="81"/>
      <x:c r="C244" s="81"/>
      <x:c r="D244" s="81"/>
      <x:c r="E244" s="81"/>
      <x:c r="F244" s="81"/>
      <x:c r="G244" s="81"/>
      <x:c r="H244" s="81"/>
      <x:c r="I244" s="81"/>
      <x:c r="J244" s="81"/>
      <x:c r="K244" s="81"/>
      <x:c r="L244" s="81"/>
      <x:c r="M244" s="81"/>
      <x:c r="N244" s="81"/>
      <x:c r="O244" s="81"/>
      <x:c r="P244" s="81"/>
      <x:c r="Q244" s="81"/>
      <x:c r="R244" s="81"/>
      <x:c r="S244" s="81"/>
      <x:c r="T244" s="81"/>
      <x:c r="U244" s="81"/>
      <x:c r="V244" s="81"/>
      <x:c r="W244" s="81"/>
      <x:c r="X244" s="81"/>
      <x:c r="Y244" s="81"/>
      <x:c r="Z244" s="81"/>
    </x:row>
    <x:row r="245">
      <x:c r="A245" s="81"/>
      <x:c r="B245" s="81"/>
      <x:c r="C245" s="81"/>
      <x:c r="D245" s="81"/>
      <x:c r="E245" s="81"/>
      <x:c r="F245" s="81"/>
      <x:c r="G245" s="81"/>
      <x:c r="H245" s="81"/>
      <x:c r="I245" s="81"/>
      <x:c r="J245" s="81"/>
      <x:c r="K245" s="81"/>
      <x:c r="L245" s="81"/>
      <x:c r="M245" s="81"/>
      <x:c r="N245" s="81"/>
      <x:c r="O245" s="81"/>
      <x:c r="P245" s="81"/>
      <x:c r="Q245" s="81"/>
      <x:c r="R245" s="81"/>
      <x:c r="S245" s="81"/>
      <x:c r="T245" s="81"/>
      <x:c r="U245" s="81"/>
      <x:c r="V245" s="81"/>
      <x:c r="W245" s="81"/>
      <x:c r="X245" s="81"/>
      <x:c r="Y245" s="81"/>
      <x:c r="Z245" s="81"/>
    </x:row>
    <x:row r="246">
      <x:c r="A246" s="81"/>
      <x:c r="B246" s="81"/>
      <x:c r="C246" s="81"/>
      <x:c r="D246" s="81"/>
      <x:c r="E246" s="81"/>
      <x:c r="F246" s="81"/>
      <x:c r="G246" s="81"/>
      <x:c r="H246" s="81"/>
      <x:c r="I246" s="81"/>
      <x:c r="J246" s="81"/>
      <x:c r="K246" s="81"/>
      <x:c r="L246" s="81"/>
      <x:c r="M246" s="81"/>
      <x:c r="N246" s="81"/>
      <x:c r="O246" s="81"/>
      <x:c r="P246" s="81"/>
      <x:c r="Q246" s="81"/>
      <x:c r="R246" s="81"/>
      <x:c r="S246" s="81"/>
      <x:c r="T246" s="81"/>
      <x:c r="U246" s="81"/>
      <x:c r="V246" s="81"/>
      <x:c r="W246" s="81"/>
      <x:c r="X246" s="81"/>
      <x:c r="Y246" s="81"/>
      <x:c r="Z246" s="81"/>
    </x:row>
    <x:row r="247">
      <x:c r="A247" s="81"/>
      <x:c r="B247" s="81"/>
      <x:c r="C247" s="81"/>
      <x:c r="D247" s="81"/>
      <x:c r="E247" s="81"/>
      <x:c r="F247" s="81"/>
      <x:c r="G247" s="81"/>
      <x:c r="H247" s="81"/>
      <x:c r="I247" s="81"/>
      <x:c r="J247" s="81"/>
      <x:c r="K247" s="81"/>
      <x:c r="L247" s="81"/>
      <x:c r="M247" s="81"/>
      <x:c r="N247" s="81"/>
      <x:c r="O247" s="81"/>
      <x:c r="P247" s="81"/>
      <x:c r="Q247" s="81"/>
      <x:c r="R247" s="81"/>
      <x:c r="S247" s="81"/>
      <x:c r="T247" s="81"/>
      <x:c r="U247" s="81"/>
      <x:c r="V247" s="81"/>
      <x:c r="W247" s="81"/>
      <x:c r="X247" s="81"/>
      <x:c r="Y247" s="81"/>
      <x:c r="Z247" s="81"/>
    </x:row>
    <x:row r="248">
      <x:c r="A248" s="81"/>
      <x:c r="B248" s="81"/>
      <x:c r="C248" s="81"/>
      <x:c r="D248" s="81"/>
      <x:c r="E248" s="81"/>
      <x:c r="F248" s="81"/>
      <x:c r="G248" s="81"/>
      <x:c r="H248" s="81"/>
      <x:c r="I248" s="81"/>
      <x:c r="J248" s="81"/>
      <x:c r="K248" s="81"/>
      <x:c r="L248" s="81"/>
      <x:c r="M248" s="81"/>
      <x:c r="N248" s="81"/>
      <x:c r="O248" s="81"/>
      <x:c r="P248" s="81"/>
      <x:c r="Q248" s="81"/>
      <x:c r="R248" s="81"/>
      <x:c r="S248" s="81"/>
      <x:c r="T248" s="81"/>
      <x:c r="U248" s="81"/>
      <x:c r="V248" s="81"/>
      <x:c r="W248" s="81"/>
      <x:c r="X248" s="81"/>
      <x:c r="Y248" s="81"/>
      <x:c r="Z248" s="81"/>
    </x:row>
    <x:row r="249">
      <x:c r="A249" s="81"/>
      <x:c r="B249" s="81"/>
      <x:c r="C249" s="81"/>
      <x:c r="D249" s="81"/>
      <x:c r="E249" s="81"/>
      <x:c r="F249" s="81"/>
      <x:c r="G249" s="81"/>
      <x:c r="H249" s="81"/>
      <x:c r="I249" s="81"/>
      <x:c r="J249" s="81"/>
      <x:c r="K249" s="81"/>
      <x:c r="L249" s="81"/>
      <x:c r="M249" s="81"/>
      <x:c r="N249" s="81"/>
      <x:c r="O249" s="81"/>
      <x:c r="P249" s="81"/>
      <x:c r="Q249" s="81"/>
      <x:c r="R249" s="81"/>
      <x:c r="S249" s="81"/>
      <x:c r="T249" s="81"/>
      <x:c r="U249" s="81"/>
      <x:c r="V249" s="81"/>
      <x:c r="W249" s="81"/>
      <x:c r="X249" s="81"/>
      <x:c r="Y249" s="81"/>
      <x:c r="Z249" s="81"/>
    </x:row>
    <x:row r="250">
      <x:c r="A250" s="81"/>
      <x:c r="B250" s="81"/>
      <x:c r="C250" s="81"/>
      <x:c r="D250" s="81"/>
      <x:c r="E250" s="81"/>
      <x:c r="F250" s="81"/>
      <x:c r="G250" s="81"/>
      <x:c r="H250" s="81"/>
      <x:c r="I250" s="81"/>
      <x:c r="J250" s="81"/>
      <x:c r="K250" s="81"/>
      <x:c r="L250" s="81"/>
      <x:c r="M250" s="81"/>
      <x:c r="N250" s="81"/>
      <x:c r="O250" s="81"/>
      <x:c r="P250" s="81"/>
      <x:c r="Q250" s="81"/>
      <x:c r="R250" s="81"/>
      <x:c r="S250" s="81"/>
      <x:c r="T250" s="81"/>
      <x:c r="U250" s="81"/>
      <x:c r="V250" s="81"/>
      <x:c r="W250" s="81"/>
      <x:c r="X250" s="81"/>
      <x:c r="Y250" s="81"/>
      <x:c r="Z250" s="81"/>
    </x:row>
    <x:row r="251">
      <x:c r="A251" s="81"/>
      <x:c r="B251" s="81"/>
      <x:c r="C251" s="81"/>
      <x:c r="D251" s="81"/>
      <x:c r="E251" s="81"/>
      <x:c r="F251" s="81"/>
      <x:c r="G251" s="81"/>
      <x:c r="H251" s="81"/>
      <x:c r="I251" s="81"/>
      <x:c r="J251" s="81"/>
      <x:c r="K251" s="81"/>
      <x:c r="L251" s="81"/>
      <x:c r="M251" s="81"/>
      <x:c r="N251" s="81"/>
      <x:c r="O251" s="81"/>
      <x:c r="P251" s="81"/>
      <x:c r="Q251" s="81"/>
      <x:c r="R251" s="81"/>
      <x:c r="S251" s="81"/>
      <x:c r="T251" s="81"/>
      <x:c r="U251" s="81"/>
      <x:c r="V251" s="81"/>
      <x:c r="W251" s="81"/>
      <x:c r="X251" s="81"/>
      <x:c r="Y251" s="81"/>
      <x:c r="Z251" s="81"/>
    </x:row>
    <x:row r="252">
      <x:c r="A252" s="81"/>
      <x:c r="B252" s="81"/>
      <x:c r="C252" s="81"/>
      <x:c r="D252" s="81"/>
      <x:c r="E252" s="81"/>
      <x:c r="F252" s="81"/>
      <x:c r="G252" s="81"/>
      <x:c r="H252" s="81"/>
      <x:c r="I252" s="81"/>
      <x:c r="J252" s="81"/>
      <x:c r="K252" s="81"/>
      <x:c r="L252" s="81"/>
      <x:c r="M252" s="81"/>
      <x:c r="N252" s="81"/>
      <x:c r="O252" s="81"/>
      <x:c r="P252" s="81"/>
      <x:c r="Q252" s="81"/>
      <x:c r="R252" s="81"/>
      <x:c r="S252" s="81"/>
      <x:c r="T252" s="81"/>
      <x:c r="U252" s="81"/>
      <x:c r="V252" s="81"/>
      <x:c r="W252" s="81"/>
      <x:c r="X252" s="81"/>
      <x:c r="Y252" s="81"/>
      <x:c r="Z252" s="81"/>
    </x:row>
    <x:row r="253">
      <x:c r="A253" s="81"/>
      <x:c r="B253" s="81"/>
      <x:c r="C253" s="81"/>
      <x:c r="D253" s="81"/>
      <x:c r="E253" s="81"/>
      <x:c r="F253" s="81"/>
      <x:c r="G253" s="81"/>
      <x:c r="H253" s="81"/>
      <x:c r="I253" s="81"/>
      <x:c r="J253" s="81"/>
      <x:c r="K253" s="81"/>
      <x:c r="L253" s="81"/>
      <x:c r="M253" s="81"/>
      <x:c r="N253" s="81"/>
      <x:c r="O253" s="81"/>
      <x:c r="P253" s="81"/>
      <x:c r="Q253" s="81"/>
      <x:c r="R253" s="81"/>
      <x:c r="S253" s="81"/>
      <x:c r="T253" s="81"/>
      <x:c r="U253" s="81"/>
      <x:c r="V253" s="81"/>
      <x:c r="W253" s="81"/>
      <x:c r="X253" s="81"/>
      <x:c r="Y253" s="81"/>
      <x:c r="Z253" s="81"/>
    </x:row>
    <x:row r="254">
      <x:c r="A254" s="81"/>
      <x:c r="B254" s="81"/>
      <x:c r="C254" s="81"/>
      <x:c r="D254" s="81"/>
      <x:c r="E254" s="81"/>
      <x:c r="F254" s="81"/>
      <x:c r="G254" s="81"/>
      <x:c r="H254" s="81"/>
      <x:c r="I254" s="81"/>
      <x:c r="J254" s="81"/>
      <x:c r="K254" s="81"/>
      <x:c r="L254" s="81"/>
      <x:c r="M254" s="81"/>
      <x:c r="N254" s="81"/>
      <x:c r="O254" s="81"/>
      <x:c r="P254" s="81"/>
      <x:c r="Q254" s="81"/>
      <x:c r="R254" s="81"/>
      <x:c r="S254" s="81"/>
      <x:c r="T254" s="81"/>
      <x:c r="U254" s="81"/>
      <x:c r="V254" s="81"/>
      <x:c r="W254" s="81"/>
      <x:c r="X254" s="81"/>
      <x:c r="Y254" s="81"/>
      <x:c r="Z254" s="81"/>
    </x:row>
    <x:row r="255">
      <x:c r="A255" s="81"/>
      <x:c r="B255" s="81"/>
      <x:c r="C255" s="81"/>
      <x:c r="D255" s="81"/>
      <x:c r="E255" s="81"/>
      <x:c r="F255" s="81"/>
      <x:c r="G255" s="81"/>
      <x:c r="H255" s="81"/>
      <x:c r="I255" s="81"/>
      <x:c r="J255" s="81"/>
      <x:c r="K255" s="81"/>
      <x:c r="L255" s="81"/>
      <x:c r="M255" s="81"/>
      <x:c r="N255" s="81"/>
      <x:c r="O255" s="81"/>
      <x:c r="P255" s="81"/>
      <x:c r="Q255" s="81"/>
      <x:c r="R255" s="81"/>
      <x:c r="S255" s="81"/>
      <x:c r="T255" s="81"/>
      <x:c r="U255" s="81"/>
      <x:c r="V255" s="81"/>
      <x:c r="W255" s="81"/>
      <x:c r="X255" s="81"/>
      <x:c r="Y255" s="81"/>
      <x:c r="Z255" s="81"/>
    </x:row>
    <x:row r="256">
      <x:c r="A256" s="81"/>
      <x:c r="B256" s="81"/>
      <x:c r="C256" s="81"/>
      <x:c r="D256" s="81"/>
      <x:c r="E256" s="81"/>
      <x:c r="F256" s="81"/>
      <x:c r="G256" s="81"/>
      <x:c r="H256" s="81"/>
      <x:c r="I256" s="81"/>
      <x:c r="J256" s="81"/>
      <x:c r="K256" s="81"/>
      <x:c r="L256" s="81"/>
      <x:c r="M256" s="81"/>
      <x:c r="N256" s="81"/>
      <x:c r="O256" s="81"/>
      <x:c r="P256" s="81"/>
      <x:c r="Q256" s="81"/>
      <x:c r="R256" s="81"/>
      <x:c r="S256" s="81"/>
      <x:c r="T256" s="81"/>
      <x:c r="U256" s="81"/>
      <x:c r="V256" s="81"/>
      <x:c r="W256" s="81"/>
      <x:c r="X256" s="81"/>
      <x:c r="Y256" s="81"/>
      <x:c r="Z256" s="81"/>
    </x:row>
    <x:row r="257">
      <x:c r="A257" s="81"/>
      <x:c r="B257" s="81"/>
      <x:c r="C257" s="81"/>
      <x:c r="D257" s="81"/>
      <x:c r="E257" s="81"/>
      <x:c r="F257" s="81"/>
      <x:c r="G257" s="81"/>
      <x:c r="H257" s="81"/>
      <x:c r="I257" s="81"/>
      <x:c r="J257" s="81"/>
      <x:c r="K257" s="81"/>
      <x:c r="L257" s="81"/>
      <x:c r="M257" s="81"/>
      <x:c r="N257" s="81"/>
      <x:c r="O257" s="81"/>
      <x:c r="P257" s="81"/>
      <x:c r="Q257" s="81"/>
      <x:c r="R257" s="81"/>
      <x:c r="S257" s="81"/>
      <x:c r="T257" s="81"/>
      <x:c r="U257" s="81"/>
      <x:c r="V257" s="81"/>
      <x:c r="W257" s="81"/>
      <x:c r="X257" s="81"/>
      <x:c r="Y257" s="81"/>
      <x:c r="Z257" s="81"/>
    </x:row>
    <x:row r="258">
      <x:c r="A258" s="81"/>
      <x:c r="B258" s="81"/>
      <x:c r="C258" s="81"/>
      <x:c r="D258" s="81"/>
      <x:c r="E258" s="81"/>
      <x:c r="F258" s="81"/>
      <x:c r="G258" s="81"/>
      <x:c r="H258" s="81"/>
      <x:c r="I258" s="81"/>
      <x:c r="J258" s="81"/>
      <x:c r="K258" s="81"/>
      <x:c r="L258" s="81"/>
      <x:c r="M258" s="81"/>
      <x:c r="N258" s="81"/>
      <x:c r="O258" s="81"/>
      <x:c r="P258" s="81"/>
      <x:c r="Q258" s="81"/>
      <x:c r="R258" s="81"/>
      <x:c r="S258" s="81"/>
      <x:c r="T258" s="81"/>
      <x:c r="U258" s="81"/>
      <x:c r="V258" s="81"/>
      <x:c r="W258" s="81"/>
      <x:c r="X258" s="81"/>
      <x:c r="Y258" s="81"/>
      <x:c r="Z258" s="81"/>
    </x:row>
    <x:row r="259">
      <x:c r="A259" s="81"/>
      <x:c r="B259" s="81"/>
      <x:c r="C259" s="81"/>
      <x:c r="D259" s="81"/>
      <x:c r="E259" s="81"/>
      <x:c r="F259" s="81"/>
      <x:c r="G259" s="81"/>
      <x:c r="H259" s="81"/>
      <x:c r="I259" s="81"/>
      <x:c r="J259" s="81"/>
      <x:c r="K259" s="81"/>
      <x:c r="L259" s="81"/>
      <x:c r="M259" s="81"/>
      <x:c r="N259" s="81"/>
      <x:c r="O259" s="81"/>
      <x:c r="P259" s="81"/>
      <x:c r="Q259" s="81"/>
      <x:c r="R259" s="81"/>
      <x:c r="S259" s="81"/>
      <x:c r="T259" s="81"/>
      <x:c r="U259" s="81"/>
      <x:c r="V259" s="81"/>
      <x:c r="W259" s="81"/>
      <x:c r="X259" s="81"/>
      <x:c r="Y259" s="81"/>
      <x:c r="Z259" s="81"/>
    </x:row>
    <x:row r="260">
      <x:c r="A260" s="81"/>
      <x:c r="B260" s="81"/>
      <x:c r="C260" s="81"/>
      <x:c r="D260" s="81"/>
      <x:c r="E260" s="81"/>
      <x:c r="F260" s="81"/>
      <x:c r="G260" s="81"/>
      <x:c r="H260" s="81"/>
      <x:c r="I260" s="81"/>
      <x:c r="J260" s="81"/>
      <x:c r="K260" s="81"/>
      <x:c r="L260" s="81"/>
      <x:c r="M260" s="81"/>
      <x:c r="N260" s="81"/>
      <x:c r="O260" s="81"/>
      <x:c r="P260" s="81"/>
      <x:c r="Q260" s="81"/>
      <x:c r="R260" s="81"/>
      <x:c r="S260" s="81"/>
      <x:c r="T260" s="81"/>
      <x:c r="U260" s="81"/>
      <x:c r="V260" s="81"/>
      <x:c r="W260" s="81"/>
      <x:c r="X260" s="81"/>
      <x:c r="Y260" s="81"/>
      <x:c r="Z260" s="81"/>
    </x:row>
    <x:row r="261">
      <x:c r="A261" s="81"/>
      <x:c r="B261" s="81"/>
      <x:c r="C261" s="81"/>
      <x:c r="D261" s="81"/>
      <x:c r="E261" s="81"/>
      <x:c r="F261" s="81"/>
      <x:c r="G261" s="81"/>
      <x:c r="H261" s="81"/>
      <x:c r="I261" s="81"/>
      <x:c r="J261" s="81"/>
      <x:c r="K261" s="81"/>
      <x:c r="L261" s="81"/>
      <x:c r="M261" s="81"/>
      <x:c r="N261" s="81"/>
      <x:c r="O261" s="81"/>
      <x:c r="P261" s="81"/>
      <x:c r="Q261" s="81"/>
      <x:c r="R261" s="81"/>
      <x:c r="S261" s="81"/>
      <x:c r="T261" s="81"/>
      <x:c r="U261" s="81"/>
      <x:c r="V261" s="81"/>
      <x:c r="W261" s="81"/>
      <x:c r="X261" s="81"/>
      <x:c r="Y261" s="81"/>
      <x:c r="Z261" s="81"/>
    </x:row>
    <x:row r="262">
      <x:c r="A262" s="81"/>
      <x:c r="B262" s="81"/>
      <x:c r="C262" s="81"/>
      <x:c r="D262" s="81"/>
      <x:c r="E262" s="81"/>
      <x:c r="F262" s="81"/>
      <x:c r="G262" s="81"/>
      <x:c r="H262" s="81"/>
      <x:c r="I262" s="81"/>
      <x:c r="J262" s="81"/>
      <x:c r="K262" s="81"/>
      <x:c r="L262" s="81"/>
      <x:c r="M262" s="81"/>
      <x:c r="N262" s="81"/>
      <x:c r="O262" s="81"/>
      <x:c r="P262" s="81"/>
      <x:c r="Q262" s="81"/>
      <x:c r="R262" s="81"/>
      <x:c r="S262" s="81"/>
      <x:c r="T262" s="81"/>
      <x:c r="U262" s="81"/>
      <x:c r="V262" s="81"/>
      <x:c r="W262" s="81"/>
      <x:c r="X262" s="81"/>
      <x:c r="Y262" s="81"/>
      <x:c r="Z262" s="81"/>
    </x:row>
    <x:row r="263">
      <x:c r="A263" s="81"/>
      <x:c r="B263" s="81"/>
      <x:c r="C263" s="81"/>
      <x:c r="D263" s="81"/>
      <x:c r="E263" s="81"/>
      <x:c r="F263" s="81"/>
      <x:c r="G263" s="81"/>
      <x:c r="H263" s="81"/>
      <x:c r="I263" s="81"/>
      <x:c r="J263" s="81"/>
      <x:c r="K263" s="81"/>
      <x:c r="L263" s="81"/>
      <x:c r="M263" s="81"/>
      <x:c r="N263" s="81"/>
      <x:c r="O263" s="81"/>
      <x:c r="P263" s="81"/>
      <x:c r="Q263" s="81"/>
      <x:c r="R263" s="81"/>
      <x:c r="S263" s="81"/>
      <x:c r="T263" s="81"/>
      <x:c r="U263" s="81"/>
      <x:c r="V263" s="81"/>
      <x:c r="W263" s="81"/>
      <x:c r="X263" s="81"/>
      <x:c r="Y263" s="81"/>
      <x:c r="Z263" s="81"/>
    </x:row>
    <x:row r="264">
      <x:c r="A264" s="81"/>
      <x:c r="B264" s="81"/>
      <x:c r="C264" s="81"/>
      <x:c r="D264" s="81"/>
      <x:c r="E264" s="81"/>
      <x:c r="F264" s="81"/>
      <x:c r="G264" s="81"/>
      <x:c r="H264" s="81"/>
      <x:c r="I264" s="81"/>
      <x:c r="J264" s="81"/>
      <x:c r="K264" s="81"/>
      <x:c r="L264" s="81"/>
      <x:c r="M264" s="81"/>
      <x:c r="N264" s="81"/>
      <x:c r="O264" s="81"/>
      <x:c r="P264" s="81"/>
      <x:c r="Q264" s="81"/>
      <x:c r="R264" s="81"/>
      <x:c r="S264" s="81"/>
      <x:c r="T264" s="81"/>
      <x:c r="U264" s="81"/>
      <x:c r="V264" s="81"/>
      <x:c r="W264" s="81"/>
      <x:c r="X264" s="81"/>
      <x:c r="Y264" s="81"/>
      <x:c r="Z264" s="81"/>
    </x:row>
    <x:row r="265">
      <x:c r="A265" s="81"/>
      <x:c r="B265" s="81"/>
      <x:c r="C265" s="81"/>
      <x:c r="D265" s="81"/>
      <x:c r="E265" s="81"/>
      <x:c r="F265" s="81"/>
      <x:c r="G265" s="81"/>
      <x:c r="H265" s="81"/>
      <x:c r="I265" s="81"/>
      <x:c r="J265" s="81"/>
      <x:c r="K265" s="81"/>
      <x:c r="L265" s="81"/>
      <x:c r="M265" s="81"/>
      <x:c r="N265" s="81"/>
      <x:c r="O265" s="81"/>
      <x:c r="P265" s="81"/>
      <x:c r="Q265" s="81"/>
      <x:c r="R265" s="81"/>
      <x:c r="S265" s="81"/>
      <x:c r="T265" s="81"/>
      <x:c r="U265" s="81"/>
      <x:c r="V265" s="81"/>
      <x:c r="W265" s="81"/>
      <x:c r="X265" s="81"/>
      <x:c r="Y265" s="81"/>
      <x:c r="Z265" s="81"/>
    </x:row>
    <x:row r="266">
      <x:c r="A266" s="81"/>
      <x:c r="B266" s="81"/>
      <x:c r="C266" s="81"/>
      <x:c r="D266" s="81"/>
      <x:c r="E266" s="81"/>
      <x:c r="F266" s="81"/>
      <x:c r="G266" s="81"/>
      <x:c r="H266" s="81"/>
      <x:c r="I266" s="81"/>
      <x:c r="J266" s="81"/>
      <x:c r="K266" s="81"/>
      <x:c r="L266" s="81"/>
      <x:c r="M266" s="81"/>
      <x:c r="N266" s="81"/>
      <x:c r="O266" s="81"/>
      <x:c r="P266" s="81"/>
      <x:c r="Q266" s="81"/>
      <x:c r="R266" s="81"/>
      <x:c r="S266" s="81"/>
      <x:c r="T266" s="81"/>
      <x:c r="U266" s="81"/>
      <x:c r="V266" s="81"/>
      <x:c r="W266" s="81"/>
      <x:c r="X266" s="81"/>
      <x:c r="Y266" s="81"/>
      <x:c r="Z266" s="81"/>
    </x:row>
    <x:row r="267">
      <x:c r="A267" s="81"/>
      <x:c r="B267" s="81"/>
      <x:c r="C267" s="81"/>
      <x:c r="D267" s="81"/>
      <x:c r="E267" s="81"/>
      <x:c r="F267" s="81"/>
      <x:c r="G267" s="81"/>
      <x:c r="H267" s="81"/>
      <x:c r="I267" s="81"/>
      <x:c r="J267" s="81"/>
      <x:c r="K267" s="81"/>
      <x:c r="L267" s="81"/>
      <x:c r="M267" s="81"/>
      <x:c r="N267" s="81"/>
      <x:c r="O267" s="81"/>
      <x:c r="P267" s="81"/>
      <x:c r="Q267" s="81"/>
      <x:c r="R267" s="81"/>
      <x:c r="S267" s="81"/>
      <x:c r="T267" s="81"/>
      <x:c r="U267" s="81"/>
      <x:c r="V267" s="81"/>
      <x:c r="W267" s="81"/>
      <x:c r="X267" s="81"/>
      <x:c r="Y267" s="81"/>
      <x:c r="Z267" s="81"/>
    </x:row>
    <x:row r="268">
      <x:c r="A268" s="81"/>
      <x:c r="B268" s="81"/>
      <x:c r="C268" s="81"/>
      <x:c r="D268" s="81"/>
      <x:c r="E268" s="81"/>
      <x:c r="F268" s="81"/>
      <x:c r="G268" s="81"/>
      <x:c r="H268" s="81"/>
      <x:c r="I268" s="81"/>
      <x:c r="J268" s="81"/>
      <x:c r="K268" s="81"/>
      <x:c r="L268" s="81"/>
      <x:c r="M268" s="81"/>
      <x:c r="N268" s="81"/>
      <x:c r="O268" s="81"/>
      <x:c r="P268" s="81"/>
      <x:c r="Q268" s="81"/>
      <x:c r="R268" s="81"/>
      <x:c r="S268" s="81"/>
      <x:c r="T268" s="81"/>
      <x:c r="U268" s="81"/>
      <x:c r="V268" s="81"/>
      <x:c r="W268" s="81"/>
      <x:c r="X268" s="81"/>
      <x:c r="Y268" s="81"/>
      <x:c r="Z268" s="81"/>
    </x:row>
    <x:row r="269">
      <x:c r="A269" s="81"/>
      <x:c r="B269" s="81"/>
      <x:c r="C269" s="81"/>
      <x:c r="D269" s="81"/>
      <x:c r="E269" s="81"/>
      <x:c r="F269" s="81"/>
      <x:c r="G269" s="81"/>
      <x:c r="H269" s="81"/>
      <x:c r="I269" s="81"/>
      <x:c r="J269" s="81"/>
      <x:c r="K269" s="81"/>
      <x:c r="L269" s="81"/>
      <x:c r="M269" s="81"/>
      <x:c r="N269" s="81"/>
      <x:c r="O269" s="81"/>
      <x:c r="P269" s="81"/>
      <x:c r="Q269" s="81"/>
      <x:c r="R269" s="81"/>
      <x:c r="S269" s="81"/>
      <x:c r="T269" s="81"/>
      <x:c r="U269" s="81"/>
      <x:c r="V269" s="81"/>
      <x:c r="W269" s="81"/>
      <x:c r="X269" s="81"/>
      <x:c r="Y269" s="81"/>
      <x:c r="Z269" s="81"/>
    </x:row>
    <x:row r="270">
      <x:c r="A270" s="81"/>
      <x:c r="B270" s="81"/>
      <x:c r="C270" s="81"/>
      <x:c r="D270" s="81"/>
      <x:c r="E270" s="81"/>
      <x:c r="F270" s="81"/>
      <x:c r="G270" s="81"/>
      <x:c r="H270" s="81"/>
      <x:c r="I270" s="81"/>
      <x:c r="J270" s="81"/>
      <x:c r="K270" s="81"/>
      <x:c r="L270" s="81"/>
      <x:c r="M270" s="81"/>
      <x:c r="N270" s="81"/>
      <x:c r="O270" s="81"/>
      <x:c r="P270" s="81"/>
      <x:c r="Q270" s="81"/>
      <x:c r="R270" s="81"/>
      <x:c r="S270" s="81"/>
      <x:c r="T270" s="81"/>
      <x:c r="U270" s="81"/>
      <x:c r="V270" s="81"/>
      <x:c r="W270" s="81"/>
      <x:c r="X270" s="81"/>
      <x:c r="Y270" s="81"/>
      <x:c r="Z270" s="81"/>
    </x:row>
    <x:row r="271">
      <x:c r="A271" s="81"/>
      <x:c r="B271" s="81"/>
      <x:c r="C271" s="81"/>
      <x:c r="D271" s="81"/>
      <x:c r="E271" s="81"/>
      <x:c r="F271" s="81"/>
      <x:c r="G271" s="81"/>
      <x:c r="H271" s="81"/>
      <x:c r="I271" s="81"/>
      <x:c r="J271" s="81"/>
      <x:c r="K271" s="81"/>
      <x:c r="L271" s="81"/>
      <x:c r="M271" s="81"/>
      <x:c r="N271" s="81"/>
      <x:c r="O271" s="81"/>
      <x:c r="P271" s="81"/>
      <x:c r="Q271" s="81"/>
      <x:c r="R271" s="81"/>
      <x:c r="S271" s="81"/>
      <x:c r="T271" s="81"/>
      <x:c r="U271" s="81"/>
      <x:c r="V271" s="81"/>
      <x:c r="W271" s="81"/>
      <x:c r="X271" s="81"/>
      <x:c r="Y271" s="81"/>
      <x:c r="Z271" s="81"/>
    </x:row>
    <x:row r="272">
      <x:c r="A272" s="81"/>
      <x:c r="B272" s="81"/>
      <x:c r="C272" s="81"/>
      <x:c r="D272" s="81"/>
      <x:c r="E272" s="81"/>
      <x:c r="F272" s="81"/>
      <x:c r="G272" s="81"/>
      <x:c r="H272" s="81"/>
      <x:c r="I272" s="81"/>
      <x:c r="J272" s="81"/>
      <x:c r="K272" s="81"/>
      <x:c r="L272" s="81"/>
      <x:c r="M272" s="81"/>
      <x:c r="N272" s="81"/>
      <x:c r="O272" s="81"/>
      <x:c r="P272" s="81"/>
      <x:c r="Q272" s="81"/>
      <x:c r="R272" s="81"/>
      <x:c r="S272" s="81"/>
      <x:c r="T272" s="81"/>
      <x:c r="U272" s="81"/>
      <x:c r="V272" s="81"/>
      <x:c r="W272" s="81"/>
      <x:c r="X272" s="81"/>
      <x:c r="Y272" s="81"/>
      <x:c r="Z272" s="81"/>
    </x:row>
    <x:row r="273">
      <x:c r="A273" s="81"/>
      <x:c r="B273" s="81"/>
      <x:c r="C273" s="81"/>
      <x:c r="D273" s="81"/>
      <x:c r="E273" s="81"/>
      <x:c r="F273" s="81"/>
      <x:c r="G273" s="81"/>
      <x:c r="H273" s="81"/>
      <x:c r="I273" s="81"/>
      <x:c r="J273" s="81"/>
      <x:c r="K273" s="81"/>
      <x:c r="L273" s="81"/>
      <x:c r="M273" s="81"/>
      <x:c r="N273" s="81"/>
      <x:c r="O273" s="81"/>
      <x:c r="P273" s="81"/>
      <x:c r="Q273" s="81"/>
      <x:c r="R273" s="81"/>
      <x:c r="S273" s="81"/>
      <x:c r="T273" s="81"/>
      <x:c r="U273" s="81"/>
      <x:c r="V273" s="81"/>
      <x:c r="W273" s="81"/>
      <x:c r="X273" s="81"/>
      <x:c r="Y273" s="81"/>
      <x:c r="Z273" s="81"/>
    </x:row>
    <x:row r="274">
      <x:c r="A274" s="81"/>
      <x:c r="B274" s="81"/>
      <x:c r="C274" s="81"/>
      <x:c r="D274" s="81"/>
      <x:c r="E274" s="81"/>
      <x:c r="F274" s="81"/>
      <x:c r="G274" s="81"/>
      <x:c r="H274" s="81"/>
      <x:c r="I274" s="81"/>
      <x:c r="J274" s="81"/>
      <x:c r="K274" s="81"/>
      <x:c r="L274" s="81"/>
      <x:c r="M274" s="81"/>
      <x:c r="N274" s="81"/>
      <x:c r="O274" s="81"/>
      <x:c r="P274" s="81"/>
      <x:c r="Q274" s="81"/>
      <x:c r="R274" s="81"/>
      <x:c r="S274" s="81"/>
      <x:c r="T274" s="81"/>
      <x:c r="U274" s="81"/>
      <x:c r="V274" s="81"/>
      <x:c r="W274" s="81"/>
      <x:c r="X274" s="81"/>
      <x:c r="Y274" s="81"/>
      <x:c r="Z274" s="81"/>
    </x:row>
    <x:row r="275">
      <x:c r="A275" s="81"/>
      <x:c r="B275" s="81"/>
      <x:c r="C275" s="81"/>
      <x:c r="D275" s="81"/>
      <x:c r="E275" s="81"/>
      <x:c r="F275" s="81"/>
      <x:c r="G275" s="81"/>
      <x:c r="H275" s="81"/>
      <x:c r="I275" s="81"/>
      <x:c r="J275" s="81"/>
      <x:c r="K275" s="81"/>
      <x:c r="L275" s="81"/>
      <x:c r="M275" s="81"/>
      <x:c r="N275" s="81"/>
      <x:c r="O275" s="81"/>
      <x:c r="P275" s="81"/>
      <x:c r="Q275" s="81"/>
      <x:c r="R275" s="81"/>
      <x:c r="S275" s="81"/>
      <x:c r="T275" s="81"/>
      <x:c r="U275" s="81"/>
      <x:c r="V275" s="81"/>
      <x:c r="W275" s="81"/>
      <x:c r="X275" s="81"/>
      <x:c r="Y275" s="81"/>
      <x:c r="Z275" s="81"/>
    </x:row>
    <x:row r="276">
      <x:c r="A276" s="81"/>
      <x:c r="B276" s="81"/>
      <x:c r="C276" s="81"/>
      <x:c r="D276" s="81"/>
      <x:c r="E276" s="81"/>
      <x:c r="F276" s="81"/>
      <x:c r="G276" s="81"/>
      <x:c r="H276" s="81"/>
      <x:c r="I276" s="81"/>
      <x:c r="J276" s="81"/>
      <x:c r="K276" s="81"/>
      <x:c r="L276" s="81"/>
      <x:c r="M276" s="81"/>
      <x:c r="N276" s="81"/>
      <x:c r="O276" s="81"/>
      <x:c r="P276" s="81"/>
      <x:c r="Q276" s="81"/>
      <x:c r="R276" s="81"/>
      <x:c r="S276" s="81"/>
      <x:c r="T276" s="81"/>
      <x:c r="U276" s="81"/>
      <x:c r="V276" s="81"/>
      <x:c r="W276" s="81"/>
      <x:c r="X276" s="81"/>
      <x:c r="Y276" s="81"/>
      <x:c r="Z276" s="81"/>
    </x:row>
    <x:row r="277">
      <x:c r="A277" s="81"/>
      <x:c r="B277" s="81"/>
      <x:c r="C277" s="81"/>
      <x:c r="D277" s="81"/>
      <x:c r="E277" s="81"/>
      <x:c r="F277" s="81"/>
      <x:c r="G277" s="81"/>
      <x:c r="H277" s="81"/>
      <x:c r="I277" s="81"/>
      <x:c r="J277" s="81"/>
      <x:c r="K277" s="81"/>
      <x:c r="L277" s="81"/>
      <x:c r="M277" s="81"/>
      <x:c r="N277" s="81"/>
      <x:c r="O277" s="81"/>
      <x:c r="P277" s="81"/>
      <x:c r="Q277" s="81"/>
      <x:c r="R277" s="81"/>
      <x:c r="S277" s="81"/>
      <x:c r="T277" s="81"/>
      <x:c r="U277" s="81"/>
      <x:c r="V277" s="81"/>
      <x:c r="W277" s="81"/>
      <x:c r="X277" s="81"/>
      <x:c r="Y277" s="81"/>
      <x:c r="Z277" s="81"/>
    </x:row>
    <x:row r="278">
      <x:c r="A278" s="81"/>
      <x:c r="B278" s="81"/>
      <x:c r="C278" s="81"/>
      <x:c r="D278" s="81"/>
      <x:c r="E278" s="81"/>
      <x:c r="F278" s="81"/>
      <x:c r="G278" s="81"/>
      <x:c r="H278" s="81"/>
      <x:c r="I278" s="81"/>
      <x:c r="J278" s="81"/>
      <x:c r="K278" s="81"/>
      <x:c r="L278" s="81"/>
      <x:c r="M278" s="81"/>
      <x:c r="N278" s="81"/>
      <x:c r="O278" s="81"/>
      <x:c r="P278" s="81"/>
      <x:c r="Q278" s="81"/>
      <x:c r="R278" s="81"/>
      <x:c r="S278" s="81"/>
      <x:c r="T278" s="81"/>
      <x:c r="U278" s="81"/>
      <x:c r="V278" s="81"/>
      <x:c r="W278" s="81"/>
      <x:c r="X278" s="81"/>
      <x:c r="Y278" s="81"/>
      <x:c r="Z278" s="81"/>
    </x:row>
    <x:row r="279">
      <x:c r="A279" s="81"/>
      <x:c r="B279" s="81"/>
      <x:c r="C279" s="81"/>
      <x:c r="D279" s="81"/>
      <x:c r="E279" s="81"/>
      <x:c r="F279" s="81"/>
      <x:c r="G279" s="81"/>
      <x:c r="H279" s="81"/>
      <x:c r="I279" s="81"/>
      <x:c r="J279" s="81"/>
      <x:c r="K279" s="81"/>
      <x:c r="L279" s="81"/>
      <x:c r="M279" s="81"/>
      <x:c r="N279" s="81"/>
      <x:c r="O279" s="81"/>
      <x:c r="P279" s="81"/>
      <x:c r="Q279" s="81"/>
      <x:c r="R279" s="81"/>
      <x:c r="S279" s="81"/>
      <x:c r="T279" s="81"/>
      <x:c r="U279" s="81"/>
      <x:c r="V279" s="81"/>
      <x:c r="W279" s="81"/>
      <x:c r="X279" s="81"/>
      <x:c r="Y279" s="81"/>
      <x:c r="Z279" s="81"/>
    </x:row>
    <x:row r="280">
      <x:c r="A280" s="81"/>
      <x:c r="B280" s="81"/>
      <x:c r="C280" s="81"/>
      <x:c r="D280" s="81"/>
      <x:c r="E280" s="81"/>
      <x:c r="F280" s="81"/>
      <x:c r="G280" s="81"/>
      <x:c r="H280" s="81"/>
      <x:c r="I280" s="81"/>
      <x:c r="J280" s="81"/>
      <x:c r="K280" s="81"/>
      <x:c r="L280" s="81"/>
      <x:c r="M280" s="81"/>
      <x:c r="N280" s="81"/>
      <x:c r="O280" s="81"/>
      <x:c r="P280" s="81"/>
      <x:c r="Q280" s="81"/>
      <x:c r="R280" s="81"/>
      <x:c r="S280" s="81"/>
      <x:c r="T280" s="81"/>
      <x:c r="U280" s="81"/>
      <x:c r="V280" s="81"/>
      <x:c r="W280" s="81"/>
      <x:c r="X280" s="81"/>
      <x:c r="Y280" s="81"/>
      <x:c r="Z280" s="81"/>
    </x:row>
    <x:row r="281">
      <x:c r="A281" s="81"/>
      <x:c r="B281" s="81"/>
      <x:c r="C281" s="81"/>
      <x:c r="D281" s="81"/>
      <x:c r="E281" s="81"/>
      <x:c r="F281" s="81"/>
      <x:c r="G281" s="81"/>
      <x:c r="H281" s="81"/>
      <x:c r="I281" s="81"/>
      <x:c r="J281" s="81"/>
      <x:c r="K281" s="81"/>
      <x:c r="L281" s="81"/>
      <x:c r="M281" s="81"/>
      <x:c r="N281" s="81"/>
      <x:c r="O281" s="81"/>
      <x:c r="P281" s="81"/>
      <x:c r="Q281" s="81"/>
      <x:c r="R281" s="81"/>
      <x:c r="S281" s="81"/>
      <x:c r="T281" s="81"/>
      <x:c r="U281" s="81"/>
      <x:c r="V281" s="81"/>
      <x:c r="W281" s="81"/>
      <x:c r="X281" s="81"/>
      <x:c r="Y281" s="81"/>
      <x:c r="Z281" s="81"/>
    </x:row>
    <x:row r="282">
      <x:c r="A282" s="81"/>
      <x:c r="B282" s="81"/>
      <x:c r="C282" s="81"/>
      <x:c r="D282" s="81"/>
      <x:c r="E282" s="81"/>
      <x:c r="F282" s="81"/>
      <x:c r="G282" s="81"/>
      <x:c r="H282" s="81"/>
      <x:c r="I282" s="81"/>
      <x:c r="J282" s="81"/>
      <x:c r="K282" s="81"/>
      <x:c r="L282" s="81"/>
      <x:c r="M282" s="81"/>
      <x:c r="N282" s="81"/>
      <x:c r="O282" s="81"/>
      <x:c r="P282" s="81"/>
      <x:c r="Q282" s="81"/>
      <x:c r="R282" s="81"/>
      <x:c r="S282" s="81"/>
      <x:c r="T282" s="81"/>
      <x:c r="U282" s="81"/>
      <x:c r="V282" s="81"/>
      <x:c r="W282" s="81"/>
      <x:c r="X282" s="81"/>
      <x:c r="Y282" s="81"/>
      <x:c r="Z282" s="81"/>
    </x:row>
    <x:row r="283">
      <x:c r="A283" s="81"/>
      <x:c r="B283" s="81"/>
      <x:c r="C283" s="81"/>
      <x:c r="D283" s="81"/>
      <x:c r="E283" s="81"/>
      <x:c r="F283" s="81"/>
      <x:c r="G283" s="81"/>
      <x:c r="H283" s="81"/>
      <x:c r="I283" s="81"/>
      <x:c r="J283" s="81"/>
      <x:c r="K283" s="81"/>
      <x:c r="L283" s="81"/>
      <x:c r="M283" s="81"/>
      <x:c r="N283" s="81"/>
      <x:c r="O283" s="81"/>
      <x:c r="P283" s="81"/>
      <x:c r="Q283" s="81"/>
      <x:c r="R283" s="81"/>
      <x:c r="S283" s="81"/>
      <x:c r="T283" s="81"/>
      <x:c r="U283" s="81"/>
      <x:c r="V283" s="81"/>
      <x:c r="W283" s="81"/>
      <x:c r="X283" s="81"/>
      <x:c r="Y283" s="81"/>
      <x:c r="Z283" s="81"/>
    </x:row>
    <x:row r="284">
      <x:c r="A284" s="81"/>
      <x:c r="B284" s="81"/>
      <x:c r="C284" s="81"/>
      <x:c r="D284" s="81"/>
      <x:c r="E284" s="81"/>
      <x:c r="F284" s="81"/>
      <x:c r="G284" s="81"/>
      <x:c r="H284" s="81"/>
      <x:c r="I284" s="81"/>
      <x:c r="J284" s="81"/>
      <x:c r="K284" s="81"/>
      <x:c r="L284" s="81"/>
      <x:c r="M284" s="81"/>
      <x:c r="N284" s="81"/>
      <x:c r="O284" s="81"/>
      <x:c r="P284" s="81"/>
      <x:c r="Q284" s="81"/>
      <x:c r="R284" s="81"/>
      <x:c r="S284" s="81"/>
      <x:c r="T284" s="81"/>
      <x:c r="U284" s="81"/>
      <x:c r="V284" s="81"/>
      <x:c r="W284" s="81"/>
      <x:c r="X284" s="81"/>
      <x:c r="Y284" s="81"/>
      <x:c r="Z284" s="81"/>
    </x:row>
    <x:row r="285">
      <x:c r="A285" s="81"/>
      <x:c r="B285" s="81"/>
      <x:c r="C285" s="81"/>
      <x:c r="D285" s="81"/>
      <x:c r="E285" s="81"/>
      <x:c r="F285" s="81"/>
      <x:c r="G285" s="81"/>
      <x:c r="H285" s="81"/>
      <x:c r="I285" s="81"/>
      <x:c r="J285" s="81"/>
      <x:c r="K285" s="81"/>
      <x:c r="L285" s="81"/>
      <x:c r="M285" s="81"/>
      <x:c r="N285" s="81"/>
      <x:c r="O285" s="81"/>
      <x:c r="P285" s="81"/>
      <x:c r="Q285" s="81"/>
      <x:c r="R285" s="81"/>
      <x:c r="S285" s="81"/>
      <x:c r="T285" s="81"/>
      <x:c r="U285" s="81"/>
      <x:c r="V285" s="81"/>
      <x:c r="W285" s="81"/>
      <x:c r="X285" s="81"/>
      <x:c r="Y285" s="81"/>
      <x:c r="Z285" s="81"/>
    </x:row>
    <x:row r="286">
      <x:c r="A286" s="81"/>
      <x:c r="B286" s="81"/>
      <x:c r="C286" s="81"/>
      <x:c r="D286" s="81"/>
      <x:c r="E286" s="81"/>
      <x:c r="F286" s="81"/>
      <x:c r="G286" s="81"/>
      <x:c r="H286" s="81"/>
      <x:c r="I286" s="81"/>
      <x:c r="J286" s="81"/>
      <x:c r="K286" s="81"/>
      <x:c r="L286" s="81"/>
      <x:c r="M286" s="81"/>
      <x:c r="N286" s="81"/>
      <x:c r="O286" s="81"/>
      <x:c r="P286" s="81"/>
      <x:c r="Q286" s="81"/>
      <x:c r="R286" s="81"/>
      <x:c r="S286" s="81"/>
      <x:c r="T286" s="81"/>
      <x:c r="U286" s="81"/>
      <x:c r="V286" s="81"/>
      <x:c r="W286" s="81"/>
      <x:c r="X286" s="81"/>
      <x:c r="Y286" s="81"/>
      <x:c r="Z286" s="81"/>
    </x:row>
    <x:row r="287">
      <x:c r="A287" s="81"/>
      <x:c r="B287" s="81"/>
      <x:c r="C287" s="81"/>
      <x:c r="D287" s="81"/>
      <x:c r="E287" s="81"/>
      <x:c r="F287" s="81"/>
      <x:c r="G287" s="81"/>
      <x:c r="H287" s="81"/>
      <x:c r="I287" s="81"/>
      <x:c r="J287" s="81"/>
      <x:c r="K287" s="81"/>
      <x:c r="L287" s="81"/>
      <x:c r="M287" s="81"/>
      <x:c r="N287" s="81"/>
      <x:c r="O287" s="81"/>
      <x:c r="P287" s="81"/>
      <x:c r="Q287" s="81"/>
      <x:c r="R287" s="81"/>
      <x:c r="S287" s="81"/>
      <x:c r="T287" s="81"/>
      <x:c r="U287" s="81"/>
      <x:c r="V287" s="81"/>
      <x:c r="W287" s="81"/>
      <x:c r="X287" s="81"/>
      <x:c r="Y287" s="81"/>
      <x:c r="Z287" s="81"/>
    </x:row>
    <x:row r="288">
      <x:c r="A288" s="81"/>
      <x:c r="B288" s="81"/>
      <x:c r="C288" s="81"/>
      <x:c r="D288" s="81"/>
      <x:c r="E288" s="81"/>
      <x:c r="F288" s="81"/>
      <x:c r="G288" s="81"/>
      <x:c r="H288" s="81"/>
      <x:c r="I288" s="81"/>
      <x:c r="J288" s="81"/>
      <x:c r="K288" s="81"/>
      <x:c r="L288" s="81"/>
      <x:c r="M288" s="81"/>
      <x:c r="N288" s="81"/>
      <x:c r="O288" s="81"/>
      <x:c r="P288" s="81"/>
      <x:c r="Q288" s="81"/>
      <x:c r="R288" s="81"/>
      <x:c r="S288" s="81"/>
      <x:c r="T288" s="81"/>
      <x:c r="U288" s="81"/>
      <x:c r="V288" s="81"/>
      <x:c r="W288" s="81"/>
      <x:c r="X288" s="81"/>
      <x:c r="Y288" s="81"/>
      <x:c r="Z288" s="81"/>
    </x:row>
    <x:row r="289">
      <x:c r="A289" s="81"/>
      <x:c r="B289" s="81"/>
      <x:c r="C289" s="81"/>
      <x:c r="D289" s="81"/>
      <x:c r="E289" s="81"/>
      <x:c r="F289" s="81"/>
      <x:c r="G289" s="81"/>
      <x:c r="H289" s="81"/>
      <x:c r="I289" s="81"/>
      <x:c r="J289" s="81"/>
      <x:c r="K289" s="81"/>
      <x:c r="L289" s="81"/>
      <x:c r="M289" s="81"/>
      <x:c r="N289" s="81"/>
      <x:c r="O289" s="81"/>
      <x:c r="P289" s="81"/>
      <x:c r="Q289" s="81"/>
      <x:c r="R289" s="81"/>
      <x:c r="S289" s="81"/>
      <x:c r="T289" s="81"/>
      <x:c r="U289" s="81"/>
      <x:c r="V289" s="81"/>
      <x:c r="W289" s="81"/>
      <x:c r="X289" s="81"/>
      <x:c r="Y289" s="81"/>
      <x:c r="Z289" s="81"/>
    </x:row>
    <x:row r="290">
      <x:c r="A290" s="81"/>
      <x:c r="B290" s="81"/>
      <x:c r="C290" s="81"/>
      <x:c r="D290" s="81"/>
      <x:c r="E290" s="81"/>
      <x:c r="F290" s="81"/>
      <x:c r="G290" s="81"/>
      <x:c r="H290" s="81"/>
      <x:c r="I290" s="81"/>
      <x:c r="J290" s="81"/>
      <x:c r="K290" s="81"/>
      <x:c r="L290" s="81"/>
      <x:c r="M290" s="81"/>
      <x:c r="N290" s="81"/>
      <x:c r="O290" s="81"/>
      <x:c r="P290" s="81"/>
      <x:c r="Q290" s="81"/>
      <x:c r="R290" s="81"/>
      <x:c r="S290" s="81"/>
      <x:c r="T290" s="81"/>
      <x:c r="U290" s="81"/>
      <x:c r="V290" s="81"/>
      <x:c r="W290" s="81"/>
      <x:c r="X290" s="81"/>
      <x:c r="Y290" s="81"/>
      <x:c r="Z290" s="81"/>
    </x:row>
    <x:row r="291">
      <x:c r="A291" s="81"/>
      <x:c r="B291" s="81"/>
      <x:c r="C291" s="81"/>
      <x:c r="D291" s="81"/>
      <x:c r="E291" s="81"/>
      <x:c r="F291" s="81"/>
      <x:c r="G291" s="81"/>
      <x:c r="H291" s="81"/>
      <x:c r="I291" s="81"/>
      <x:c r="J291" s="81"/>
      <x:c r="K291" s="81"/>
      <x:c r="L291" s="81"/>
      <x:c r="M291" s="81"/>
      <x:c r="N291" s="81"/>
      <x:c r="O291" s="81"/>
      <x:c r="P291" s="81"/>
      <x:c r="Q291" s="81"/>
      <x:c r="R291" s="81"/>
      <x:c r="S291" s="81"/>
      <x:c r="T291" s="81"/>
      <x:c r="U291" s="81"/>
      <x:c r="V291" s="81"/>
      <x:c r="W291" s="81"/>
      <x:c r="X291" s="81"/>
      <x:c r="Y291" s="81"/>
      <x:c r="Z291" s="81"/>
    </x:row>
    <x:row r="292">
      <x:c r="A292" s="81"/>
      <x:c r="B292" s="81"/>
      <x:c r="C292" s="81"/>
      <x:c r="D292" s="81"/>
      <x:c r="E292" s="81"/>
      <x:c r="F292" s="81"/>
      <x:c r="G292" s="81"/>
      <x:c r="H292" s="81"/>
      <x:c r="I292" s="81"/>
      <x:c r="J292" s="81"/>
      <x:c r="K292" s="81"/>
      <x:c r="L292" s="81"/>
      <x:c r="M292" s="81"/>
      <x:c r="N292" s="81"/>
      <x:c r="O292" s="81"/>
      <x:c r="P292" s="81"/>
      <x:c r="Q292" s="81"/>
      <x:c r="R292" s="81"/>
      <x:c r="S292" s="81"/>
      <x:c r="T292" s="81"/>
      <x:c r="U292" s="81"/>
      <x:c r="V292" s="81"/>
      <x:c r="W292" s="81"/>
      <x:c r="X292" s="81"/>
      <x:c r="Y292" s="81"/>
      <x:c r="Z292" s="81"/>
    </x:row>
    <x:row r="293">
      <x:c r="A293" s="81"/>
      <x:c r="B293" s="81"/>
      <x:c r="C293" s="81"/>
      <x:c r="D293" s="81"/>
      <x:c r="E293" s="81"/>
      <x:c r="F293" s="81"/>
      <x:c r="G293" s="81"/>
      <x:c r="H293" s="81"/>
      <x:c r="I293" s="81"/>
      <x:c r="J293" s="81"/>
      <x:c r="K293" s="81"/>
      <x:c r="L293" s="81"/>
      <x:c r="M293" s="81"/>
      <x:c r="N293" s="81"/>
      <x:c r="O293" s="81"/>
      <x:c r="P293" s="81"/>
      <x:c r="Q293" s="81"/>
      <x:c r="R293" s="81"/>
      <x:c r="S293" s="81"/>
      <x:c r="T293" s="81"/>
      <x:c r="U293" s="81"/>
      <x:c r="V293" s="81"/>
      <x:c r="W293" s="81"/>
      <x:c r="X293" s="81"/>
      <x:c r="Y293" s="81"/>
      <x:c r="Z293" s="81"/>
    </x:row>
    <x:row r="294">
      <x:c r="A294" s="81"/>
      <x:c r="B294" s="81"/>
      <x:c r="C294" s="81"/>
      <x:c r="D294" s="81"/>
      <x:c r="E294" s="81"/>
      <x:c r="F294" s="81"/>
      <x:c r="G294" s="81"/>
      <x:c r="H294" s="81"/>
      <x:c r="I294" s="81"/>
      <x:c r="J294" s="81"/>
      <x:c r="K294" s="81"/>
      <x:c r="L294" s="81"/>
      <x:c r="M294" s="81"/>
      <x:c r="N294" s="81"/>
      <x:c r="O294" s="81"/>
      <x:c r="P294" s="81"/>
      <x:c r="Q294" s="81"/>
      <x:c r="R294" s="81"/>
      <x:c r="S294" s="81"/>
      <x:c r="T294" s="81"/>
      <x:c r="U294" s="81"/>
      <x:c r="V294" s="81"/>
      <x:c r="W294" s="81"/>
      <x:c r="X294" s="81"/>
      <x:c r="Y294" s="81"/>
      <x:c r="Z294" s="81"/>
    </x:row>
    <x:row r="295">
      <x:c r="A295" s="81"/>
      <x:c r="B295" s="81"/>
      <x:c r="C295" s="81"/>
      <x:c r="D295" s="81"/>
      <x:c r="E295" s="81"/>
      <x:c r="F295" s="81"/>
      <x:c r="G295" s="81"/>
      <x:c r="H295" s="81"/>
      <x:c r="I295" s="81"/>
      <x:c r="J295" s="81"/>
      <x:c r="K295" s="81"/>
      <x:c r="L295" s="81"/>
      <x:c r="M295" s="81"/>
      <x:c r="N295" s="81"/>
      <x:c r="O295" s="81"/>
      <x:c r="P295" s="81"/>
      <x:c r="Q295" s="81"/>
      <x:c r="R295" s="81"/>
      <x:c r="S295" s="81"/>
      <x:c r="T295" s="81"/>
      <x:c r="U295" s="81"/>
      <x:c r="V295" s="81"/>
      <x:c r="W295" s="81"/>
      <x:c r="X295" s="81"/>
      <x:c r="Y295" s="81"/>
      <x:c r="Z295" s="81"/>
    </x:row>
    <x:row r="296">
      <x:c r="A296" s="81"/>
      <x:c r="B296" s="81"/>
      <x:c r="C296" s="81"/>
      <x:c r="D296" s="81"/>
      <x:c r="E296" s="81"/>
      <x:c r="F296" s="81"/>
      <x:c r="G296" s="81"/>
      <x:c r="H296" s="81"/>
      <x:c r="I296" s="81"/>
      <x:c r="J296" s="81"/>
      <x:c r="K296" s="81"/>
      <x:c r="L296" s="81"/>
      <x:c r="M296" s="81"/>
      <x:c r="N296" s="81"/>
      <x:c r="O296" s="81"/>
      <x:c r="P296" s="81"/>
      <x:c r="Q296" s="81"/>
      <x:c r="R296" s="81"/>
      <x:c r="S296" s="81"/>
      <x:c r="T296" s="81"/>
      <x:c r="U296" s="81"/>
      <x:c r="V296" s="81"/>
      <x:c r="W296" s="81"/>
      <x:c r="X296" s="81"/>
      <x:c r="Y296" s="81"/>
      <x:c r="Z296" s="81"/>
    </x:row>
    <x:row r="297">
      <x:c r="A297" s="81"/>
      <x:c r="B297" s="81"/>
      <x:c r="C297" s="81"/>
      <x:c r="D297" s="81"/>
      <x:c r="E297" s="81"/>
      <x:c r="F297" s="81"/>
      <x:c r="G297" s="81"/>
      <x:c r="H297" s="81"/>
      <x:c r="I297" s="81"/>
      <x:c r="J297" s="81"/>
      <x:c r="K297" s="81"/>
      <x:c r="L297" s="81"/>
      <x:c r="M297" s="81"/>
      <x:c r="N297" s="81"/>
      <x:c r="O297" s="81"/>
      <x:c r="P297" s="81"/>
      <x:c r="Q297" s="81"/>
      <x:c r="R297" s="81"/>
      <x:c r="S297" s="81"/>
      <x:c r="T297" s="81"/>
      <x:c r="U297" s="81"/>
      <x:c r="V297" s="81"/>
      <x:c r="W297" s="81"/>
      <x:c r="X297" s="81"/>
      <x:c r="Y297" s="81"/>
      <x:c r="Z297" s="81"/>
    </x:row>
    <x:row r="298">
      <x:c r="A298" s="81"/>
      <x:c r="B298" s="81"/>
      <x:c r="C298" s="81"/>
      <x:c r="D298" s="81"/>
      <x:c r="E298" s="81"/>
      <x:c r="F298" s="81"/>
      <x:c r="G298" s="81"/>
      <x:c r="H298" s="81"/>
      <x:c r="I298" s="81"/>
      <x:c r="J298" s="81"/>
      <x:c r="K298" s="81"/>
      <x:c r="L298" s="81"/>
      <x:c r="M298" s="81"/>
      <x:c r="N298" s="81"/>
      <x:c r="O298" s="81"/>
      <x:c r="P298" s="81"/>
      <x:c r="Q298" s="81"/>
      <x:c r="R298" s="81"/>
      <x:c r="S298" s="81"/>
      <x:c r="T298" s="81"/>
      <x:c r="U298" s="81"/>
      <x:c r="V298" s="81"/>
      <x:c r="W298" s="81"/>
      <x:c r="X298" s="81"/>
      <x:c r="Y298" s="81"/>
      <x:c r="Z298" s="81"/>
    </x:row>
    <x:row r="299">
      <x:c r="A299" s="81"/>
      <x:c r="B299" s="81"/>
      <x:c r="C299" s="81"/>
      <x:c r="D299" s="81"/>
      <x:c r="E299" s="81"/>
      <x:c r="F299" s="81"/>
      <x:c r="G299" s="81"/>
      <x:c r="H299" s="81"/>
      <x:c r="I299" s="81"/>
      <x:c r="J299" s="81"/>
      <x:c r="K299" s="81"/>
      <x:c r="L299" s="81"/>
      <x:c r="M299" s="81"/>
      <x:c r="N299" s="81"/>
      <x:c r="O299" s="81"/>
      <x:c r="P299" s="81"/>
      <x:c r="Q299" s="81"/>
      <x:c r="R299" s="81"/>
      <x:c r="S299" s="81"/>
      <x:c r="T299" s="81"/>
      <x:c r="U299" s="81"/>
      <x:c r="V299" s="81"/>
      <x:c r="W299" s="81"/>
      <x:c r="X299" s="81"/>
      <x:c r="Y299" s="81"/>
      <x:c r="Z299" s="81"/>
    </x:row>
    <x:row r="300">
      <x:c r="A300" s="81"/>
      <x:c r="B300" s="81"/>
      <x:c r="C300" s="81"/>
      <x:c r="D300" s="81"/>
      <x:c r="E300" s="81"/>
      <x:c r="F300" s="81"/>
      <x:c r="G300" s="81"/>
      <x:c r="H300" s="81"/>
      <x:c r="I300" s="81"/>
      <x:c r="J300" s="81"/>
      <x:c r="K300" s="81"/>
      <x:c r="L300" s="81"/>
      <x:c r="M300" s="81"/>
      <x:c r="N300" s="81"/>
      <x:c r="O300" s="81"/>
      <x:c r="P300" s="81"/>
      <x:c r="Q300" s="81"/>
      <x:c r="R300" s="81"/>
      <x:c r="S300" s="81"/>
      <x:c r="T300" s="81"/>
      <x:c r="U300" s="81"/>
      <x:c r="V300" s="81"/>
      <x:c r="W300" s="81"/>
      <x:c r="X300" s="81"/>
      <x:c r="Y300" s="81"/>
      <x:c r="Z300" s="81"/>
    </x:row>
    <x:row r="301">
      <x:c r="A301" s="81"/>
      <x:c r="B301" s="81"/>
      <x:c r="C301" s="81"/>
      <x:c r="D301" s="81"/>
      <x:c r="E301" s="81"/>
      <x:c r="F301" s="81"/>
      <x:c r="G301" s="81"/>
      <x:c r="H301" s="81"/>
      <x:c r="I301" s="81"/>
      <x:c r="J301" s="81"/>
      <x:c r="K301" s="81"/>
      <x:c r="L301" s="81"/>
      <x:c r="M301" s="81"/>
      <x:c r="N301" s="81"/>
      <x:c r="O301" s="81"/>
      <x:c r="P301" s="81"/>
      <x:c r="Q301" s="81"/>
      <x:c r="R301" s="81"/>
      <x:c r="S301" s="81"/>
      <x:c r="T301" s="81"/>
      <x:c r="U301" s="81"/>
      <x:c r="V301" s="81"/>
      <x:c r="W301" s="81"/>
      <x:c r="X301" s="81"/>
      <x:c r="Y301" s="81"/>
      <x:c r="Z301" s="81"/>
    </x:row>
    <x:row r="302">
      <x:c r="A302" s="81"/>
      <x:c r="B302" s="81"/>
      <x:c r="C302" s="81"/>
      <x:c r="D302" s="81"/>
      <x:c r="E302" s="81"/>
      <x:c r="F302" s="81"/>
      <x:c r="G302" s="81"/>
      <x:c r="H302" s="81"/>
      <x:c r="I302" s="81"/>
      <x:c r="J302" s="81"/>
      <x:c r="K302" s="81"/>
      <x:c r="L302" s="81"/>
      <x:c r="M302" s="81"/>
      <x:c r="N302" s="81"/>
      <x:c r="O302" s="81"/>
      <x:c r="P302" s="81"/>
      <x:c r="Q302" s="81"/>
      <x:c r="R302" s="81"/>
      <x:c r="S302" s="81"/>
      <x:c r="T302" s="81"/>
      <x:c r="U302" s="81"/>
      <x:c r="V302" s="81"/>
      <x:c r="W302" s="81"/>
      <x:c r="X302" s="81"/>
      <x:c r="Y302" s="81"/>
      <x:c r="Z302" s="81"/>
    </x:row>
    <x:row r="303">
      <x:c r="A303" s="81"/>
      <x:c r="B303" s="81"/>
      <x:c r="C303" s="81"/>
      <x:c r="D303" s="81"/>
      <x:c r="E303" s="81"/>
      <x:c r="F303" s="81"/>
      <x:c r="G303" s="81"/>
      <x:c r="H303" s="81"/>
      <x:c r="I303" s="81"/>
      <x:c r="J303" s="81"/>
      <x:c r="K303" s="81"/>
      <x:c r="L303" s="81"/>
      <x:c r="M303" s="81"/>
      <x:c r="N303" s="81"/>
      <x:c r="O303" s="81"/>
      <x:c r="P303" s="81"/>
      <x:c r="Q303" s="81"/>
      <x:c r="R303" s="81"/>
      <x:c r="S303" s="81"/>
      <x:c r="T303" s="81"/>
      <x:c r="U303" s="81"/>
      <x:c r="V303" s="81"/>
      <x:c r="W303" s="81"/>
      <x:c r="X303" s="81"/>
      <x:c r="Y303" s="81"/>
      <x:c r="Z303" s="81"/>
    </x:row>
    <x:row r="304">
      <x:c r="A304" s="81"/>
      <x:c r="B304" s="81"/>
      <x:c r="C304" s="81"/>
      <x:c r="D304" s="81"/>
      <x:c r="E304" s="81"/>
      <x:c r="F304" s="81"/>
      <x:c r="G304" s="81"/>
      <x:c r="H304" s="81"/>
      <x:c r="I304" s="81"/>
      <x:c r="J304" s="81"/>
      <x:c r="K304" s="81"/>
      <x:c r="L304" s="81"/>
      <x:c r="M304" s="81"/>
      <x:c r="N304" s="81"/>
      <x:c r="O304" s="81"/>
      <x:c r="P304" s="81"/>
      <x:c r="Q304" s="81"/>
      <x:c r="R304" s="81"/>
      <x:c r="S304" s="81"/>
      <x:c r="T304" s="81"/>
      <x:c r="U304" s="81"/>
      <x:c r="V304" s="81"/>
      <x:c r="W304" s="81"/>
      <x:c r="X304" s="81"/>
      <x:c r="Y304" s="81"/>
      <x:c r="Z304" s="81"/>
    </x:row>
    <x:row r="305">
      <x:c r="A305" s="81"/>
      <x:c r="B305" s="81"/>
      <x:c r="C305" s="81"/>
      <x:c r="D305" s="81"/>
      <x:c r="E305" s="81"/>
      <x:c r="F305" s="81"/>
      <x:c r="G305" s="81"/>
      <x:c r="H305" s="81"/>
      <x:c r="I305" s="81"/>
      <x:c r="J305" s="81"/>
      <x:c r="K305" s="81"/>
      <x:c r="L305" s="81"/>
      <x:c r="M305" s="81"/>
      <x:c r="N305" s="81"/>
      <x:c r="O305" s="81"/>
      <x:c r="P305" s="81"/>
      <x:c r="Q305" s="81"/>
      <x:c r="R305" s="81"/>
      <x:c r="S305" s="81"/>
      <x:c r="T305" s="81"/>
      <x:c r="U305" s="81"/>
      <x:c r="V305" s="81"/>
      <x:c r="W305" s="81"/>
      <x:c r="X305" s="81"/>
      <x:c r="Y305" s="81"/>
      <x:c r="Z305" s="81"/>
    </x:row>
    <x:row r="306">
      <x:c r="A306" s="81"/>
      <x:c r="B306" s="81"/>
      <x:c r="C306" s="81"/>
      <x:c r="D306" s="81"/>
      <x:c r="E306" s="81"/>
      <x:c r="F306" s="81"/>
      <x:c r="G306" s="81"/>
      <x:c r="H306" s="81"/>
      <x:c r="I306" s="81"/>
      <x:c r="J306" s="81"/>
      <x:c r="K306" s="81"/>
      <x:c r="L306" s="81"/>
      <x:c r="M306" s="81"/>
      <x:c r="N306" s="81"/>
      <x:c r="O306" s="81"/>
      <x:c r="P306" s="81"/>
      <x:c r="Q306" s="81"/>
      <x:c r="R306" s="81"/>
      <x:c r="S306" s="81"/>
      <x:c r="T306" s="81"/>
      <x:c r="U306" s="81"/>
      <x:c r="V306" s="81"/>
      <x:c r="W306" s="81"/>
      <x:c r="X306" s="81"/>
      <x:c r="Y306" s="81"/>
      <x:c r="Z306" s="81"/>
    </x:row>
    <x:row r="307">
      <x:c r="A307" s="81"/>
      <x:c r="B307" s="81"/>
      <x:c r="C307" s="81"/>
      <x:c r="D307" s="81"/>
      <x:c r="E307" s="81"/>
      <x:c r="F307" s="81"/>
      <x:c r="G307" s="81"/>
      <x:c r="H307" s="81"/>
      <x:c r="I307" s="81"/>
      <x:c r="J307" s="81"/>
      <x:c r="K307" s="81"/>
      <x:c r="L307" s="81"/>
      <x:c r="M307" s="81"/>
      <x:c r="N307" s="81"/>
      <x:c r="O307" s="81"/>
      <x:c r="P307" s="81"/>
      <x:c r="Q307" s="81"/>
      <x:c r="R307" s="81"/>
      <x:c r="S307" s="81"/>
      <x:c r="T307" s="81"/>
      <x:c r="U307" s="81"/>
      <x:c r="V307" s="81"/>
      <x:c r="W307" s="81"/>
      <x:c r="X307" s="81"/>
      <x:c r="Y307" s="81"/>
      <x:c r="Z307" s="81"/>
    </x:row>
    <x:row r="308">
      <x:c r="A308" s="81"/>
      <x:c r="B308" s="81"/>
      <x:c r="C308" s="81"/>
      <x:c r="D308" s="81"/>
      <x:c r="E308" s="81"/>
      <x:c r="F308" s="81"/>
      <x:c r="G308" s="81"/>
      <x:c r="H308" s="81"/>
      <x:c r="I308" s="81"/>
      <x:c r="J308" s="81"/>
      <x:c r="K308" s="81"/>
      <x:c r="L308" s="81"/>
      <x:c r="M308" s="81"/>
      <x:c r="N308" s="81"/>
      <x:c r="O308" s="81"/>
      <x:c r="P308" s="81"/>
      <x:c r="Q308" s="81"/>
      <x:c r="R308" s="81"/>
      <x:c r="S308" s="81"/>
      <x:c r="T308" s="81"/>
      <x:c r="U308" s="81"/>
      <x:c r="V308" s="81"/>
      <x:c r="W308" s="81"/>
      <x:c r="X308" s="81"/>
      <x:c r="Y308" s="81"/>
      <x:c r="Z308" s="81"/>
    </x:row>
    <x:row r="309">
      <x:c r="A309" s="81"/>
      <x:c r="B309" s="81"/>
      <x:c r="C309" s="81"/>
      <x:c r="D309" s="81"/>
      <x:c r="E309" s="81"/>
      <x:c r="F309" s="81"/>
      <x:c r="G309" s="81"/>
      <x:c r="H309" s="81"/>
      <x:c r="I309" s="81"/>
      <x:c r="J309" s="81"/>
      <x:c r="K309" s="81"/>
      <x:c r="L309" s="81"/>
      <x:c r="M309" s="81"/>
      <x:c r="N309" s="81"/>
      <x:c r="O309" s="81"/>
      <x:c r="P309" s="81"/>
      <x:c r="Q309" s="81"/>
      <x:c r="R309" s="81"/>
      <x:c r="S309" s="81"/>
      <x:c r="T309" s="81"/>
      <x:c r="U309" s="81"/>
      <x:c r="V309" s="81"/>
      <x:c r="W309" s="81"/>
      <x:c r="X309" s="81"/>
      <x:c r="Y309" s="81"/>
      <x:c r="Z309" s="81"/>
    </x:row>
    <x:row r="310">
      <x:c r="A310" s="81"/>
      <x:c r="B310" s="81"/>
      <x:c r="C310" s="81"/>
      <x:c r="D310" s="81"/>
      <x:c r="E310" s="81"/>
      <x:c r="F310" s="81"/>
      <x:c r="G310" s="81"/>
      <x:c r="H310" s="81"/>
      <x:c r="I310" s="81"/>
      <x:c r="J310" s="81"/>
      <x:c r="K310" s="81"/>
      <x:c r="L310" s="81"/>
      <x:c r="M310" s="81"/>
      <x:c r="N310" s="81"/>
      <x:c r="O310" s="81"/>
      <x:c r="P310" s="81"/>
      <x:c r="Q310" s="81"/>
      <x:c r="R310" s="81"/>
      <x:c r="S310" s="81"/>
      <x:c r="T310" s="81"/>
      <x:c r="U310" s="81"/>
      <x:c r="V310" s="81"/>
      <x:c r="W310" s="81"/>
      <x:c r="X310" s="81"/>
      <x:c r="Y310" s="81"/>
      <x:c r="Z310" s="81"/>
    </x:row>
    <x:row r="311">
      <x:c r="A311" s="81"/>
      <x:c r="B311" s="81"/>
      <x:c r="C311" s="81"/>
      <x:c r="D311" s="81"/>
      <x:c r="E311" s="81"/>
      <x:c r="F311" s="81"/>
      <x:c r="G311" s="81"/>
      <x:c r="H311" s="81"/>
      <x:c r="I311" s="81"/>
      <x:c r="J311" s="81"/>
      <x:c r="K311" s="81"/>
      <x:c r="L311" s="81"/>
      <x:c r="M311" s="81"/>
      <x:c r="N311" s="81"/>
      <x:c r="O311" s="81"/>
      <x:c r="P311" s="81"/>
      <x:c r="Q311" s="81"/>
      <x:c r="R311" s="81"/>
      <x:c r="S311" s="81"/>
      <x:c r="T311" s="81"/>
      <x:c r="U311" s="81"/>
      <x:c r="V311" s="81"/>
      <x:c r="W311" s="81"/>
      <x:c r="X311" s="81"/>
      <x:c r="Y311" s="81"/>
      <x:c r="Z311" s="81"/>
    </x:row>
    <x:row r="312">
      <x:c r="A312" s="81"/>
      <x:c r="B312" s="81"/>
      <x:c r="C312" s="81"/>
      <x:c r="D312" s="81"/>
      <x:c r="E312" s="81"/>
      <x:c r="F312" s="81"/>
      <x:c r="G312" s="81"/>
      <x:c r="H312" s="81"/>
      <x:c r="I312" s="81"/>
      <x:c r="J312" s="81"/>
      <x:c r="K312" s="81"/>
      <x:c r="L312" s="81"/>
      <x:c r="M312" s="81"/>
      <x:c r="N312" s="81"/>
      <x:c r="O312" s="81"/>
      <x:c r="P312" s="81"/>
      <x:c r="Q312" s="81"/>
      <x:c r="R312" s="81"/>
      <x:c r="S312" s="81"/>
      <x:c r="T312" s="81"/>
      <x:c r="U312" s="81"/>
      <x:c r="V312" s="81"/>
      <x:c r="W312" s="81"/>
      <x:c r="X312" s="81"/>
      <x:c r="Y312" s="81"/>
      <x:c r="Z312" s="81"/>
    </x:row>
    <x:row r="313">
      <x:c r="A313" s="81"/>
      <x:c r="B313" s="81"/>
      <x:c r="C313" s="81"/>
      <x:c r="D313" s="81"/>
      <x:c r="E313" s="81"/>
      <x:c r="F313" s="81"/>
      <x:c r="G313" s="81"/>
      <x:c r="H313" s="81"/>
      <x:c r="I313" s="81"/>
      <x:c r="J313" s="81"/>
      <x:c r="K313" s="81"/>
      <x:c r="L313" s="81"/>
      <x:c r="M313" s="81"/>
      <x:c r="N313" s="81"/>
      <x:c r="O313" s="81"/>
      <x:c r="P313" s="81"/>
      <x:c r="Q313" s="81"/>
      <x:c r="R313" s="81"/>
      <x:c r="S313" s="81"/>
      <x:c r="T313" s="81"/>
      <x:c r="U313" s="81"/>
      <x:c r="V313" s="81"/>
      <x:c r="W313" s="81"/>
      <x:c r="X313" s="81"/>
      <x:c r="Y313" s="81"/>
      <x:c r="Z313" s="81"/>
    </x:row>
    <x:row r="314">
      <x:c r="A314" s="81"/>
      <x:c r="B314" s="81"/>
      <x:c r="C314" s="81"/>
      <x:c r="D314" s="81"/>
      <x:c r="E314" s="81"/>
      <x:c r="F314" s="81"/>
      <x:c r="G314" s="81"/>
      <x:c r="H314" s="81"/>
      <x:c r="I314" s="81"/>
      <x:c r="J314" s="81"/>
      <x:c r="K314" s="81"/>
      <x:c r="L314" s="81"/>
      <x:c r="M314" s="81"/>
      <x:c r="N314" s="81"/>
      <x:c r="O314" s="81"/>
      <x:c r="P314" s="81"/>
      <x:c r="Q314" s="81"/>
      <x:c r="R314" s="81"/>
      <x:c r="S314" s="81"/>
      <x:c r="T314" s="81"/>
      <x:c r="U314" s="81"/>
      <x:c r="V314" s="81"/>
      <x:c r="W314" s="81"/>
      <x:c r="X314" s="81"/>
      <x:c r="Y314" s="81"/>
      <x:c r="Z314" s="81"/>
    </x:row>
    <x:row r="315">
      <x:c r="A315" s="81"/>
      <x:c r="B315" s="81"/>
      <x:c r="C315" s="81"/>
      <x:c r="D315" s="81"/>
      <x:c r="E315" s="81"/>
      <x:c r="F315" s="81"/>
      <x:c r="G315" s="81"/>
      <x:c r="H315" s="81"/>
      <x:c r="I315" s="81"/>
      <x:c r="J315" s="81"/>
      <x:c r="K315" s="81"/>
      <x:c r="L315" s="81"/>
      <x:c r="M315" s="81"/>
      <x:c r="N315" s="81"/>
      <x:c r="O315" s="81"/>
      <x:c r="P315" s="81"/>
      <x:c r="Q315" s="81"/>
      <x:c r="R315" s="81"/>
      <x:c r="S315" s="81"/>
      <x:c r="T315" s="81"/>
      <x:c r="U315" s="81"/>
      <x:c r="V315" s="81"/>
      <x:c r="W315" s="81"/>
      <x:c r="X315" s="81"/>
      <x:c r="Y315" s="81"/>
      <x:c r="Z315" s="81"/>
    </x:row>
    <x:row r="316">
      <x:c r="A316" s="81"/>
      <x:c r="B316" s="81"/>
      <x:c r="C316" s="81"/>
      <x:c r="D316" s="81"/>
      <x:c r="E316" s="81"/>
      <x:c r="F316" s="81"/>
      <x:c r="G316" s="81"/>
      <x:c r="H316" s="81"/>
      <x:c r="I316" s="81"/>
      <x:c r="J316" s="81"/>
      <x:c r="K316" s="81"/>
      <x:c r="L316" s="81"/>
      <x:c r="M316" s="81"/>
      <x:c r="N316" s="81"/>
      <x:c r="O316" s="81"/>
      <x:c r="P316" s="81"/>
      <x:c r="Q316" s="81"/>
      <x:c r="R316" s="81"/>
      <x:c r="S316" s="81"/>
      <x:c r="T316" s="81"/>
      <x:c r="U316" s="81"/>
      <x:c r="V316" s="81"/>
      <x:c r="W316" s="81"/>
      <x:c r="X316" s="81"/>
      <x:c r="Y316" s="81"/>
      <x:c r="Z316" s="81"/>
    </x:row>
    <x:row r="317">
      <x:c r="A317" s="81"/>
      <x:c r="B317" s="81"/>
      <x:c r="C317" s="81"/>
      <x:c r="D317" s="81"/>
      <x:c r="E317" s="81"/>
      <x:c r="F317" s="81"/>
      <x:c r="G317" s="81"/>
      <x:c r="H317" s="81"/>
      <x:c r="I317" s="81"/>
      <x:c r="J317" s="81"/>
      <x:c r="K317" s="81"/>
      <x:c r="L317" s="81"/>
      <x:c r="M317" s="81"/>
      <x:c r="N317" s="81"/>
      <x:c r="O317" s="81"/>
      <x:c r="P317" s="81"/>
      <x:c r="Q317" s="81"/>
      <x:c r="R317" s="81"/>
      <x:c r="S317" s="81"/>
      <x:c r="T317" s="81"/>
      <x:c r="U317" s="81"/>
      <x:c r="V317" s="81"/>
      <x:c r="W317" s="81"/>
      <x:c r="X317" s="81"/>
      <x:c r="Y317" s="81"/>
      <x:c r="Z317" s="81"/>
    </x:row>
    <x:row r="318">
      <x:c r="A318" s="81"/>
      <x:c r="B318" s="81"/>
      <x:c r="C318" s="81"/>
      <x:c r="D318" s="81"/>
      <x:c r="E318" s="81"/>
      <x:c r="F318" s="81"/>
      <x:c r="G318" s="81"/>
      <x:c r="H318" s="81"/>
      <x:c r="I318" s="81"/>
      <x:c r="J318" s="81"/>
      <x:c r="K318" s="81"/>
      <x:c r="L318" s="81"/>
      <x:c r="M318" s="81"/>
      <x:c r="N318" s="81"/>
      <x:c r="O318" s="81"/>
      <x:c r="P318" s="81"/>
      <x:c r="Q318" s="81"/>
      <x:c r="R318" s="81"/>
      <x:c r="S318" s="81"/>
      <x:c r="T318" s="81"/>
      <x:c r="U318" s="81"/>
      <x:c r="V318" s="81"/>
      <x:c r="W318" s="81"/>
      <x:c r="X318" s="81"/>
      <x:c r="Y318" s="81"/>
      <x:c r="Z318" s="81"/>
    </x:row>
    <x:row r="319">
      <x:c r="A319" s="81"/>
      <x:c r="B319" s="81"/>
      <x:c r="C319" s="81"/>
      <x:c r="D319" s="81"/>
      <x:c r="E319" s="81"/>
      <x:c r="F319" s="81"/>
      <x:c r="G319" s="81"/>
      <x:c r="H319" s="81"/>
      <x:c r="I319" s="81"/>
      <x:c r="J319" s="81"/>
      <x:c r="K319" s="81"/>
      <x:c r="L319" s="81"/>
      <x:c r="M319" s="81"/>
      <x:c r="N319" s="81"/>
      <x:c r="O319" s="81"/>
      <x:c r="P319" s="81"/>
      <x:c r="Q319" s="81"/>
      <x:c r="R319" s="81"/>
      <x:c r="S319" s="81"/>
      <x:c r="T319" s="81"/>
      <x:c r="U319" s="81"/>
      <x:c r="V319" s="81"/>
      <x:c r="W319" s="81"/>
      <x:c r="X319" s="81"/>
      <x:c r="Y319" s="81"/>
      <x:c r="Z319" s="81"/>
    </x:row>
    <x:row r="320">
      <x:c r="A320" s="81"/>
      <x:c r="B320" s="81"/>
      <x:c r="C320" s="81"/>
      <x:c r="D320" s="81"/>
      <x:c r="E320" s="81"/>
      <x:c r="F320" s="81"/>
      <x:c r="G320" s="81"/>
      <x:c r="H320" s="81"/>
      <x:c r="I320" s="81"/>
      <x:c r="J320" s="81"/>
      <x:c r="K320" s="81"/>
      <x:c r="L320" s="81"/>
      <x:c r="M320" s="81"/>
      <x:c r="N320" s="81"/>
      <x:c r="O320" s="81"/>
      <x:c r="P320" s="81"/>
      <x:c r="Q320" s="81"/>
      <x:c r="R320" s="81"/>
      <x:c r="S320" s="81"/>
      <x:c r="T320" s="81"/>
      <x:c r="U320" s="81"/>
      <x:c r="V320" s="81"/>
      <x:c r="W320" s="81"/>
      <x:c r="X320" s="81"/>
      <x:c r="Y320" s="81"/>
      <x:c r="Z320" s="81"/>
    </x:row>
    <x:row r="321">
      <x:c r="A321" s="81"/>
      <x:c r="B321" s="81"/>
      <x:c r="C321" s="81"/>
      <x:c r="D321" s="81"/>
      <x:c r="E321" s="81"/>
      <x:c r="F321" s="81"/>
      <x:c r="G321" s="81"/>
      <x:c r="H321" s="81"/>
      <x:c r="I321" s="81"/>
      <x:c r="J321" s="81"/>
      <x:c r="K321" s="81"/>
      <x:c r="L321" s="81"/>
      <x:c r="M321" s="81"/>
      <x:c r="N321" s="81"/>
      <x:c r="O321" s="81"/>
      <x:c r="P321" s="81"/>
      <x:c r="Q321" s="81"/>
      <x:c r="R321" s="81"/>
      <x:c r="S321" s="81"/>
      <x:c r="T321" s="81"/>
      <x:c r="U321" s="81"/>
      <x:c r="V321" s="81"/>
      <x:c r="W321" s="81"/>
      <x:c r="X321" s="81"/>
      <x:c r="Y321" s="81"/>
      <x:c r="Z321" s="81"/>
    </x:row>
    <x:row r="322">
      <x:c r="A322" s="81"/>
      <x:c r="B322" s="81"/>
      <x:c r="C322" s="81"/>
      <x:c r="D322" s="81"/>
      <x:c r="E322" s="81"/>
      <x:c r="F322" s="81"/>
      <x:c r="G322" s="81"/>
      <x:c r="H322" s="81"/>
      <x:c r="I322" s="81"/>
      <x:c r="J322" s="81"/>
      <x:c r="K322" s="81"/>
      <x:c r="L322" s="81"/>
      <x:c r="M322" s="81"/>
      <x:c r="N322" s="81"/>
      <x:c r="O322" s="81"/>
      <x:c r="P322" s="81"/>
      <x:c r="Q322" s="81"/>
      <x:c r="R322" s="81"/>
      <x:c r="S322" s="81"/>
      <x:c r="T322" s="81"/>
      <x:c r="U322" s="81"/>
      <x:c r="V322" s="81"/>
      <x:c r="W322" s="81"/>
      <x:c r="X322" s="81"/>
      <x:c r="Y322" s="81"/>
      <x:c r="Z322" s="81"/>
    </x:row>
    <x:row r="323">
      <x:c r="A323" s="81"/>
      <x:c r="B323" s="81"/>
      <x:c r="C323" s="81"/>
      <x:c r="D323" s="81"/>
      <x:c r="E323" s="81"/>
      <x:c r="F323" s="81"/>
      <x:c r="G323" s="81"/>
      <x:c r="H323" s="81"/>
      <x:c r="I323" s="81"/>
      <x:c r="J323" s="81"/>
      <x:c r="K323" s="81"/>
      <x:c r="L323" s="81"/>
      <x:c r="M323" s="81"/>
      <x:c r="N323" s="81"/>
      <x:c r="O323" s="81"/>
      <x:c r="P323" s="81"/>
      <x:c r="Q323" s="81"/>
      <x:c r="R323" s="81"/>
      <x:c r="S323" s="81"/>
      <x:c r="T323" s="81"/>
      <x:c r="U323" s="81"/>
      <x:c r="V323" s="81"/>
      <x:c r="W323" s="81"/>
      <x:c r="X323" s="81"/>
      <x:c r="Y323" s="81"/>
      <x:c r="Z323" s="81"/>
    </x:row>
    <x:row r="324">
      <x:c r="A324" s="81"/>
      <x:c r="B324" s="81"/>
      <x:c r="C324" s="81"/>
      <x:c r="D324" s="81"/>
      <x:c r="E324" s="81"/>
      <x:c r="F324" s="81"/>
      <x:c r="G324" s="81"/>
      <x:c r="H324" s="81"/>
      <x:c r="I324" s="81"/>
      <x:c r="J324" s="81"/>
      <x:c r="K324" s="81"/>
      <x:c r="L324" s="81"/>
      <x:c r="M324" s="81"/>
      <x:c r="N324" s="81"/>
      <x:c r="O324" s="81"/>
      <x:c r="P324" s="81"/>
      <x:c r="Q324" s="81"/>
      <x:c r="R324" s="81"/>
      <x:c r="S324" s="81"/>
      <x:c r="T324" s="81"/>
      <x:c r="U324" s="81"/>
      <x:c r="V324" s="81"/>
      <x:c r="W324" s="81"/>
      <x:c r="X324" s="81"/>
      <x:c r="Y324" s="81"/>
      <x:c r="Z324" s="81"/>
    </x:row>
    <x:row r="325">
      <x:c r="A325" s="81"/>
      <x:c r="B325" s="81"/>
      <x:c r="C325" s="81"/>
      <x:c r="D325" s="81"/>
      <x:c r="E325" s="81"/>
      <x:c r="F325" s="81"/>
      <x:c r="G325" s="81"/>
      <x:c r="H325" s="81"/>
      <x:c r="I325" s="81"/>
      <x:c r="J325" s="81"/>
      <x:c r="K325" s="81"/>
      <x:c r="L325" s="81"/>
      <x:c r="M325" s="81"/>
      <x:c r="N325" s="81"/>
      <x:c r="O325" s="81"/>
      <x:c r="P325" s="81"/>
      <x:c r="Q325" s="81"/>
      <x:c r="R325" s="81"/>
      <x:c r="S325" s="81"/>
      <x:c r="T325" s="81"/>
      <x:c r="U325" s="81"/>
      <x:c r="V325" s="81"/>
      <x:c r="W325" s="81"/>
      <x:c r="X325" s="81"/>
      <x:c r="Y325" s="81"/>
      <x:c r="Z325" s="81"/>
    </x:row>
    <x:row r="326">
      <x:c r="A326" s="81"/>
      <x:c r="B326" s="81"/>
      <x:c r="C326" s="81"/>
      <x:c r="D326" s="81"/>
      <x:c r="E326" s="81"/>
      <x:c r="F326" s="81"/>
      <x:c r="G326" s="81"/>
      <x:c r="H326" s="81"/>
      <x:c r="I326" s="81"/>
      <x:c r="J326" s="81"/>
      <x:c r="K326" s="81"/>
      <x:c r="L326" s="81"/>
      <x:c r="M326" s="81"/>
      <x:c r="N326" s="81"/>
      <x:c r="O326" s="81"/>
      <x:c r="P326" s="81"/>
      <x:c r="Q326" s="81"/>
      <x:c r="R326" s="81"/>
      <x:c r="S326" s="81"/>
      <x:c r="T326" s="81"/>
      <x:c r="U326" s="81"/>
      <x:c r="V326" s="81"/>
      <x:c r="W326" s="81"/>
      <x:c r="X326" s="81"/>
      <x:c r="Y326" s="81"/>
      <x:c r="Z326" s="81"/>
    </x:row>
    <x:row r="327">
      <x:c r="A327" s="81"/>
      <x:c r="B327" s="81"/>
      <x:c r="C327" s="81"/>
      <x:c r="D327" s="81"/>
      <x:c r="E327" s="81"/>
      <x:c r="F327" s="81"/>
      <x:c r="G327" s="81"/>
      <x:c r="H327" s="81"/>
      <x:c r="I327" s="81"/>
      <x:c r="J327" s="81"/>
      <x:c r="K327" s="81"/>
      <x:c r="L327" s="81"/>
      <x:c r="M327" s="81"/>
      <x:c r="N327" s="81"/>
      <x:c r="O327" s="81"/>
      <x:c r="P327" s="81"/>
      <x:c r="Q327" s="81"/>
      <x:c r="R327" s="81"/>
      <x:c r="S327" s="81"/>
      <x:c r="T327" s="81"/>
      <x:c r="U327" s="81"/>
      <x:c r="V327" s="81"/>
      <x:c r="W327" s="81"/>
      <x:c r="X327" s="81"/>
      <x:c r="Y327" s="81"/>
      <x:c r="Z327" s="81"/>
    </x:row>
    <x:row r="328">
      <x:c r="A328" s="81"/>
      <x:c r="B328" s="81"/>
      <x:c r="C328" s="81"/>
      <x:c r="D328" s="81"/>
      <x:c r="E328" s="81"/>
      <x:c r="F328" s="81"/>
      <x:c r="G328" s="81"/>
      <x:c r="H328" s="81"/>
      <x:c r="I328" s="81"/>
      <x:c r="J328" s="81"/>
      <x:c r="K328" s="81"/>
      <x:c r="L328" s="81"/>
      <x:c r="M328" s="81"/>
      <x:c r="N328" s="81"/>
      <x:c r="O328" s="81"/>
      <x:c r="P328" s="81"/>
      <x:c r="Q328" s="81"/>
      <x:c r="R328" s="81"/>
      <x:c r="S328" s="81"/>
      <x:c r="T328" s="81"/>
      <x:c r="U328" s="81"/>
      <x:c r="V328" s="81"/>
      <x:c r="W328" s="81"/>
      <x:c r="X328" s="81"/>
      <x:c r="Y328" s="81"/>
      <x:c r="Z328" s="81"/>
    </x:row>
    <x:row r="329">
      <x:c r="A329" s="81"/>
      <x:c r="B329" s="81"/>
      <x:c r="C329" s="81"/>
      <x:c r="D329" s="81"/>
      <x:c r="E329" s="81"/>
      <x:c r="F329" s="81"/>
      <x:c r="G329" s="81"/>
      <x:c r="H329" s="81"/>
      <x:c r="I329" s="81"/>
      <x:c r="J329" s="81"/>
      <x:c r="K329" s="81"/>
      <x:c r="L329" s="81"/>
      <x:c r="M329" s="81"/>
      <x:c r="N329" s="81"/>
      <x:c r="O329" s="81"/>
      <x:c r="P329" s="81"/>
      <x:c r="Q329" s="81"/>
      <x:c r="R329" s="81"/>
      <x:c r="S329" s="81"/>
      <x:c r="T329" s="81"/>
      <x:c r="U329" s="81"/>
      <x:c r="V329" s="81"/>
      <x:c r="W329" s="81"/>
      <x:c r="X329" s="81"/>
      <x:c r="Y329" s="81"/>
      <x:c r="Z329" s="81"/>
    </x:row>
    <x:row r="330">
      <x:c r="A330" s="81"/>
      <x:c r="B330" s="81"/>
      <x:c r="C330" s="81"/>
      <x:c r="D330" s="81"/>
      <x:c r="E330" s="81"/>
      <x:c r="F330" s="81"/>
      <x:c r="G330" s="81"/>
      <x:c r="H330" s="81"/>
      <x:c r="I330" s="81"/>
      <x:c r="J330" s="81"/>
      <x:c r="K330" s="81"/>
      <x:c r="L330" s="81"/>
      <x:c r="M330" s="81"/>
      <x:c r="N330" s="81"/>
      <x:c r="O330" s="81"/>
      <x:c r="P330" s="81"/>
      <x:c r="Q330" s="81"/>
      <x:c r="R330" s="81"/>
      <x:c r="S330" s="81"/>
      <x:c r="T330" s="81"/>
      <x:c r="U330" s="81"/>
      <x:c r="V330" s="81"/>
      <x:c r="W330" s="81"/>
      <x:c r="X330" s="81"/>
      <x:c r="Y330" s="81"/>
      <x:c r="Z330" s="81"/>
    </x:row>
    <x:row r="331">
      <x:c r="A331" s="81"/>
      <x:c r="B331" s="81"/>
      <x:c r="C331" s="81"/>
      <x:c r="D331" s="81"/>
      <x:c r="E331" s="81"/>
      <x:c r="F331" s="81"/>
      <x:c r="G331" s="81"/>
      <x:c r="H331" s="81"/>
      <x:c r="I331" s="81"/>
      <x:c r="J331" s="81"/>
      <x:c r="K331" s="81"/>
      <x:c r="L331" s="81"/>
      <x:c r="M331" s="81"/>
      <x:c r="N331" s="81"/>
      <x:c r="O331" s="81"/>
      <x:c r="P331" s="81"/>
      <x:c r="Q331" s="81"/>
      <x:c r="R331" s="81"/>
      <x:c r="S331" s="81"/>
      <x:c r="T331" s="81"/>
      <x:c r="U331" s="81"/>
      <x:c r="V331" s="81"/>
      <x:c r="W331" s="81"/>
      <x:c r="X331" s="81"/>
      <x:c r="Y331" s="81"/>
      <x:c r="Z331" s="81"/>
    </x:row>
    <x:row r="332">
      <x:c r="A332" s="81"/>
      <x:c r="B332" s="81"/>
      <x:c r="C332" s="81"/>
      <x:c r="D332" s="81"/>
      <x:c r="E332" s="81"/>
      <x:c r="F332" s="81"/>
      <x:c r="G332" s="81"/>
      <x:c r="H332" s="81"/>
      <x:c r="I332" s="81"/>
      <x:c r="J332" s="81"/>
      <x:c r="K332" s="81"/>
      <x:c r="L332" s="81"/>
      <x:c r="M332" s="81"/>
      <x:c r="N332" s="81"/>
      <x:c r="O332" s="81"/>
      <x:c r="P332" s="81"/>
      <x:c r="Q332" s="81"/>
      <x:c r="R332" s="81"/>
      <x:c r="S332" s="81"/>
      <x:c r="T332" s="81"/>
      <x:c r="U332" s="81"/>
      <x:c r="V332" s="81"/>
      <x:c r="W332" s="81"/>
      <x:c r="X332" s="81"/>
      <x:c r="Y332" s="81"/>
      <x:c r="Z332" s="81"/>
    </x:row>
    <x:row r="333">
      <x:c r="A333" s="81"/>
      <x:c r="B333" s="81"/>
      <x:c r="C333" s="81"/>
      <x:c r="D333" s="81"/>
      <x:c r="E333" s="81"/>
      <x:c r="F333" s="81"/>
      <x:c r="G333" s="81"/>
      <x:c r="H333" s="81"/>
      <x:c r="I333" s="81"/>
      <x:c r="J333" s="81"/>
      <x:c r="K333" s="81"/>
      <x:c r="L333" s="81"/>
      <x:c r="M333" s="81"/>
      <x:c r="N333" s="81"/>
      <x:c r="O333" s="81"/>
      <x:c r="P333" s="81"/>
      <x:c r="Q333" s="81"/>
      <x:c r="R333" s="81"/>
      <x:c r="S333" s="81"/>
      <x:c r="T333" s="81"/>
      <x:c r="U333" s="81"/>
      <x:c r="V333" s="81"/>
      <x:c r="W333" s="81"/>
      <x:c r="X333" s="81"/>
      <x:c r="Y333" s="81"/>
      <x:c r="Z333" s="81"/>
    </x:row>
    <x:row r="334">
      <x:c r="A334" s="81"/>
      <x:c r="B334" s="81"/>
      <x:c r="C334" s="81"/>
      <x:c r="D334" s="81"/>
      <x:c r="E334" s="81"/>
      <x:c r="F334" s="81"/>
      <x:c r="G334" s="81"/>
      <x:c r="H334" s="81"/>
      <x:c r="I334" s="81"/>
      <x:c r="J334" s="81"/>
      <x:c r="K334" s="81"/>
      <x:c r="L334" s="81"/>
      <x:c r="M334" s="81"/>
      <x:c r="N334" s="81"/>
      <x:c r="O334" s="81"/>
      <x:c r="P334" s="81"/>
      <x:c r="Q334" s="81"/>
      <x:c r="R334" s="81"/>
      <x:c r="S334" s="81"/>
      <x:c r="T334" s="81"/>
      <x:c r="U334" s="81"/>
      <x:c r="V334" s="81"/>
      <x:c r="W334" s="81"/>
      <x:c r="X334" s="81"/>
      <x:c r="Y334" s="81"/>
      <x:c r="Z334" s="81"/>
    </x:row>
    <x:row r="335">
      <x:c r="A335" s="81"/>
      <x:c r="B335" s="81"/>
      <x:c r="C335" s="81"/>
      <x:c r="D335" s="81"/>
      <x:c r="E335" s="81"/>
      <x:c r="F335" s="81"/>
      <x:c r="G335" s="81"/>
      <x:c r="H335" s="81"/>
      <x:c r="I335" s="81"/>
      <x:c r="J335" s="81"/>
      <x:c r="K335" s="81"/>
      <x:c r="L335" s="81"/>
      <x:c r="M335" s="81"/>
      <x:c r="N335" s="81"/>
      <x:c r="O335" s="81"/>
      <x:c r="P335" s="81"/>
      <x:c r="Q335" s="81"/>
      <x:c r="R335" s="81"/>
      <x:c r="S335" s="81"/>
      <x:c r="T335" s="81"/>
      <x:c r="U335" s="81"/>
      <x:c r="V335" s="81"/>
      <x:c r="W335" s="81"/>
      <x:c r="X335" s="81"/>
      <x:c r="Y335" s="81"/>
      <x:c r="Z335" s="81"/>
    </x:row>
    <x:row r="336">
      <x:c r="A336" s="81"/>
      <x:c r="B336" s="81"/>
      <x:c r="C336" s="81"/>
      <x:c r="D336" s="81"/>
      <x:c r="E336" s="81"/>
      <x:c r="F336" s="81"/>
      <x:c r="G336" s="81"/>
      <x:c r="H336" s="81"/>
      <x:c r="I336" s="81"/>
      <x:c r="J336" s="81"/>
      <x:c r="K336" s="81"/>
      <x:c r="L336" s="81"/>
      <x:c r="M336" s="81"/>
      <x:c r="N336" s="81"/>
      <x:c r="O336" s="81"/>
      <x:c r="P336" s="81"/>
      <x:c r="Q336" s="81"/>
      <x:c r="R336" s="81"/>
      <x:c r="S336" s="81"/>
      <x:c r="T336" s="81"/>
      <x:c r="U336" s="81"/>
      <x:c r="V336" s="81"/>
      <x:c r="W336" s="81"/>
      <x:c r="X336" s="81"/>
      <x:c r="Y336" s="81"/>
      <x:c r="Z336" s="81"/>
    </x:row>
    <x:row r="337">
      <x:c r="A337" s="81"/>
      <x:c r="B337" s="81"/>
      <x:c r="C337" s="81"/>
      <x:c r="D337" s="81"/>
      <x:c r="E337" s="81"/>
      <x:c r="F337" s="81"/>
      <x:c r="G337" s="81"/>
      <x:c r="H337" s="81"/>
      <x:c r="I337" s="81"/>
      <x:c r="J337" s="81"/>
      <x:c r="K337" s="81"/>
      <x:c r="L337" s="81"/>
      <x:c r="M337" s="81"/>
      <x:c r="N337" s="81"/>
      <x:c r="O337" s="81"/>
      <x:c r="P337" s="81"/>
      <x:c r="Q337" s="81"/>
      <x:c r="R337" s="81"/>
      <x:c r="S337" s="81"/>
      <x:c r="T337" s="81"/>
      <x:c r="U337" s="81"/>
      <x:c r="V337" s="81"/>
      <x:c r="W337" s="81"/>
      <x:c r="X337" s="81"/>
      <x:c r="Y337" s="81"/>
      <x:c r="Z337" s="81"/>
    </x:row>
    <x:row r="338">
      <x:c r="A338" s="81"/>
      <x:c r="B338" s="81"/>
      <x:c r="C338" s="81"/>
      <x:c r="D338" s="81"/>
      <x:c r="E338" s="81"/>
      <x:c r="F338" s="81"/>
      <x:c r="G338" s="81"/>
      <x:c r="H338" s="81"/>
      <x:c r="I338" s="81"/>
      <x:c r="J338" s="81"/>
      <x:c r="K338" s="81"/>
      <x:c r="L338" s="81"/>
      <x:c r="M338" s="81"/>
      <x:c r="N338" s="81"/>
      <x:c r="O338" s="81"/>
      <x:c r="P338" s="81"/>
      <x:c r="Q338" s="81"/>
      <x:c r="R338" s="81"/>
      <x:c r="S338" s="81"/>
      <x:c r="T338" s="81"/>
      <x:c r="U338" s="81"/>
      <x:c r="V338" s="81"/>
      <x:c r="W338" s="81"/>
      <x:c r="X338" s="81"/>
      <x:c r="Y338" s="81"/>
      <x:c r="Z338" s="81"/>
    </x:row>
    <x:row r="339">
      <x:c r="A339" s="81"/>
      <x:c r="B339" s="81"/>
      <x:c r="C339" s="81"/>
      <x:c r="D339" s="81"/>
      <x:c r="E339" s="81"/>
      <x:c r="F339" s="81"/>
      <x:c r="G339" s="81"/>
      <x:c r="H339" s="81"/>
      <x:c r="I339" s="81"/>
      <x:c r="J339" s="81"/>
      <x:c r="K339" s="81"/>
      <x:c r="L339" s="81"/>
      <x:c r="M339" s="81"/>
      <x:c r="N339" s="81"/>
      <x:c r="O339" s="81"/>
      <x:c r="P339" s="81"/>
      <x:c r="Q339" s="81"/>
      <x:c r="R339" s="81"/>
      <x:c r="S339" s="81"/>
      <x:c r="T339" s="81"/>
      <x:c r="U339" s="81"/>
      <x:c r="V339" s="81"/>
      <x:c r="W339" s="81"/>
      <x:c r="X339" s="81"/>
      <x:c r="Y339" s="81"/>
      <x:c r="Z339" s="81"/>
    </x:row>
    <x:row r="340">
      <x:c r="A340" s="81"/>
      <x:c r="B340" s="81"/>
      <x:c r="C340" s="81"/>
      <x:c r="D340" s="81"/>
      <x:c r="E340" s="81"/>
      <x:c r="F340" s="81"/>
      <x:c r="G340" s="81"/>
      <x:c r="H340" s="81"/>
      <x:c r="I340" s="81"/>
      <x:c r="J340" s="81"/>
      <x:c r="K340" s="81"/>
      <x:c r="L340" s="81"/>
      <x:c r="M340" s="81"/>
      <x:c r="N340" s="81"/>
      <x:c r="O340" s="81"/>
      <x:c r="P340" s="81"/>
      <x:c r="Q340" s="81"/>
      <x:c r="R340" s="81"/>
      <x:c r="S340" s="81"/>
      <x:c r="T340" s="81"/>
      <x:c r="U340" s="81"/>
      <x:c r="V340" s="81"/>
      <x:c r="W340" s="81"/>
      <x:c r="X340" s="81"/>
      <x:c r="Y340" s="81"/>
      <x:c r="Z340" s="81"/>
    </x:row>
    <x:row r="341">
      <x:c r="A341" s="81"/>
      <x:c r="B341" s="81"/>
      <x:c r="C341" s="81"/>
      <x:c r="D341" s="81"/>
      <x:c r="E341" s="81"/>
      <x:c r="F341" s="81"/>
      <x:c r="G341" s="81"/>
      <x:c r="H341" s="81"/>
      <x:c r="I341" s="81"/>
      <x:c r="J341" s="81"/>
      <x:c r="K341" s="81"/>
      <x:c r="L341" s="81"/>
      <x:c r="M341" s="81"/>
      <x:c r="N341" s="81"/>
      <x:c r="O341" s="81"/>
      <x:c r="P341" s="81"/>
      <x:c r="Q341" s="81"/>
      <x:c r="R341" s="81"/>
      <x:c r="S341" s="81"/>
      <x:c r="T341" s="81"/>
      <x:c r="U341" s="81"/>
      <x:c r="V341" s="81"/>
      <x:c r="W341" s="81"/>
      <x:c r="X341" s="81"/>
      <x:c r="Y341" s="81"/>
      <x:c r="Z341" s="81"/>
    </x:row>
    <x:row r="342">
      <x:c r="A342" s="81"/>
      <x:c r="B342" s="81"/>
      <x:c r="C342" s="81"/>
      <x:c r="D342" s="81"/>
      <x:c r="E342" s="81"/>
      <x:c r="F342" s="81"/>
      <x:c r="G342" s="81"/>
      <x:c r="H342" s="81"/>
      <x:c r="I342" s="81"/>
      <x:c r="J342" s="81"/>
      <x:c r="K342" s="81"/>
      <x:c r="L342" s="81"/>
      <x:c r="M342" s="81"/>
      <x:c r="N342" s="81"/>
      <x:c r="O342" s="81"/>
      <x:c r="P342" s="81"/>
      <x:c r="Q342" s="81"/>
      <x:c r="R342" s="81"/>
      <x:c r="S342" s="81"/>
      <x:c r="T342" s="81"/>
      <x:c r="U342" s="81"/>
      <x:c r="V342" s="81"/>
      <x:c r="W342" s="81"/>
      <x:c r="X342" s="81"/>
      <x:c r="Y342" s="81"/>
      <x:c r="Z342" s="81"/>
    </x:row>
    <x:row r="343">
      <x:c r="A343" s="81"/>
      <x:c r="B343" s="81"/>
      <x:c r="C343" s="81"/>
      <x:c r="D343" s="81"/>
      <x:c r="E343" s="81"/>
      <x:c r="F343" s="81"/>
      <x:c r="G343" s="81"/>
      <x:c r="H343" s="81"/>
      <x:c r="I343" s="81"/>
      <x:c r="J343" s="81"/>
      <x:c r="K343" s="81"/>
      <x:c r="L343" s="81"/>
      <x:c r="M343" s="81"/>
      <x:c r="N343" s="81"/>
      <x:c r="O343" s="81"/>
      <x:c r="P343" s="81"/>
      <x:c r="Q343" s="81"/>
      <x:c r="R343" s="81"/>
      <x:c r="S343" s="81"/>
      <x:c r="T343" s="81"/>
      <x:c r="U343" s="81"/>
      <x:c r="V343" s="81"/>
      <x:c r="W343" s="81"/>
      <x:c r="X343" s="81"/>
      <x:c r="Y343" s="81"/>
      <x:c r="Z343" s="81"/>
    </x:row>
    <x:row r="344">
      <x:c r="A344" s="81"/>
      <x:c r="B344" s="81"/>
      <x:c r="C344" s="81"/>
      <x:c r="D344" s="81"/>
      <x:c r="E344" s="81"/>
      <x:c r="F344" s="81"/>
      <x:c r="G344" s="81"/>
      <x:c r="H344" s="81"/>
      <x:c r="I344" s="81"/>
      <x:c r="J344" s="81"/>
      <x:c r="K344" s="81"/>
      <x:c r="L344" s="81"/>
      <x:c r="M344" s="81"/>
      <x:c r="N344" s="81"/>
      <x:c r="O344" s="81"/>
      <x:c r="P344" s="81"/>
      <x:c r="Q344" s="81"/>
      <x:c r="R344" s="81"/>
      <x:c r="S344" s="81"/>
      <x:c r="T344" s="81"/>
      <x:c r="U344" s="81"/>
      <x:c r="V344" s="81"/>
      <x:c r="W344" s="81"/>
      <x:c r="X344" s="81"/>
      <x:c r="Y344" s="81"/>
      <x:c r="Z344" s="81"/>
    </x:row>
    <x:row r="345">
      <x:c r="A345" s="81"/>
      <x:c r="B345" s="81"/>
      <x:c r="C345" s="81"/>
      <x:c r="D345" s="81"/>
      <x:c r="E345" s="81"/>
      <x:c r="F345" s="81"/>
      <x:c r="G345" s="81"/>
      <x:c r="H345" s="81"/>
      <x:c r="I345" s="81"/>
      <x:c r="J345" s="81"/>
      <x:c r="K345" s="81"/>
      <x:c r="L345" s="81"/>
      <x:c r="M345" s="81"/>
      <x:c r="N345" s="81"/>
      <x:c r="O345" s="81"/>
      <x:c r="P345" s="81"/>
      <x:c r="Q345" s="81"/>
      <x:c r="R345" s="81"/>
      <x:c r="S345" s="81"/>
      <x:c r="T345" s="81"/>
      <x:c r="U345" s="81"/>
      <x:c r="V345" s="81"/>
      <x:c r="W345" s="81"/>
      <x:c r="X345" s="81"/>
      <x:c r="Y345" s="81"/>
      <x:c r="Z345" s="81"/>
    </x:row>
    <x:row r="346">
      <x:c r="A346" s="81"/>
      <x:c r="B346" s="81"/>
      <x:c r="C346" s="81"/>
      <x:c r="D346" s="81"/>
      <x:c r="E346" s="81"/>
      <x:c r="F346" s="81"/>
      <x:c r="G346" s="81"/>
      <x:c r="H346" s="81"/>
      <x:c r="I346" s="81"/>
      <x:c r="J346" s="81"/>
      <x:c r="K346" s="81"/>
      <x:c r="L346" s="81"/>
      <x:c r="M346" s="81"/>
      <x:c r="N346" s="81"/>
      <x:c r="O346" s="81"/>
      <x:c r="P346" s="81"/>
      <x:c r="Q346" s="81"/>
      <x:c r="R346" s="81"/>
      <x:c r="S346" s="81"/>
      <x:c r="T346" s="81"/>
      <x:c r="U346" s="81"/>
      <x:c r="V346" s="81"/>
      <x:c r="W346" s="81"/>
      <x:c r="X346" s="81"/>
      <x:c r="Y346" s="81"/>
      <x:c r="Z346" s="81"/>
    </x:row>
    <x:row r="347">
      <x:c r="A347" s="81"/>
      <x:c r="B347" s="81"/>
      <x:c r="C347" s="81"/>
      <x:c r="D347" s="81"/>
      <x:c r="E347" s="81"/>
      <x:c r="F347" s="81"/>
      <x:c r="G347" s="81"/>
      <x:c r="H347" s="81"/>
      <x:c r="I347" s="81"/>
      <x:c r="J347" s="81"/>
      <x:c r="K347" s="81"/>
      <x:c r="L347" s="81"/>
      <x:c r="M347" s="81"/>
      <x:c r="N347" s="81"/>
      <x:c r="O347" s="81"/>
      <x:c r="P347" s="81"/>
      <x:c r="Q347" s="81"/>
      <x:c r="R347" s="81"/>
      <x:c r="S347" s="81"/>
      <x:c r="T347" s="81"/>
      <x:c r="U347" s="81"/>
      <x:c r="V347" s="81"/>
      <x:c r="W347" s="81"/>
      <x:c r="X347" s="81"/>
      <x:c r="Y347" s="81"/>
      <x:c r="Z347" s="81"/>
    </x:row>
    <x:row r="348">
      <x:c r="A348" s="81"/>
      <x:c r="B348" s="81"/>
      <x:c r="C348" s="81"/>
      <x:c r="D348" s="81"/>
      <x:c r="E348" s="81"/>
      <x:c r="F348" s="81"/>
      <x:c r="G348" s="81"/>
      <x:c r="H348" s="81"/>
      <x:c r="I348" s="81"/>
      <x:c r="J348" s="81"/>
      <x:c r="K348" s="81"/>
      <x:c r="L348" s="81"/>
      <x:c r="M348" s="81"/>
      <x:c r="N348" s="81"/>
      <x:c r="O348" s="81"/>
      <x:c r="P348" s="81"/>
      <x:c r="Q348" s="81"/>
      <x:c r="R348" s="81"/>
      <x:c r="S348" s="81"/>
      <x:c r="T348" s="81"/>
      <x:c r="U348" s="81"/>
      <x:c r="V348" s="81"/>
      <x:c r="W348" s="81"/>
      <x:c r="X348" s="81"/>
      <x:c r="Y348" s="81"/>
      <x:c r="Z348" s="81"/>
    </x:row>
    <x:row r="349">
      <x:c r="A349" s="81"/>
      <x:c r="B349" s="81"/>
      <x:c r="C349" s="81"/>
      <x:c r="D349" s="81"/>
      <x:c r="E349" s="81"/>
      <x:c r="F349" s="81"/>
      <x:c r="G349" s="81"/>
      <x:c r="H349" s="81"/>
      <x:c r="I349" s="81"/>
      <x:c r="J349" s="81"/>
      <x:c r="K349" s="81"/>
      <x:c r="L349" s="81"/>
      <x:c r="M349" s="81"/>
      <x:c r="N349" s="81"/>
      <x:c r="O349" s="81"/>
      <x:c r="P349" s="81"/>
      <x:c r="Q349" s="81"/>
      <x:c r="R349" s="81"/>
      <x:c r="S349" s="81"/>
      <x:c r="T349" s="81"/>
      <x:c r="U349" s="81"/>
      <x:c r="V349" s="81"/>
      <x:c r="W349" s="81"/>
      <x:c r="X349" s="81"/>
      <x:c r="Y349" s="81"/>
      <x:c r="Z349" s="81"/>
    </x:row>
    <x:row r="350">
      <x:c r="A350" s="81"/>
      <x:c r="B350" s="81"/>
      <x:c r="C350" s="81"/>
      <x:c r="D350" s="81"/>
      <x:c r="E350" s="81"/>
      <x:c r="F350" s="81"/>
      <x:c r="G350" s="81"/>
      <x:c r="H350" s="81"/>
      <x:c r="I350" s="81"/>
      <x:c r="J350" s="81"/>
      <x:c r="K350" s="81"/>
      <x:c r="L350" s="81"/>
      <x:c r="M350" s="81"/>
      <x:c r="N350" s="81"/>
      <x:c r="O350" s="81"/>
      <x:c r="P350" s="81"/>
      <x:c r="Q350" s="81"/>
      <x:c r="R350" s="81"/>
      <x:c r="S350" s="81"/>
      <x:c r="T350" s="81"/>
      <x:c r="U350" s="81"/>
      <x:c r="V350" s="81"/>
      <x:c r="W350" s="81"/>
      <x:c r="X350" s="81"/>
      <x:c r="Y350" s="81"/>
      <x:c r="Z350" s="81"/>
    </x:row>
    <x:row r="351">
      <x:c r="A351" s="81"/>
      <x:c r="B351" s="81"/>
      <x:c r="C351" s="81"/>
      <x:c r="D351" s="81"/>
      <x:c r="E351" s="81"/>
      <x:c r="F351" s="81"/>
      <x:c r="G351" s="81"/>
      <x:c r="H351" s="81"/>
      <x:c r="I351" s="81"/>
      <x:c r="J351" s="81"/>
      <x:c r="K351" s="81"/>
      <x:c r="L351" s="81"/>
      <x:c r="M351" s="81"/>
      <x:c r="N351" s="81"/>
      <x:c r="O351" s="81"/>
      <x:c r="P351" s="81"/>
      <x:c r="Q351" s="81"/>
      <x:c r="R351" s="81"/>
      <x:c r="S351" s="81"/>
      <x:c r="T351" s="81"/>
      <x:c r="U351" s="81"/>
      <x:c r="V351" s="81"/>
      <x:c r="W351" s="81"/>
      <x:c r="X351" s="81"/>
      <x:c r="Y351" s="81"/>
      <x:c r="Z351" s="81"/>
    </x:row>
    <x:row r="352">
      <x:c r="A352" s="81"/>
      <x:c r="B352" s="81"/>
      <x:c r="C352" s="81"/>
      <x:c r="D352" s="81"/>
      <x:c r="E352" s="81"/>
      <x:c r="F352" s="81"/>
      <x:c r="G352" s="81"/>
      <x:c r="H352" s="81"/>
      <x:c r="I352" s="81"/>
      <x:c r="J352" s="81"/>
      <x:c r="K352" s="81"/>
      <x:c r="L352" s="81"/>
      <x:c r="M352" s="81"/>
      <x:c r="N352" s="81"/>
      <x:c r="O352" s="81"/>
      <x:c r="P352" s="81"/>
      <x:c r="Q352" s="81"/>
      <x:c r="R352" s="81"/>
      <x:c r="S352" s="81"/>
      <x:c r="T352" s="81"/>
      <x:c r="U352" s="81"/>
      <x:c r="V352" s="81"/>
      <x:c r="W352" s="81"/>
      <x:c r="X352" s="81"/>
      <x:c r="Y352" s="81"/>
      <x:c r="Z352" s="81"/>
    </x:row>
    <x:row r="353">
      <x:c r="A353" s="81"/>
      <x:c r="B353" s="81"/>
      <x:c r="C353" s="81"/>
      <x:c r="D353" s="81"/>
      <x:c r="E353" s="81"/>
      <x:c r="F353" s="81"/>
      <x:c r="G353" s="81"/>
      <x:c r="H353" s="81"/>
      <x:c r="I353" s="81"/>
      <x:c r="J353" s="81"/>
      <x:c r="K353" s="81"/>
      <x:c r="L353" s="81"/>
      <x:c r="M353" s="81"/>
      <x:c r="N353" s="81"/>
      <x:c r="O353" s="81"/>
      <x:c r="P353" s="81"/>
      <x:c r="Q353" s="81"/>
      <x:c r="R353" s="81"/>
      <x:c r="S353" s="81"/>
      <x:c r="T353" s="81"/>
      <x:c r="U353" s="81"/>
      <x:c r="V353" s="81"/>
      <x:c r="W353" s="81"/>
      <x:c r="X353" s="81"/>
      <x:c r="Y353" s="81"/>
      <x:c r="Z353" s="81"/>
    </x:row>
    <x:row r="354">
      <x:c r="A354" s="81"/>
      <x:c r="B354" s="81"/>
      <x:c r="C354" s="81"/>
      <x:c r="D354" s="81"/>
      <x:c r="E354" s="81"/>
      <x:c r="F354" s="81"/>
      <x:c r="G354" s="81"/>
      <x:c r="H354" s="81"/>
      <x:c r="I354" s="81"/>
      <x:c r="J354" s="81"/>
      <x:c r="K354" s="81"/>
      <x:c r="L354" s="81"/>
      <x:c r="M354" s="81"/>
      <x:c r="N354" s="81"/>
      <x:c r="O354" s="81"/>
      <x:c r="P354" s="81"/>
      <x:c r="Q354" s="81"/>
      <x:c r="R354" s="81"/>
      <x:c r="S354" s="81"/>
      <x:c r="T354" s="81"/>
      <x:c r="U354" s="81"/>
      <x:c r="V354" s="81"/>
      <x:c r="W354" s="81"/>
      <x:c r="X354" s="81"/>
      <x:c r="Y354" s="81"/>
      <x:c r="Z354" s="81"/>
    </x:row>
    <x:row r="355">
      <x:c r="A355" s="81"/>
      <x:c r="B355" s="81"/>
      <x:c r="C355" s="81"/>
      <x:c r="D355" s="81"/>
      <x:c r="E355" s="81"/>
      <x:c r="F355" s="81"/>
      <x:c r="G355" s="81"/>
      <x:c r="H355" s="81"/>
      <x:c r="I355" s="81"/>
      <x:c r="J355" s="81"/>
      <x:c r="K355" s="81"/>
      <x:c r="L355" s="81"/>
      <x:c r="M355" s="81"/>
      <x:c r="N355" s="81"/>
      <x:c r="O355" s="81"/>
      <x:c r="P355" s="81"/>
      <x:c r="Q355" s="81"/>
      <x:c r="R355" s="81"/>
      <x:c r="S355" s="81"/>
      <x:c r="T355" s="81"/>
      <x:c r="U355" s="81"/>
      <x:c r="V355" s="81"/>
      <x:c r="W355" s="81"/>
      <x:c r="X355" s="81"/>
      <x:c r="Y355" s="81"/>
      <x:c r="Z355" s="81"/>
    </x:row>
    <x:row r="356">
      <x:c r="A356" s="81"/>
      <x:c r="B356" s="81"/>
      <x:c r="C356" s="81"/>
      <x:c r="D356" s="81"/>
      <x:c r="E356" s="81"/>
      <x:c r="F356" s="81"/>
      <x:c r="G356" s="81"/>
      <x:c r="H356" s="81"/>
      <x:c r="I356" s="81"/>
      <x:c r="J356" s="81"/>
      <x:c r="K356" s="81"/>
      <x:c r="L356" s="81"/>
      <x:c r="M356" s="81"/>
      <x:c r="N356" s="81"/>
      <x:c r="O356" s="81"/>
      <x:c r="P356" s="81"/>
      <x:c r="Q356" s="81"/>
      <x:c r="R356" s="81"/>
      <x:c r="S356" s="81"/>
      <x:c r="T356" s="81"/>
      <x:c r="U356" s="81"/>
      <x:c r="V356" s="81"/>
      <x:c r="W356" s="81"/>
      <x:c r="X356" s="81"/>
      <x:c r="Y356" s="81"/>
      <x:c r="Z356" s="81"/>
    </x:row>
    <x:row r="357">
      <x:c r="A357" s="81"/>
      <x:c r="B357" s="81"/>
      <x:c r="C357" s="81"/>
      <x:c r="D357" s="81"/>
      <x:c r="E357" s="81"/>
      <x:c r="F357" s="81"/>
      <x:c r="G357" s="81"/>
      <x:c r="H357" s="81"/>
      <x:c r="I357" s="81"/>
      <x:c r="J357" s="81"/>
      <x:c r="K357" s="81"/>
      <x:c r="L357" s="81"/>
      <x:c r="M357" s="81"/>
      <x:c r="N357" s="81"/>
      <x:c r="O357" s="81"/>
      <x:c r="P357" s="81"/>
      <x:c r="Q357" s="81"/>
      <x:c r="R357" s="81"/>
      <x:c r="S357" s="81"/>
      <x:c r="T357" s="81"/>
      <x:c r="U357" s="81"/>
      <x:c r="V357" s="81"/>
      <x:c r="W357" s="81"/>
      <x:c r="X357" s="81"/>
      <x:c r="Y357" s="81"/>
      <x:c r="Z357" s="81"/>
    </x:row>
    <x:row r="358">
      <x:c r="A358" s="81"/>
      <x:c r="B358" s="81"/>
      <x:c r="C358" s="81"/>
      <x:c r="D358" s="81"/>
      <x:c r="E358" s="81"/>
      <x:c r="F358" s="81"/>
      <x:c r="G358" s="81"/>
      <x:c r="H358" s="81"/>
      <x:c r="I358" s="81"/>
      <x:c r="J358" s="81"/>
      <x:c r="K358" s="81"/>
      <x:c r="L358" s="81"/>
      <x:c r="M358" s="81"/>
      <x:c r="N358" s="81"/>
      <x:c r="O358" s="81"/>
      <x:c r="P358" s="81"/>
      <x:c r="Q358" s="81"/>
      <x:c r="R358" s="81"/>
      <x:c r="S358" s="81"/>
      <x:c r="T358" s="81"/>
      <x:c r="U358" s="81"/>
      <x:c r="V358" s="81"/>
      <x:c r="W358" s="81"/>
      <x:c r="X358" s="81"/>
      <x:c r="Y358" s="81"/>
      <x:c r="Z358" s="81"/>
    </x:row>
    <x:row r="359">
      <x:c r="A359" s="81"/>
      <x:c r="B359" s="81"/>
      <x:c r="C359" s="81"/>
      <x:c r="D359" s="81"/>
      <x:c r="E359" s="81"/>
      <x:c r="F359" s="81"/>
      <x:c r="G359" s="81"/>
      <x:c r="H359" s="81"/>
      <x:c r="I359" s="81"/>
      <x:c r="J359" s="81"/>
      <x:c r="K359" s="81"/>
      <x:c r="L359" s="81"/>
      <x:c r="M359" s="81"/>
      <x:c r="N359" s="81"/>
      <x:c r="O359" s="81"/>
      <x:c r="P359" s="81"/>
      <x:c r="Q359" s="81"/>
      <x:c r="R359" s="81"/>
      <x:c r="S359" s="81"/>
      <x:c r="T359" s="81"/>
      <x:c r="U359" s="81"/>
      <x:c r="V359" s="81"/>
      <x:c r="W359" s="81"/>
      <x:c r="X359" s="81"/>
      <x:c r="Y359" s="81"/>
      <x:c r="Z359" s="81"/>
    </x:row>
    <x:row r="360">
      <x:c r="A360" s="81"/>
      <x:c r="B360" s="81"/>
      <x:c r="C360" s="81"/>
      <x:c r="D360" s="81"/>
      <x:c r="E360" s="81"/>
      <x:c r="F360" s="81"/>
      <x:c r="G360" s="81"/>
      <x:c r="H360" s="81"/>
      <x:c r="I360" s="81"/>
      <x:c r="J360" s="81"/>
      <x:c r="K360" s="81"/>
      <x:c r="L360" s="81"/>
      <x:c r="M360" s="81"/>
      <x:c r="N360" s="81"/>
      <x:c r="O360" s="81"/>
      <x:c r="P360" s="81"/>
      <x:c r="Q360" s="81"/>
      <x:c r="R360" s="81"/>
      <x:c r="S360" s="81"/>
      <x:c r="T360" s="81"/>
      <x:c r="U360" s="81"/>
      <x:c r="V360" s="81"/>
      <x:c r="W360" s="81"/>
      <x:c r="X360" s="81"/>
      <x:c r="Y360" s="81"/>
      <x:c r="Z360" s="81"/>
    </x:row>
    <x:row r="361">
      <x:c r="A361" s="81"/>
      <x:c r="B361" s="81"/>
      <x:c r="C361" s="81"/>
      <x:c r="D361" s="81"/>
      <x:c r="E361" s="81"/>
      <x:c r="F361" s="81"/>
      <x:c r="G361" s="81"/>
      <x:c r="H361" s="81"/>
      <x:c r="I361" s="81"/>
      <x:c r="J361" s="81"/>
      <x:c r="K361" s="81"/>
      <x:c r="L361" s="81"/>
      <x:c r="M361" s="81"/>
      <x:c r="N361" s="81"/>
      <x:c r="O361" s="81"/>
      <x:c r="P361" s="81"/>
      <x:c r="Q361" s="81"/>
      <x:c r="R361" s="81"/>
      <x:c r="S361" s="81"/>
      <x:c r="T361" s="81"/>
      <x:c r="U361" s="81"/>
      <x:c r="V361" s="81"/>
      <x:c r="W361" s="81"/>
      <x:c r="X361" s="81"/>
      <x:c r="Y361" s="81"/>
      <x:c r="Z361" s="81"/>
    </x:row>
    <x:row r="362">
      <x:c r="A362" s="81"/>
      <x:c r="B362" s="81"/>
      <x:c r="C362" s="81"/>
      <x:c r="D362" s="81"/>
      <x:c r="E362" s="81"/>
      <x:c r="F362" s="81"/>
      <x:c r="G362" s="81"/>
      <x:c r="H362" s="81"/>
      <x:c r="I362" s="81"/>
      <x:c r="J362" s="81"/>
      <x:c r="K362" s="81"/>
      <x:c r="L362" s="81"/>
      <x:c r="M362" s="81"/>
      <x:c r="N362" s="81"/>
      <x:c r="O362" s="81"/>
      <x:c r="P362" s="81"/>
      <x:c r="Q362" s="81"/>
      <x:c r="R362" s="81"/>
      <x:c r="S362" s="81"/>
      <x:c r="T362" s="81"/>
      <x:c r="U362" s="81"/>
      <x:c r="V362" s="81"/>
      <x:c r="W362" s="81"/>
      <x:c r="X362" s="81"/>
      <x:c r="Y362" s="81"/>
      <x:c r="Z362" s="81"/>
    </x:row>
    <x:row r="363">
      <x:c r="A363" s="81"/>
      <x:c r="B363" s="81"/>
      <x:c r="C363" s="81"/>
      <x:c r="D363" s="81"/>
      <x:c r="E363" s="81"/>
      <x:c r="F363" s="81"/>
      <x:c r="G363" s="81"/>
      <x:c r="H363" s="81"/>
      <x:c r="I363" s="81"/>
      <x:c r="J363" s="81"/>
      <x:c r="K363" s="81"/>
      <x:c r="L363" s="81"/>
      <x:c r="M363" s="81"/>
      <x:c r="N363" s="81"/>
      <x:c r="O363" s="81"/>
      <x:c r="P363" s="81"/>
      <x:c r="Q363" s="81"/>
      <x:c r="R363" s="81"/>
      <x:c r="S363" s="81"/>
      <x:c r="T363" s="81"/>
      <x:c r="U363" s="81"/>
      <x:c r="V363" s="81"/>
      <x:c r="W363" s="81"/>
      <x:c r="X363" s="81"/>
      <x:c r="Y363" s="81"/>
      <x:c r="Z363" s="81"/>
    </x:row>
    <x:row r="364">
      <x:c r="A364" s="81"/>
      <x:c r="B364" s="81"/>
      <x:c r="C364" s="81"/>
      <x:c r="D364" s="81"/>
      <x:c r="E364" s="81"/>
      <x:c r="F364" s="81"/>
      <x:c r="G364" s="81"/>
      <x:c r="H364" s="81"/>
      <x:c r="I364" s="81"/>
      <x:c r="J364" s="81"/>
      <x:c r="K364" s="81"/>
      <x:c r="L364" s="81"/>
      <x:c r="M364" s="81"/>
      <x:c r="N364" s="81"/>
      <x:c r="O364" s="81"/>
      <x:c r="P364" s="81"/>
      <x:c r="Q364" s="81"/>
      <x:c r="R364" s="81"/>
      <x:c r="S364" s="81"/>
      <x:c r="T364" s="81"/>
      <x:c r="U364" s="81"/>
      <x:c r="V364" s="81"/>
      <x:c r="W364" s="81"/>
      <x:c r="X364" s="81"/>
      <x:c r="Y364" s="81"/>
      <x:c r="Z364" s="81"/>
    </x:row>
    <x:row r="365">
      <x:c r="A365" s="81"/>
      <x:c r="B365" s="81"/>
      <x:c r="C365" s="81"/>
      <x:c r="D365" s="81"/>
      <x:c r="E365" s="81"/>
      <x:c r="F365" s="81"/>
      <x:c r="G365" s="81"/>
      <x:c r="H365" s="81"/>
      <x:c r="I365" s="81"/>
      <x:c r="J365" s="81"/>
      <x:c r="K365" s="81"/>
      <x:c r="L365" s="81"/>
      <x:c r="M365" s="81"/>
      <x:c r="N365" s="81"/>
      <x:c r="O365" s="81"/>
      <x:c r="P365" s="81"/>
      <x:c r="Q365" s="81"/>
      <x:c r="R365" s="81"/>
      <x:c r="S365" s="81"/>
      <x:c r="T365" s="81"/>
      <x:c r="U365" s="81"/>
      <x:c r="V365" s="81"/>
      <x:c r="W365" s="81"/>
      <x:c r="X365" s="81"/>
      <x:c r="Y365" s="81"/>
      <x:c r="Z365" s="81"/>
    </x:row>
    <x:row r="366">
      <x:c r="A366" s="81"/>
      <x:c r="B366" s="81"/>
      <x:c r="C366" s="81"/>
      <x:c r="D366" s="81"/>
      <x:c r="E366" s="81"/>
      <x:c r="F366" s="81"/>
      <x:c r="G366" s="81"/>
      <x:c r="H366" s="81"/>
      <x:c r="I366" s="81"/>
      <x:c r="J366" s="81"/>
      <x:c r="K366" s="81"/>
      <x:c r="L366" s="81"/>
      <x:c r="M366" s="81"/>
      <x:c r="N366" s="81"/>
      <x:c r="O366" s="81"/>
      <x:c r="P366" s="81"/>
      <x:c r="Q366" s="81"/>
      <x:c r="R366" s="81"/>
      <x:c r="S366" s="81"/>
      <x:c r="T366" s="81"/>
      <x:c r="U366" s="81"/>
      <x:c r="V366" s="81"/>
      <x:c r="W366" s="81"/>
      <x:c r="X366" s="81"/>
      <x:c r="Y366" s="81"/>
      <x:c r="Z366" s="81"/>
    </x:row>
    <x:row r="367">
      <x:c r="A367" s="81"/>
      <x:c r="B367" s="81"/>
      <x:c r="C367" s="81"/>
      <x:c r="D367" s="81"/>
      <x:c r="E367" s="81"/>
      <x:c r="F367" s="81"/>
      <x:c r="G367" s="81"/>
      <x:c r="H367" s="81"/>
      <x:c r="I367" s="81"/>
      <x:c r="J367" s="81"/>
      <x:c r="K367" s="81"/>
      <x:c r="L367" s="81"/>
      <x:c r="M367" s="81"/>
      <x:c r="N367" s="81"/>
      <x:c r="O367" s="81"/>
      <x:c r="P367" s="81"/>
      <x:c r="Q367" s="81"/>
      <x:c r="R367" s="81"/>
      <x:c r="S367" s="81"/>
      <x:c r="T367" s="81"/>
      <x:c r="U367" s="81"/>
      <x:c r="V367" s="81"/>
      <x:c r="W367" s="81"/>
      <x:c r="X367" s="81"/>
      <x:c r="Y367" s="81"/>
      <x:c r="Z367" s="81"/>
    </x:row>
    <x:row r="368">
      <x:c r="A368" s="81"/>
      <x:c r="B368" s="81"/>
      <x:c r="C368" s="81"/>
      <x:c r="D368" s="81"/>
      <x:c r="E368" s="81"/>
      <x:c r="F368" s="81"/>
      <x:c r="G368" s="81"/>
      <x:c r="H368" s="81"/>
      <x:c r="I368" s="81"/>
      <x:c r="J368" s="81"/>
      <x:c r="K368" s="81"/>
      <x:c r="L368" s="81"/>
      <x:c r="M368" s="81"/>
      <x:c r="N368" s="81"/>
      <x:c r="O368" s="81"/>
      <x:c r="P368" s="81"/>
      <x:c r="Q368" s="81"/>
      <x:c r="R368" s="81"/>
      <x:c r="S368" s="81"/>
      <x:c r="T368" s="81"/>
      <x:c r="U368" s="81"/>
      <x:c r="V368" s="81"/>
      <x:c r="W368" s="81"/>
      <x:c r="X368" s="81"/>
      <x:c r="Y368" s="81"/>
      <x:c r="Z368" s="81"/>
    </x:row>
    <x:row r="369">
      <x:c r="A369" s="81"/>
      <x:c r="B369" s="81"/>
      <x:c r="C369" s="81"/>
      <x:c r="D369" s="81"/>
      <x:c r="E369" s="81"/>
      <x:c r="F369" s="81"/>
      <x:c r="G369" s="81"/>
      <x:c r="H369" s="81"/>
      <x:c r="I369" s="81"/>
      <x:c r="J369" s="81"/>
      <x:c r="K369" s="81"/>
      <x:c r="L369" s="81"/>
      <x:c r="M369" s="81"/>
      <x:c r="N369" s="81"/>
      <x:c r="O369" s="81"/>
      <x:c r="P369" s="81"/>
      <x:c r="Q369" s="81"/>
      <x:c r="R369" s="81"/>
      <x:c r="S369" s="81"/>
      <x:c r="T369" s="81"/>
      <x:c r="U369" s="81"/>
      <x:c r="V369" s="81"/>
      <x:c r="W369" s="81"/>
      <x:c r="X369" s="81"/>
      <x:c r="Y369" s="81"/>
      <x:c r="Z369" s="81"/>
    </x:row>
    <x:row r="370">
      <x:c r="A370" s="81"/>
      <x:c r="B370" s="81"/>
      <x:c r="C370" s="81"/>
      <x:c r="D370" s="81"/>
      <x:c r="E370" s="81"/>
      <x:c r="F370" s="81"/>
      <x:c r="G370" s="81"/>
      <x:c r="H370" s="81"/>
      <x:c r="I370" s="81"/>
      <x:c r="J370" s="81"/>
      <x:c r="K370" s="81"/>
      <x:c r="L370" s="81"/>
      <x:c r="M370" s="81"/>
      <x:c r="N370" s="81"/>
      <x:c r="O370" s="81"/>
      <x:c r="P370" s="81"/>
      <x:c r="Q370" s="81"/>
      <x:c r="R370" s="81"/>
      <x:c r="S370" s="81"/>
      <x:c r="T370" s="81"/>
      <x:c r="U370" s="81"/>
      <x:c r="V370" s="81"/>
      <x:c r="W370" s="81"/>
      <x:c r="X370" s="81"/>
      <x:c r="Y370" s="81"/>
      <x:c r="Z370" s="81"/>
    </x:row>
    <x:row r="371">
      <x:c r="A371" s="81"/>
      <x:c r="B371" s="81"/>
      <x:c r="C371" s="81"/>
      <x:c r="D371" s="81"/>
      <x:c r="E371" s="81"/>
      <x:c r="F371" s="81"/>
      <x:c r="G371" s="81"/>
      <x:c r="H371" s="81"/>
      <x:c r="I371" s="81"/>
      <x:c r="J371" s="81"/>
      <x:c r="K371" s="81"/>
      <x:c r="L371" s="81"/>
      <x:c r="M371" s="81"/>
      <x:c r="N371" s="81"/>
      <x:c r="O371" s="81"/>
      <x:c r="P371" s="81"/>
      <x:c r="Q371" s="81"/>
      <x:c r="R371" s="81"/>
      <x:c r="S371" s="81"/>
      <x:c r="T371" s="81"/>
      <x:c r="U371" s="81"/>
      <x:c r="V371" s="81"/>
      <x:c r="W371" s="81"/>
      <x:c r="X371" s="81"/>
      <x:c r="Y371" s="81"/>
      <x:c r="Z371" s="81"/>
    </x:row>
    <x:row r="372">
      <x:c r="A372" s="81"/>
      <x:c r="B372" s="81"/>
      <x:c r="C372" s="81"/>
      <x:c r="D372" s="81"/>
      <x:c r="E372" s="81"/>
      <x:c r="F372" s="81"/>
      <x:c r="G372" s="81"/>
      <x:c r="H372" s="81"/>
      <x:c r="I372" s="81"/>
      <x:c r="J372" s="81"/>
      <x:c r="K372" s="81"/>
      <x:c r="L372" s="81"/>
      <x:c r="M372" s="81"/>
      <x:c r="N372" s="81"/>
      <x:c r="O372" s="81"/>
      <x:c r="P372" s="81"/>
      <x:c r="Q372" s="81"/>
      <x:c r="R372" s="81"/>
      <x:c r="S372" s="81"/>
      <x:c r="T372" s="81"/>
      <x:c r="U372" s="81"/>
      <x:c r="V372" s="81"/>
      <x:c r="W372" s="81"/>
      <x:c r="X372" s="81"/>
      <x:c r="Y372" s="81"/>
      <x:c r="Z372" s="81"/>
    </x:row>
    <x:row r="373">
      <x:c r="A373" s="81"/>
      <x:c r="B373" s="81"/>
      <x:c r="C373" s="81"/>
      <x:c r="D373" s="81"/>
      <x:c r="E373" s="81"/>
      <x:c r="F373" s="81"/>
      <x:c r="G373" s="81"/>
      <x:c r="H373" s="81"/>
      <x:c r="I373" s="81"/>
      <x:c r="J373" s="81"/>
      <x:c r="K373" s="81"/>
      <x:c r="L373" s="81"/>
      <x:c r="M373" s="81"/>
      <x:c r="N373" s="81"/>
      <x:c r="O373" s="81"/>
      <x:c r="P373" s="81"/>
      <x:c r="Q373" s="81"/>
      <x:c r="R373" s="81"/>
      <x:c r="S373" s="81"/>
      <x:c r="T373" s="81"/>
      <x:c r="U373" s="81"/>
      <x:c r="V373" s="81"/>
      <x:c r="W373" s="81"/>
      <x:c r="X373" s="81"/>
      <x:c r="Y373" s="81"/>
      <x:c r="Z373" s="81"/>
    </x:row>
    <x:row r="374">
      <x:c r="A374" s="81"/>
      <x:c r="B374" s="81"/>
      <x:c r="C374" s="81"/>
      <x:c r="D374" s="81"/>
      <x:c r="E374" s="81"/>
      <x:c r="F374" s="81"/>
      <x:c r="G374" s="81"/>
      <x:c r="H374" s="81"/>
      <x:c r="I374" s="81"/>
      <x:c r="J374" s="81"/>
      <x:c r="K374" s="81"/>
      <x:c r="L374" s="81"/>
      <x:c r="M374" s="81"/>
      <x:c r="N374" s="81"/>
      <x:c r="O374" s="81"/>
      <x:c r="P374" s="81"/>
      <x:c r="Q374" s="81"/>
      <x:c r="R374" s="81"/>
      <x:c r="S374" s="81"/>
      <x:c r="T374" s="81"/>
      <x:c r="U374" s="81"/>
      <x:c r="V374" s="81"/>
      <x:c r="W374" s="81"/>
      <x:c r="X374" s="81"/>
      <x:c r="Y374" s="81"/>
      <x:c r="Z374" s="81"/>
    </x:row>
    <x:row r="375">
      <x:c r="A375" s="81"/>
      <x:c r="B375" s="81"/>
      <x:c r="C375" s="81"/>
      <x:c r="D375" s="81"/>
      <x:c r="E375" s="81"/>
      <x:c r="F375" s="81"/>
      <x:c r="G375" s="81"/>
      <x:c r="H375" s="81"/>
      <x:c r="I375" s="81"/>
      <x:c r="J375" s="81"/>
      <x:c r="K375" s="81"/>
      <x:c r="L375" s="81"/>
      <x:c r="M375" s="81"/>
      <x:c r="N375" s="81"/>
      <x:c r="O375" s="81"/>
      <x:c r="P375" s="81"/>
      <x:c r="Q375" s="81"/>
      <x:c r="R375" s="81"/>
      <x:c r="S375" s="81"/>
      <x:c r="T375" s="81"/>
      <x:c r="U375" s="81"/>
      <x:c r="V375" s="81"/>
      <x:c r="W375" s="81"/>
      <x:c r="X375" s="81"/>
      <x:c r="Y375" s="81"/>
      <x:c r="Z375" s="81"/>
    </x:row>
    <x:row r="376">
      <x:c r="A376" s="81"/>
      <x:c r="B376" s="81"/>
      <x:c r="C376" s="81"/>
      <x:c r="D376" s="81"/>
      <x:c r="E376" s="81"/>
      <x:c r="F376" s="81"/>
      <x:c r="G376" s="81"/>
      <x:c r="H376" s="81"/>
      <x:c r="I376" s="81"/>
      <x:c r="J376" s="81"/>
      <x:c r="K376" s="81"/>
      <x:c r="L376" s="81"/>
      <x:c r="M376" s="81"/>
      <x:c r="N376" s="81"/>
      <x:c r="O376" s="81"/>
      <x:c r="P376" s="81"/>
      <x:c r="Q376" s="81"/>
      <x:c r="R376" s="81"/>
      <x:c r="S376" s="81"/>
      <x:c r="T376" s="81"/>
      <x:c r="U376" s="81"/>
      <x:c r="V376" s="81"/>
      <x:c r="W376" s="81"/>
      <x:c r="X376" s="81"/>
      <x:c r="Y376" s="81"/>
      <x:c r="Z376" s="81"/>
    </x:row>
    <x:row r="377">
      <x:c r="A377" s="81"/>
      <x:c r="B377" s="81"/>
      <x:c r="C377" s="81"/>
      <x:c r="D377" s="81"/>
      <x:c r="E377" s="81"/>
      <x:c r="F377" s="81"/>
      <x:c r="G377" s="81"/>
      <x:c r="H377" s="81"/>
      <x:c r="I377" s="81"/>
      <x:c r="J377" s="81"/>
      <x:c r="K377" s="81"/>
      <x:c r="L377" s="81"/>
      <x:c r="M377" s="81"/>
      <x:c r="N377" s="81"/>
      <x:c r="O377" s="81"/>
      <x:c r="P377" s="81"/>
      <x:c r="Q377" s="81"/>
      <x:c r="R377" s="81"/>
      <x:c r="S377" s="81"/>
      <x:c r="T377" s="81"/>
      <x:c r="U377" s="81"/>
      <x:c r="V377" s="81"/>
      <x:c r="W377" s="81"/>
      <x:c r="X377" s="81"/>
      <x:c r="Y377" s="81"/>
      <x:c r="Z377" s="81"/>
    </x:row>
    <x:row r="378">
      <x:c r="A378" s="81"/>
      <x:c r="B378" s="81"/>
      <x:c r="C378" s="81"/>
      <x:c r="D378" s="81"/>
      <x:c r="E378" s="81"/>
      <x:c r="F378" s="81"/>
      <x:c r="G378" s="81"/>
      <x:c r="H378" s="81"/>
      <x:c r="I378" s="81"/>
      <x:c r="J378" s="81"/>
      <x:c r="K378" s="81"/>
      <x:c r="L378" s="81"/>
      <x:c r="M378" s="81"/>
      <x:c r="N378" s="81"/>
      <x:c r="O378" s="81"/>
      <x:c r="P378" s="81"/>
      <x:c r="Q378" s="81"/>
      <x:c r="R378" s="81"/>
      <x:c r="S378" s="81"/>
      <x:c r="T378" s="81"/>
      <x:c r="U378" s="81"/>
      <x:c r="V378" s="81"/>
      <x:c r="W378" s="81"/>
      <x:c r="X378" s="81"/>
      <x:c r="Y378" s="81"/>
      <x:c r="Z378" s="81"/>
    </x:row>
    <x:row r="379">
      <x:c r="A379" s="81"/>
      <x:c r="B379" s="81"/>
      <x:c r="C379" s="81"/>
      <x:c r="D379" s="81"/>
      <x:c r="E379" s="81"/>
      <x:c r="F379" s="81"/>
      <x:c r="G379" s="81"/>
      <x:c r="H379" s="81"/>
      <x:c r="I379" s="81"/>
      <x:c r="J379" s="81"/>
      <x:c r="K379" s="81"/>
      <x:c r="L379" s="81"/>
      <x:c r="M379" s="81"/>
      <x:c r="N379" s="81"/>
      <x:c r="O379" s="81"/>
      <x:c r="P379" s="81"/>
      <x:c r="Q379" s="81"/>
      <x:c r="R379" s="81"/>
      <x:c r="S379" s="81"/>
      <x:c r="T379" s="81"/>
      <x:c r="U379" s="81"/>
      <x:c r="V379" s="81"/>
      <x:c r="W379" s="81"/>
      <x:c r="X379" s="81"/>
      <x:c r="Y379" s="81"/>
      <x:c r="Z379" s="81"/>
    </x:row>
    <x:row r="380">
      <x:c r="A380" s="81"/>
      <x:c r="B380" s="81"/>
      <x:c r="C380" s="81"/>
      <x:c r="D380" s="81"/>
      <x:c r="E380" s="81"/>
      <x:c r="F380" s="81"/>
      <x:c r="G380" s="81"/>
      <x:c r="H380" s="81"/>
      <x:c r="I380" s="81"/>
      <x:c r="J380" s="81"/>
      <x:c r="K380" s="81"/>
      <x:c r="L380" s="81"/>
      <x:c r="M380" s="81"/>
      <x:c r="N380" s="81"/>
      <x:c r="O380" s="81"/>
      <x:c r="P380" s="81"/>
      <x:c r="Q380" s="81"/>
      <x:c r="R380" s="81"/>
      <x:c r="S380" s="81"/>
      <x:c r="T380" s="81"/>
      <x:c r="U380" s="81"/>
      <x:c r="V380" s="81"/>
      <x:c r="W380" s="81"/>
      <x:c r="X380" s="81"/>
      <x:c r="Y380" s="81"/>
      <x:c r="Z380" s="81"/>
    </x:row>
    <x:row r="381">
      <x:c r="A381" s="81"/>
      <x:c r="B381" s="81"/>
      <x:c r="C381" s="81"/>
      <x:c r="D381" s="81"/>
      <x:c r="E381" s="81"/>
      <x:c r="F381" s="81"/>
      <x:c r="G381" s="81"/>
      <x:c r="H381" s="81"/>
      <x:c r="I381" s="81"/>
      <x:c r="J381" s="81"/>
      <x:c r="K381" s="81"/>
      <x:c r="L381" s="81"/>
      <x:c r="M381" s="81"/>
      <x:c r="N381" s="81"/>
      <x:c r="O381" s="81"/>
      <x:c r="P381" s="81"/>
      <x:c r="Q381" s="81"/>
      <x:c r="R381" s="81"/>
      <x:c r="S381" s="81"/>
      <x:c r="T381" s="81"/>
      <x:c r="U381" s="81"/>
      <x:c r="V381" s="81"/>
      <x:c r="W381" s="81"/>
      <x:c r="X381" s="81"/>
      <x:c r="Y381" s="81"/>
      <x:c r="Z381" s="81"/>
    </x:row>
    <x:row r="382">
      <x:c r="A382" s="81"/>
      <x:c r="B382" s="81"/>
      <x:c r="C382" s="81"/>
      <x:c r="D382" s="81"/>
      <x:c r="E382" s="81"/>
      <x:c r="F382" s="81"/>
      <x:c r="G382" s="81"/>
      <x:c r="H382" s="81"/>
      <x:c r="I382" s="81"/>
      <x:c r="J382" s="81"/>
      <x:c r="K382" s="81"/>
      <x:c r="L382" s="81"/>
      <x:c r="M382" s="81"/>
      <x:c r="N382" s="81"/>
      <x:c r="O382" s="81"/>
      <x:c r="P382" s="81"/>
      <x:c r="Q382" s="81"/>
      <x:c r="R382" s="81"/>
      <x:c r="S382" s="81"/>
      <x:c r="T382" s="81"/>
      <x:c r="U382" s="81"/>
      <x:c r="V382" s="81"/>
      <x:c r="W382" s="81"/>
      <x:c r="X382" s="81"/>
      <x:c r="Y382" s="81"/>
      <x:c r="Z382" s="81"/>
    </x:row>
    <x:row r="383">
      <x:c r="A383" s="81"/>
      <x:c r="B383" s="81"/>
      <x:c r="C383" s="81"/>
      <x:c r="D383" s="81"/>
      <x:c r="E383" s="81"/>
      <x:c r="F383" s="81"/>
      <x:c r="G383" s="81"/>
      <x:c r="H383" s="81"/>
      <x:c r="I383" s="81"/>
      <x:c r="J383" s="81"/>
      <x:c r="K383" s="81"/>
      <x:c r="L383" s="81"/>
      <x:c r="M383" s="81"/>
      <x:c r="N383" s="81"/>
      <x:c r="O383" s="81"/>
      <x:c r="P383" s="81"/>
      <x:c r="Q383" s="81"/>
      <x:c r="R383" s="81"/>
      <x:c r="S383" s="81"/>
      <x:c r="T383" s="81"/>
      <x:c r="U383" s="81"/>
      <x:c r="V383" s="81"/>
      <x:c r="W383" s="81"/>
      <x:c r="X383" s="81"/>
      <x:c r="Y383" s="81"/>
      <x:c r="Z383" s="81"/>
    </x:row>
    <x:row r="384">
      <x:c r="A384" s="81"/>
      <x:c r="B384" s="81"/>
      <x:c r="C384" s="81"/>
      <x:c r="D384" s="81"/>
      <x:c r="E384" s="81"/>
      <x:c r="F384" s="81"/>
      <x:c r="G384" s="81"/>
      <x:c r="H384" s="81"/>
      <x:c r="I384" s="81"/>
      <x:c r="J384" s="81"/>
      <x:c r="K384" s="81"/>
      <x:c r="L384" s="81"/>
      <x:c r="M384" s="81"/>
      <x:c r="N384" s="81"/>
      <x:c r="O384" s="81"/>
      <x:c r="P384" s="81"/>
      <x:c r="Q384" s="81"/>
      <x:c r="R384" s="81"/>
      <x:c r="S384" s="81"/>
      <x:c r="T384" s="81"/>
      <x:c r="U384" s="81"/>
      <x:c r="V384" s="81"/>
      <x:c r="W384" s="81"/>
      <x:c r="X384" s="81"/>
      <x:c r="Y384" s="81"/>
      <x:c r="Z384" s="81"/>
    </x:row>
    <x:row r="385">
      <x:c r="A385" s="81"/>
      <x:c r="B385" s="81"/>
      <x:c r="C385" s="81"/>
      <x:c r="D385" s="81"/>
      <x:c r="E385" s="81"/>
      <x:c r="F385" s="81"/>
      <x:c r="G385" s="81"/>
      <x:c r="H385" s="81"/>
      <x:c r="I385" s="81"/>
      <x:c r="J385" s="81"/>
      <x:c r="K385" s="81"/>
      <x:c r="L385" s="81"/>
      <x:c r="M385" s="81"/>
      <x:c r="N385" s="81"/>
      <x:c r="O385" s="81"/>
      <x:c r="P385" s="81"/>
      <x:c r="Q385" s="81"/>
      <x:c r="R385" s="81"/>
      <x:c r="S385" s="81"/>
      <x:c r="T385" s="81"/>
      <x:c r="U385" s="81"/>
      <x:c r="V385" s="81"/>
      <x:c r="W385" s="81"/>
      <x:c r="X385" s="81"/>
      <x:c r="Y385" s="81"/>
      <x:c r="Z385" s="81"/>
    </x:row>
    <x:row r="386">
      <x:c r="A386" s="81"/>
      <x:c r="B386" s="81"/>
      <x:c r="C386" s="81"/>
      <x:c r="D386" s="81"/>
      <x:c r="E386" s="81"/>
      <x:c r="F386" s="81"/>
      <x:c r="G386" s="81"/>
      <x:c r="H386" s="81"/>
      <x:c r="I386" s="81"/>
      <x:c r="J386" s="81"/>
      <x:c r="K386" s="81"/>
      <x:c r="L386" s="81"/>
      <x:c r="M386" s="81"/>
      <x:c r="N386" s="81"/>
      <x:c r="O386" s="81"/>
      <x:c r="P386" s="81"/>
      <x:c r="Q386" s="81"/>
      <x:c r="R386" s="81"/>
      <x:c r="S386" s="81"/>
      <x:c r="T386" s="81"/>
      <x:c r="U386" s="81"/>
      <x:c r="V386" s="81"/>
      <x:c r="W386" s="81"/>
      <x:c r="X386" s="81"/>
      <x:c r="Y386" s="81"/>
      <x:c r="Z386" s="81"/>
    </x:row>
    <x:row r="387">
      <x:c r="A387" s="81"/>
      <x:c r="B387" s="81"/>
      <x:c r="C387" s="81"/>
      <x:c r="D387" s="81"/>
      <x:c r="E387" s="81"/>
      <x:c r="F387" s="81"/>
      <x:c r="G387" s="81"/>
      <x:c r="H387" s="81"/>
      <x:c r="I387" s="81"/>
      <x:c r="J387" s="81"/>
      <x:c r="K387" s="81"/>
      <x:c r="L387" s="81"/>
      <x:c r="M387" s="81"/>
      <x:c r="N387" s="81"/>
      <x:c r="O387" s="81"/>
      <x:c r="P387" s="81"/>
      <x:c r="Q387" s="81"/>
      <x:c r="R387" s="81"/>
      <x:c r="S387" s="81"/>
      <x:c r="T387" s="81"/>
      <x:c r="U387" s="81"/>
      <x:c r="V387" s="81"/>
      <x:c r="W387" s="81"/>
      <x:c r="X387" s="81"/>
      <x:c r="Y387" s="81"/>
      <x:c r="Z387" s="81"/>
    </x:row>
    <x:row r="388">
      <x:c r="A388" s="81"/>
      <x:c r="B388" s="81"/>
      <x:c r="C388" s="81"/>
      <x:c r="D388" s="81"/>
      <x:c r="E388" s="81"/>
      <x:c r="F388" s="81"/>
      <x:c r="G388" s="81"/>
      <x:c r="H388" s="81"/>
      <x:c r="I388" s="81"/>
      <x:c r="J388" s="81"/>
      <x:c r="K388" s="81"/>
      <x:c r="L388" s="81"/>
      <x:c r="M388" s="81"/>
      <x:c r="N388" s="81"/>
      <x:c r="O388" s="81"/>
      <x:c r="P388" s="81"/>
      <x:c r="Q388" s="81"/>
      <x:c r="R388" s="81"/>
      <x:c r="S388" s="81"/>
      <x:c r="T388" s="81"/>
      <x:c r="U388" s="81"/>
      <x:c r="V388" s="81"/>
      <x:c r="W388" s="81"/>
      <x:c r="X388" s="81"/>
      <x:c r="Y388" s="81"/>
      <x:c r="Z388" s="81"/>
    </x:row>
    <x:row r="389">
      <x:c r="A389" s="81"/>
      <x:c r="B389" s="81"/>
      <x:c r="C389" s="81"/>
      <x:c r="D389" s="81"/>
      <x:c r="E389" s="81"/>
      <x:c r="F389" s="81"/>
      <x:c r="G389" s="81"/>
      <x:c r="H389" s="81"/>
      <x:c r="I389" s="81"/>
      <x:c r="J389" s="81"/>
      <x:c r="K389" s="81"/>
      <x:c r="L389" s="81"/>
      <x:c r="M389" s="81"/>
      <x:c r="N389" s="81"/>
      <x:c r="O389" s="81"/>
      <x:c r="P389" s="81"/>
      <x:c r="Q389" s="81"/>
      <x:c r="R389" s="81"/>
      <x:c r="S389" s="81"/>
      <x:c r="T389" s="81"/>
      <x:c r="U389" s="81"/>
      <x:c r="V389" s="81"/>
      <x:c r="W389" s="81"/>
      <x:c r="X389" s="81"/>
      <x:c r="Y389" s="81"/>
      <x:c r="Z389" s="81"/>
    </x:row>
    <x:row r="390">
      <x:c r="A390" s="81"/>
      <x:c r="B390" s="81"/>
      <x:c r="C390" s="81"/>
      <x:c r="D390" s="81"/>
      <x:c r="E390" s="81"/>
      <x:c r="F390" s="81"/>
      <x:c r="G390" s="81"/>
      <x:c r="H390" s="81"/>
      <x:c r="I390" s="81"/>
      <x:c r="J390" s="81"/>
      <x:c r="K390" s="81"/>
      <x:c r="L390" s="81"/>
      <x:c r="M390" s="81"/>
      <x:c r="N390" s="81"/>
      <x:c r="O390" s="81"/>
      <x:c r="P390" s="81"/>
      <x:c r="Q390" s="81"/>
      <x:c r="R390" s="81"/>
      <x:c r="S390" s="81"/>
      <x:c r="T390" s="81"/>
      <x:c r="U390" s="81"/>
      <x:c r="V390" s="81"/>
      <x:c r="W390" s="81"/>
      <x:c r="X390" s="81"/>
      <x:c r="Y390" s="81"/>
      <x:c r="Z390" s="81"/>
    </x:row>
    <x:row r="391">
      <x:c r="A391" s="81"/>
      <x:c r="B391" s="81"/>
      <x:c r="C391" s="81"/>
      <x:c r="D391" s="81"/>
      <x:c r="E391" s="81"/>
      <x:c r="F391" s="81"/>
      <x:c r="G391" s="81"/>
      <x:c r="H391" s="81"/>
      <x:c r="I391" s="81"/>
      <x:c r="J391" s="81"/>
      <x:c r="K391" s="81"/>
      <x:c r="L391" s="81"/>
      <x:c r="M391" s="81"/>
      <x:c r="N391" s="81"/>
      <x:c r="O391" s="81"/>
      <x:c r="P391" s="81"/>
      <x:c r="Q391" s="81"/>
      <x:c r="R391" s="81"/>
      <x:c r="S391" s="81"/>
      <x:c r="T391" s="81"/>
      <x:c r="U391" s="81"/>
      <x:c r="V391" s="81"/>
      <x:c r="W391" s="81"/>
      <x:c r="X391" s="81"/>
      <x:c r="Y391" s="81"/>
      <x:c r="Z391" s="81"/>
    </x:row>
    <x:row r="392">
      <x:c r="A392" s="81"/>
      <x:c r="B392" s="81"/>
      <x:c r="C392" s="81"/>
      <x:c r="D392" s="81"/>
      <x:c r="E392" s="81"/>
      <x:c r="F392" s="81"/>
      <x:c r="G392" s="81"/>
      <x:c r="H392" s="81"/>
      <x:c r="I392" s="81"/>
      <x:c r="J392" s="81"/>
      <x:c r="K392" s="81"/>
      <x:c r="L392" s="81"/>
      <x:c r="M392" s="81"/>
      <x:c r="N392" s="81"/>
      <x:c r="O392" s="81"/>
      <x:c r="P392" s="81"/>
      <x:c r="Q392" s="81"/>
      <x:c r="R392" s="81"/>
      <x:c r="S392" s="81"/>
      <x:c r="T392" s="81"/>
      <x:c r="U392" s="81"/>
      <x:c r="V392" s="81"/>
      <x:c r="W392" s="81"/>
      <x:c r="X392" s="81"/>
      <x:c r="Y392" s="81"/>
      <x:c r="Z392" s="81"/>
    </x:row>
    <x:row r="393">
      <x:c r="A393" s="81"/>
      <x:c r="B393" s="81"/>
      <x:c r="C393" s="81"/>
      <x:c r="D393" s="81"/>
      <x:c r="E393" s="81"/>
      <x:c r="F393" s="81"/>
      <x:c r="G393" s="81"/>
      <x:c r="H393" s="81"/>
      <x:c r="I393" s="81"/>
      <x:c r="J393" s="81"/>
      <x:c r="K393" s="81"/>
      <x:c r="L393" s="81"/>
      <x:c r="M393" s="81"/>
      <x:c r="N393" s="81"/>
      <x:c r="O393" s="81"/>
      <x:c r="P393" s="81"/>
      <x:c r="Q393" s="81"/>
      <x:c r="R393" s="81"/>
      <x:c r="S393" s="81"/>
      <x:c r="T393" s="81"/>
      <x:c r="U393" s="81"/>
      <x:c r="V393" s="81"/>
      <x:c r="W393" s="81"/>
      <x:c r="X393" s="81"/>
      <x:c r="Y393" s="81"/>
      <x:c r="Z393" s="81"/>
    </x:row>
    <x:row r="394">
      <x:c r="A394" s="81"/>
      <x:c r="B394" s="81"/>
      <x:c r="C394" s="81"/>
      <x:c r="D394" s="81"/>
      <x:c r="E394" s="81"/>
      <x:c r="F394" s="81"/>
      <x:c r="G394" s="81"/>
      <x:c r="H394" s="81"/>
      <x:c r="I394" s="81"/>
      <x:c r="J394" s="81"/>
      <x:c r="K394" s="81"/>
      <x:c r="L394" s="81"/>
      <x:c r="M394" s="81"/>
      <x:c r="N394" s="81"/>
      <x:c r="O394" s="81"/>
      <x:c r="P394" s="81"/>
      <x:c r="Q394" s="81"/>
      <x:c r="R394" s="81"/>
      <x:c r="S394" s="81"/>
      <x:c r="T394" s="81"/>
      <x:c r="U394" s="81"/>
      <x:c r="V394" s="81"/>
      <x:c r="W394" s="81"/>
      <x:c r="X394" s="81"/>
      <x:c r="Y394" s="81"/>
      <x:c r="Z394" s="81"/>
    </x:row>
    <x:row r="395">
      <x:c r="A395" s="81"/>
      <x:c r="B395" s="81"/>
      <x:c r="C395" s="81"/>
      <x:c r="D395" s="81"/>
      <x:c r="E395" s="81"/>
      <x:c r="F395" s="81"/>
      <x:c r="G395" s="81"/>
      <x:c r="H395" s="81"/>
      <x:c r="I395" s="81"/>
      <x:c r="J395" s="81"/>
      <x:c r="K395" s="81"/>
      <x:c r="L395" s="81"/>
      <x:c r="M395" s="81"/>
      <x:c r="N395" s="81"/>
      <x:c r="O395" s="81"/>
      <x:c r="P395" s="81"/>
      <x:c r="Q395" s="81"/>
      <x:c r="R395" s="81"/>
      <x:c r="S395" s="81"/>
      <x:c r="T395" s="81"/>
      <x:c r="U395" s="81"/>
      <x:c r="V395" s="81"/>
      <x:c r="W395" s="81"/>
      <x:c r="X395" s="81"/>
      <x:c r="Y395" s="81"/>
      <x:c r="Z395" s="81"/>
    </x:row>
    <x:row r="396">
      <x:c r="A396" s="81"/>
      <x:c r="B396" s="81"/>
      <x:c r="C396" s="81"/>
      <x:c r="D396" s="81"/>
      <x:c r="E396" s="81"/>
      <x:c r="F396" s="81"/>
      <x:c r="G396" s="81"/>
      <x:c r="H396" s="81"/>
      <x:c r="I396" s="81"/>
      <x:c r="J396" s="81"/>
      <x:c r="K396" s="81"/>
      <x:c r="L396" s="81"/>
      <x:c r="M396" s="81"/>
      <x:c r="N396" s="81"/>
      <x:c r="O396" s="81"/>
      <x:c r="P396" s="81"/>
      <x:c r="Q396" s="81"/>
      <x:c r="R396" s="81"/>
      <x:c r="S396" s="81"/>
      <x:c r="T396" s="81"/>
      <x:c r="U396" s="81"/>
      <x:c r="V396" s="81"/>
      <x:c r="W396" s="81"/>
      <x:c r="X396" s="81"/>
      <x:c r="Y396" s="81"/>
      <x:c r="Z396" s="81"/>
    </x:row>
    <x:row r="397">
      <x:c r="A397" s="81"/>
      <x:c r="B397" s="81"/>
      <x:c r="C397" s="81"/>
      <x:c r="D397" s="81"/>
      <x:c r="E397" s="81"/>
      <x:c r="F397" s="81"/>
      <x:c r="G397" s="81"/>
      <x:c r="H397" s="81"/>
      <x:c r="I397" s="81"/>
      <x:c r="J397" s="81"/>
      <x:c r="K397" s="81"/>
      <x:c r="L397" s="81"/>
      <x:c r="M397" s="81"/>
      <x:c r="N397" s="81"/>
      <x:c r="O397" s="81"/>
      <x:c r="P397" s="81"/>
      <x:c r="Q397" s="81"/>
      <x:c r="R397" s="81"/>
      <x:c r="S397" s="81"/>
      <x:c r="T397" s="81"/>
      <x:c r="U397" s="81"/>
      <x:c r="V397" s="81"/>
      <x:c r="W397" s="81"/>
      <x:c r="X397" s="81"/>
      <x:c r="Y397" s="81"/>
      <x:c r="Z397" s="81"/>
    </x:row>
    <x:row r="398">
      <x:c r="A398" s="81"/>
      <x:c r="B398" s="81"/>
      <x:c r="C398" s="81"/>
      <x:c r="D398" s="81"/>
      <x:c r="E398" s="81"/>
      <x:c r="F398" s="81"/>
      <x:c r="G398" s="81"/>
      <x:c r="H398" s="81"/>
      <x:c r="I398" s="81"/>
      <x:c r="J398" s="81"/>
      <x:c r="K398" s="81"/>
      <x:c r="L398" s="81"/>
      <x:c r="M398" s="81"/>
      <x:c r="N398" s="81"/>
      <x:c r="O398" s="81"/>
      <x:c r="P398" s="81"/>
      <x:c r="Q398" s="81"/>
      <x:c r="R398" s="81"/>
      <x:c r="S398" s="81"/>
      <x:c r="T398" s="81"/>
      <x:c r="U398" s="81"/>
      <x:c r="V398" s="81"/>
      <x:c r="W398" s="81"/>
      <x:c r="X398" s="81"/>
      <x:c r="Y398" s="81"/>
      <x:c r="Z398" s="81"/>
    </x:row>
    <x:row r="399">
      <x:c r="A399" s="81"/>
      <x:c r="B399" s="81"/>
      <x:c r="C399" s="81"/>
      <x:c r="D399" s="81"/>
      <x:c r="E399" s="81"/>
      <x:c r="F399" s="81"/>
      <x:c r="G399" s="81"/>
      <x:c r="H399" s="81"/>
      <x:c r="I399" s="81"/>
      <x:c r="J399" s="81"/>
      <x:c r="K399" s="81"/>
      <x:c r="L399" s="81"/>
      <x:c r="M399" s="81"/>
      <x:c r="N399" s="81"/>
      <x:c r="O399" s="81"/>
      <x:c r="P399" s="81"/>
      <x:c r="Q399" s="81"/>
      <x:c r="R399" s="81"/>
      <x:c r="S399" s="81"/>
      <x:c r="T399" s="81"/>
      <x:c r="U399" s="81"/>
      <x:c r="V399" s="81"/>
      <x:c r="W399" s="81"/>
      <x:c r="X399" s="81"/>
      <x:c r="Y399" s="81"/>
      <x:c r="Z399" s="81"/>
    </x:row>
    <x:row r="400">
      <x:c r="A400" s="81"/>
      <x:c r="B400" s="81"/>
      <x:c r="C400" s="81"/>
      <x:c r="D400" s="81"/>
      <x:c r="E400" s="81"/>
      <x:c r="F400" s="81"/>
      <x:c r="G400" s="81"/>
      <x:c r="H400" s="81"/>
      <x:c r="I400" s="81"/>
      <x:c r="J400" s="81"/>
      <x:c r="K400" s="81"/>
      <x:c r="L400" s="81"/>
      <x:c r="M400" s="81"/>
      <x:c r="N400" s="81"/>
      <x:c r="O400" s="81"/>
      <x:c r="P400" s="81"/>
      <x:c r="Q400" s="81"/>
      <x:c r="R400" s="81"/>
      <x:c r="S400" s="81"/>
      <x:c r="T400" s="81"/>
      <x:c r="U400" s="81"/>
      <x:c r="V400" s="81"/>
      <x:c r="W400" s="81"/>
      <x:c r="X400" s="81"/>
      <x:c r="Y400" s="81"/>
      <x:c r="Z400" s="81"/>
    </x:row>
    <x:row r="401">
      <x:c r="A401" s="81"/>
      <x:c r="B401" s="81"/>
      <x:c r="C401" s="81"/>
      <x:c r="D401" s="81"/>
      <x:c r="E401" s="81"/>
      <x:c r="F401" s="81"/>
      <x:c r="G401" s="81"/>
      <x:c r="H401" s="81"/>
      <x:c r="I401" s="81"/>
      <x:c r="J401" s="81"/>
      <x:c r="K401" s="81"/>
      <x:c r="L401" s="81"/>
      <x:c r="M401" s="81"/>
      <x:c r="N401" s="81"/>
      <x:c r="O401" s="81"/>
      <x:c r="P401" s="81"/>
      <x:c r="Q401" s="81"/>
      <x:c r="R401" s="81"/>
      <x:c r="S401" s="81"/>
      <x:c r="T401" s="81"/>
      <x:c r="U401" s="81"/>
      <x:c r="V401" s="81"/>
      <x:c r="W401" s="81"/>
      <x:c r="X401" s="81"/>
      <x:c r="Y401" s="81"/>
      <x:c r="Z401" s="81"/>
    </x:row>
    <x:row r="402">
      <x:c r="A402" s="81"/>
      <x:c r="B402" s="81"/>
      <x:c r="C402" s="81"/>
      <x:c r="D402" s="81"/>
      <x:c r="E402" s="81"/>
      <x:c r="F402" s="81"/>
      <x:c r="G402" s="81"/>
      <x:c r="H402" s="81"/>
      <x:c r="I402" s="81"/>
      <x:c r="J402" s="81"/>
      <x:c r="K402" s="81"/>
      <x:c r="L402" s="81"/>
      <x:c r="M402" s="81"/>
      <x:c r="N402" s="81"/>
      <x:c r="O402" s="81"/>
      <x:c r="P402" s="81"/>
      <x:c r="Q402" s="81"/>
      <x:c r="R402" s="81"/>
      <x:c r="S402" s="81"/>
      <x:c r="T402" s="81"/>
      <x:c r="U402" s="81"/>
      <x:c r="V402" s="81"/>
      <x:c r="W402" s="81"/>
      <x:c r="X402" s="81"/>
      <x:c r="Y402" s="81"/>
      <x:c r="Z402" s="81"/>
    </x:row>
    <x:row r="403">
      <x:c r="A403" s="81"/>
      <x:c r="B403" s="81"/>
      <x:c r="C403" s="81"/>
      <x:c r="D403" s="81"/>
      <x:c r="E403" s="81"/>
      <x:c r="F403" s="81"/>
      <x:c r="G403" s="81"/>
      <x:c r="H403" s="81"/>
      <x:c r="I403" s="81"/>
      <x:c r="J403" s="81"/>
      <x:c r="K403" s="81"/>
      <x:c r="L403" s="81"/>
      <x:c r="M403" s="81"/>
      <x:c r="N403" s="81"/>
      <x:c r="O403" s="81"/>
      <x:c r="P403" s="81"/>
      <x:c r="Q403" s="81"/>
      <x:c r="R403" s="81"/>
      <x:c r="S403" s="81"/>
      <x:c r="T403" s="81"/>
      <x:c r="U403" s="81"/>
      <x:c r="V403" s="81"/>
      <x:c r="W403" s="81"/>
      <x:c r="X403" s="81"/>
      <x:c r="Y403" s="81"/>
      <x:c r="Z403" s="81"/>
    </x:row>
    <x:row r="404">
      <x:c r="A404" s="81"/>
      <x:c r="B404" s="81"/>
      <x:c r="C404" s="81"/>
      <x:c r="D404" s="81"/>
      <x:c r="E404" s="81"/>
      <x:c r="F404" s="81"/>
      <x:c r="G404" s="81"/>
      <x:c r="H404" s="81"/>
      <x:c r="I404" s="81"/>
      <x:c r="J404" s="81"/>
      <x:c r="K404" s="81"/>
      <x:c r="L404" s="81"/>
      <x:c r="M404" s="81"/>
      <x:c r="N404" s="81"/>
      <x:c r="O404" s="81"/>
      <x:c r="P404" s="81"/>
      <x:c r="Q404" s="81"/>
      <x:c r="R404" s="81"/>
      <x:c r="S404" s="81"/>
      <x:c r="T404" s="81"/>
      <x:c r="U404" s="81"/>
      <x:c r="V404" s="81"/>
      <x:c r="W404" s="81"/>
      <x:c r="X404" s="81"/>
      <x:c r="Y404" s="81"/>
      <x:c r="Z404" s="81"/>
    </x:row>
    <x:row r="405">
      <x:c r="A405" s="81"/>
      <x:c r="B405" s="81"/>
      <x:c r="C405" s="81"/>
      <x:c r="D405" s="81"/>
      <x:c r="E405" s="81"/>
      <x:c r="F405" s="81"/>
      <x:c r="G405" s="81"/>
      <x:c r="H405" s="81"/>
      <x:c r="I405" s="81"/>
      <x:c r="J405" s="81"/>
      <x:c r="K405" s="81"/>
      <x:c r="L405" s="81"/>
      <x:c r="M405" s="81"/>
      <x:c r="N405" s="81"/>
      <x:c r="O405" s="81"/>
      <x:c r="P405" s="81"/>
      <x:c r="Q405" s="81"/>
      <x:c r="R405" s="81"/>
      <x:c r="S405" s="81"/>
      <x:c r="T405" s="81"/>
      <x:c r="U405" s="81"/>
      <x:c r="V405" s="81"/>
      <x:c r="W405" s="81"/>
      <x:c r="X405" s="81"/>
      <x:c r="Y405" s="81"/>
      <x:c r="Z405" s="81"/>
    </x:row>
    <x:row r="406">
      <x:c r="A406" s="81"/>
      <x:c r="B406" s="81"/>
      <x:c r="C406" s="81"/>
      <x:c r="D406" s="81"/>
      <x:c r="E406" s="81"/>
      <x:c r="F406" s="81"/>
      <x:c r="G406" s="81"/>
      <x:c r="H406" s="81"/>
      <x:c r="I406" s="81"/>
      <x:c r="J406" s="81"/>
      <x:c r="K406" s="81"/>
      <x:c r="L406" s="81"/>
      <x:c r="M406" s="81"/>
      <x:c r="N406" s="81"/>
      <x:c r="O406" s="81"/>
      <x:c r="P406" s="81"/>
      <x:c r="Q406" s="81"/>
      <x:c r="R406" s="81"/>
      <x:c r="S406" s="81"/>
      <x:c r="T406" s="81"/>
      <x:c r="U406" s="81"/>
      <x:c r="V406" s="81"/>
      <x:c r="W406" s="81"/>
      <x:c r="X406" s="81"/>
      <x:c r="Y406" s="81"/>
      <x:c r="Z406" s="81"/>
    </x:row>
    <x:row r="407">
      <x:c r="A407" s="81"/>
      <x:c r="B407" s="81"/>
      <x:c r="C407" s="81"/>
      <x:c r="D407" s="81"/>
      <x:c r="E407" s="81"/>
      <x:c r="F407" s="81"/>
      <x:c r="G407" s="81"/>
      <x:c r="H407" s="81"/>
      <x:c r="I407" s="81"/>
      <x:c r="J407" s="81"/>
      <x:c r="K407" s="81"/>
      <x:c r="L407" s="81"/>
      <x:c r="M407" s="81"/>
      <x:c r="N407" s="81"/>
      <x:c r="O407" s="81"/>
      <x:c r="P407" s="81"/>
      <x:c r="Q407" s="81"/>
      <x:c r="R407" s="81"/>
      <x:c r="S407" s="81"/>
      <x:c r="T407" s="81"/>
      <x:c r="U407" s="81"/>
      <x:c r="V407" s="81"/>
      <x:c r="W407" s="81"/>
      <x:c r="X407" s="81"/>
      <x:c r="Y407" s="81"/>
      <x:c r="Z407" s="81"/>
    </x:row>
    <x:row r="408">
      <x:c r="A408" s="81"/>
      <x:c r="B408" s="81"/>
      <x:c r="C408" s="81"/>
      <x:c r="D408" s="81"/>
      <x:c r="E408" s="81"/>
      <x:c r="F408" s="81"/>
      <x:c r="G408" s="81"/>
      <x:c r="H408" s="81"/>
      <x:c r="I408" s="81"/>
      <x:c r="J408" s="81"/>
      <x:c r="K408" s="81"/>
      <x:c r="L408" s="81"/>
      <x:c r="M408" s="81"/>
      <x:c r="N408" s="81"/>
      <x:c r="O408" s="81"/>
      <x:c r="P408" s="81"/>
      <x:c r="Q408" s="81"/>
      <x:c r="R408" s="81"/>
      <x:c r="S408" s="81"/>
      <x:c r="T408" s="81"/>
      <x:c r="U408" s="81"/>
      <x:c r="V408" s="81"/>
      <x:c r="W408" s="81"/>
      <x:c r="X408" s="81"/>
      <x:c r="Y408" s="81"/>
      <x:c r="Z408" s="81"/>
    </x:row>
    <x:row r="409">
      <x:c r="A409" s="81"/>
      <x:c r="B409" s="81"/>
      <x:c r="C409" s="81"/>
      <x:c r="D409" s="81"/>
      <x:c r="E409" s="81"/>
      <x:c r="F409" s="81"/>
      <x:c r="G409" s="81"/>
      <x:c r="H409" s="81"/>
      <x:c r="I409" s="81"/>
      <x:c r="J409" s="81"/>
      <x:c r="K409" s="81"/>
      <x:c r="L409" s="81"/>
      <x:c r="M409" s="81"/>
      <x:c r="N409" s="81"/>
      <x:c r="O409" s="81"/>
      <x:c r="P409" s="81"/>
      <x:c r="Q409" s="81"/>
      <x:c r="R409" s="81"/>
      <x:c r="S409" s="81"/>
      <x:c r="T409" s="81"/>
      <x:c r="U409" s="81"/>
      <x:c r="V409" s="81"/>
      <x:c r="W409" s="81"/>
      <x:c r="X409" s="81"/>
      <x:c r="Y409" s="81"/>
      <x:c r="Z409" s="81"/>
    </x:row>
    <x:row r="410">
      <x:c r="A410" s="81"/>
      <x:c r="B410" s="81"/>
      <x:c r="C410" s="81"/>
      <x:c r="D410" s="81"/>
      <x:c r="E410" s="81"/>
      <x:c r="F410" s="81"/>
      <x:c r="G410" s="81"/>
      <x:c r="H410" s="81"/>
      <x:c r="I410" s="81"/>
      <x:c r="J410" s="81"/>
      <x:c r="K410" s="81"/>
      <x:c r="L410" s="81"/>
      <x:c r="M410" s="81"/>
      <x:c r="N410" s="81"/>
      <x:c r="O410" s="81"/>
      <x:c r="P410" s="81"/>
      <x:c r="Q410" s="81"/>
      <x:c r="R410" s="81"/>
      <x:c r="S410" s="81"/>
      <x:c r="T410" s="81"/>
      <x:c r="U410" s="81"/>
      <x:c r="V410" s="81"/>
      <x:c r="W410" s="81"/>
      <x:c r="X410" s="81"/>
      <x:c r="Y410" s="81"/>
      <x:c r="Z410" s="81"/>
    </x:row>
    <x:row r="411">
      <x:c r="A411" s="81"/>
      <x:c r="B411" s="81"/>
      <x:c r="C411" s="81"/>
      <x:c r="D411" s="81"/>
      <x:c r="E411" s="81"/>
      <x:c r="F411" s="81"/>
      <x:c r="G411" s="81"/>
      <x:c r="H411" s="81"/>
      <x:c r="I411" s="81"/>
      <x:c r="J411" s="81"/>
      <x:c r="K411" s="81"/>
      <x:c r="L411" s="81"/>
      <x:c r="M411" s="81"/>
      <x:c r="N411" s="81"/>
      <x:c r="O411" s="81"/>
      <x:c r="P411" s="81"/>
      <x:c r="Q411" s="81"/>
      <x:c r="R411" s="81"/>
      <x:c r="S411" s="81"/>
      <x:c r="T411" s="81"/>
      <x:c r="U411" s="81"/>
      <x:c r="V411" s="81"/>
      <x:c r="W411" s="81"/>
      <x:c r="X411" s="81"/>
      <x:c r="Y411" s="81"/>
      <x:c r="Z411" s="81"/>
    </x:row>
    <x:row r="412">
      <x:c r="A412" s="81"/>
      <x:c r="B412" s="81"/>
      <x:c r="C412" s="81"/>
      <x:c r="D412" s="81"/>
      <x:c r="E412" s="81"/>
      <x:c r="F412" s="81"/>
      <x:c r="G412" s="81"/>
      <x:c r="H412" s="81"/>
      <x:c r="I412" s="81"/>
      <x:c r="J412" s="81"/>
      <x:c r="K412" s="81"/>
      <x:c r="L412" s="81"/>
      <x:c r="M412" s="81"/>
      <x:c r="N412" s="81"/>
      <x:c r="O412" s="81"/>
      <x:c r="P412" s="81"/>
      <x:c r="Q412" s="81"/>
      <x:c r="R412" s="81"/>
      <x:c r="S412" s="81"/>
      <x:c r="T412" s="81"/>
      <x:c r="U412" s="81"/>
      <x:c r="V412" s="81"/>
      <x:c r="W412" s="81"/>
      <x:c r="X412" s="81"/>
      <x:c r="Y412" s="81"/>
      <x:c r="Z412" s="81"/>
    </x:row>
    <x:row r="413">
      <x:c r="A413" s="81"/>
      <x:c r="B413" s="81"/>
      <x:c r="C413" s="81"/>
      <x:c r="D413" s="81"/>
      <x:c r="E413" s="81"/>
      <x:c r="F413" s="81"/>
      <x:c r="G413" s="81"/>
      <x:c r="H413" s="81"/>
      <x:c r="I413" s="81"/>
      <x:c r="J413" s="81"/>
      <x:c r="K413" s="81"/>
      <x:c r="L413" s="81"/>
      <x:c r="M413" s="81"/>
      <x:c r="N413" s="81"/>
      <x:c r="O413" s="81"/>
      <x:c r="P413" s="81"/>
      <x:c r="Q413" s="81"/>
      <x:c r="R413" s="81"/>
      <x:c r="S413" s="81"/>
      <x:c r="T413" s="81"/>
      <x:c r="U413" s="81"/>
      <x:c r="V413" s="81"/>
      <x:c r="W413" s="81"/>
      <x:c r="X413" s="81"/>
      <x:c r="Y413" s="81"/>
      <x:c r="Z413" s="81"/>
    </x:row>
    <x:row r="414">
      <x:c r="A414" s="81"/>
      <x:c r="B414" s="81"/>
      <x:c r="C414" s="81"/>
      <x:c r="D414" s="81"/>
      <x:c r="E414" s="81"/>
      <x:c r="F414" s="81"/>
      <x:c r="G414" s="81"/>
      <x:c r="H414" s="81"/>
      <x:c r="I414" s="81"/>
      <x:c r="J414" s="81"/>
      <x:c r="K414" s="81"/>
      <x:c r="L414" s="81"/>
      <x:c r="M414" s="81"/>
      <x:c r="N414" s="81"/>
      <x:c r="O414" s="81"/>
      <x:c r="P414" s="81"/>
      <x:c r="Q414" s="81"/>
      <x:c r="R414" s="81"/>
      <x:c r="S414" s="81"/>
      <x:c r="T414" s="81"/>
      <x:c r="U414" s="81"/>
      <x:c r="V414" s="81"/>
      <x:c r="W414" s="81"/>
      <x:c r="X414" s="81"/>
      <x:c r="Y414" s="81"/>
      <x:c r="Z414" s="81"/>
    </x:row>
    <x:row r="415">
      <x:c r="A415" s="81"/>
      <x:c r="B415" s="81"/>
      <x:c r="C415" s="81"/>
      <x:c r="D415" s="81"/>
      <x:c r="E415" s="81"/>
      <x:c r="F415" s="81"/>
      <x:c r="G415" s="81"/>
      <x:c r="H415" s="81"/>
      <x:c r="I415" s="81"/>
      <x:c r="J415" s="81"/>
      <x:c r="K415" s="81"/>
      <x:c r="L415" s="81"/>
      <x:c r="M415" s="81"/>
      <x:c r="N415" s="81"/>
      <x:c r="O415" s="81"/>
      <x:c r="P415" s="81"/>
      <x:c r="Q415" s="81"/>
      <x:c r="R415" s="81"/>
      <x:c r="S415" s="81"/>
      <x:c r="T415" s="81"/>
      <x:c r="U415" s="81"/>
      <x:c r="V415" s="81"/>
      <x:c r="W415" s="81"/>
      <x:c r="X415" s="81"/>
      <x:c r="Y415" s="81"/>
      <x:c r="Z415" s="81"/>
    </x:row>
    <x:row r="416">
      <x:c r="A416" s="81"/>
      <x:c r="B416" s="81"/>
      <x:c r="C416" s="81"/>
      <x:c r="D416" s="81"/>
      <x:c r="E416" s="81"/>
      <x:c r="F416" s="81"/>
      <x:c r="G416" s="81"/>
      <x:c r="H416" s="81"/>
      <x:c r="I416" s="81"/>
      <x:c r="J416" s="81"/>
      <x:c r="K416" s="81"/>
      <x:c r="L416" s="81"/>
      <x:c r="M416" s="81"/>
      <x:c r="N416" s="81"/>
      <x:c r="O416" s="81"/>
      <x:c r="P416" s="81"/>
      <x:c r="Q416" s="81"/>
      <x:c r="R416" s="81"/>
      <x:c r="S416" s="81"/>
      <x:c r="T416" s="81"/>
      <x:c r="U416" s="81"/>
      <x:c r="V416" s="81"/>
      <x:c r="W416" s="81"/>
      <x:c r="X416" s="81"/>
      <x:c r="Y416" s="81"/>
      <x:c r="Z416" s="81"/>
    </x:row>
    <x:row r="417">
      <x:c r="A417" s="81"/>
      <x:c r="B417" s="81"/>
      <x:c r="C417" s="81"/>
      <x:c r="D417" s="81"/>
      <x:c r="E417" s="81"/>
      <x:c r="F417" s="81"/>
      <x:c r="G417" s="81"/>
      <x:c r="H417" s="81"/>
      <x:c r="I417" s="81"/>
      <x:c r="J417" s="81"/>
      <x:c r="K417" s="81"/>
      <x:c r="L417" s="81"/>
      <x:c r="M417" s="81"/>
      <x:c r="N417" s="81"/>
      <x:c r="O417" s="81"/>
      <x:c r="P417" s="81"/>
      <x:c r="Q417" s="81"/>
      <x:c r="R417" s="81"/>
      <x:c r="S417" s="81"/>
      <x:c r="T417" s="81"/>
      <x:c r="U417" s="81"/>
      <x:c r="V417" s="81"/>
      <x:c r="W417" s="81"/>
      <x:c r="X417" s="81"/>
      <x:c r="Y417" s="81"/>
      <x:c r="Z417" s="81"/>
    </x:row>
    <x:row r="418">
      <x:c r="A418" s="81"/>
      <x:c r="B418" s="81"/>
      <x:c r="C418" s="81"/>
      <x:c r="D418" s="81"/>
      <x:c r="E418" s="81"/>
      <x:c r="F418" s="81"/>
      <x:c r="G418" s="81"/>
      <x:c r="H418" s="81"/>
      <x:c r="I418" s="81"/>
      <x:c r="J418" s="81"/>
      <x:c r="K418" s="81"/>
      <x:c r="L418" s="81"/>
      <x:c r="M418" s="81"/>
      <x:c r="N418" s="81"/>
      <x:c r="O418" s="81"/>
      <x:c r="P418" s="81"/>
      <x:c r="Q418" s="81"/>
      <x:c r="R418" s="81"/>
      <x:c r="S418" s="81"/>
      <x:c r="T418" s="81"/>
      <x:c r="U418" s="81"/>
      <x:c r="V418" s="81"/>
      <x:c r="W418" s="81"/>
      <x:c r="X418" s="81"/>
      <x:c r="Y418" s="81"/>
      <x:c r="Z418" s="81"/>
    </x:row>
    <x:row r="419">
      <x:c r="A419" s="81"/>
      <x:c r="B419" s="81"/>
      <x:c r="C419" s="81"/>
      <x:c r="D419" s="81"/>
      <x:c r="E419" s="81"/>
      <x:c r="F419" s="81"/>
      <x:c r="G419" s="81"/>
      <x:c r="H419" s="81"/>
      <x:c r="I419" s="81"/>
      <x:c r="J419" s="81"/>
      <x:c r="K419" s="81"/>
      <x:c r="L419" s="81"/>
      <x:c r="M419" s="81"/>
      <x:c r="N419" s="81"/>
      <x:c r="O419" s="81"/>
      <x:c r="P419" s="81"/>
      <x:c r="Q419" s="81"/>
      <x:c r="R419" s="81"/>
      <x:c r="S419" s="81"/>
      <x:c r="T419" s="81"/>
      <x:c r="U419" s="81"/>
      <x:c r="V419" s="81"/>
      <x:c r="W419" s="81"/>
      <x:c r="X419" s="81"/>
      <x:c r="Y419" s="81"/>
      <x:c r="Z419" s="81"/>
    </x:row>
    <x:row r="420">
      <x:c r="A420" s="81"/>
      <x:c r="B420" s="81"/>
      <x:c r="C420" s="81"/>
      <x:c r="D420" s="81"/>
      <x:c r="E420" s="81"/>
      <x:c r="F420" s="81"/>
      <x:c r="G420" s="81"/>
      <x:c r="H420" s="81"/>
      <x:c r="I420" s="81"/>
      <x:c r="J420" s="81"/>
      <x:c r="K420" s="81"/>
      <x:c r="L420" s="81"/>
      <x:c r="M420" s="81"/>
      <x:c r="N420" s="81"/>
      <x:c r="O420" s="81"/>
      <x:c r="P420" s="81"/>
      <x:c r="Q420" s="81"/>
      <x:c r="R420" s="81"/>
      <x:c r="S420" s="81"/>
      <x:c r="T420" s="81"/>
      <x:c r="U420" s="81"/>
      <x:c r="V420" s="81"/>
      <x:c r="W420" s="81"/>
      <x:c r="X420" s="81"/>
      <x:c r="Y420" s="81"/>
      <x:c r="Z420" s="81"/>
    </x:row>
    <x:row r="421">
      <x:c r="A421" s="81"/>
      <x:c r="B421" s="81"/>
      <x:c r="C421" s="81"/>
      <x:c r="D421" s="81"/>
      <x:c r="E421" s="81"/>
      <x:c r="F421" s="81"/>
      <x:c r="G421" s="81"/>
      <x:c r="H421" s="81"/>
      <x:c r="I421" s="81"/>
      <x:c r="J421" s="81"/>
      <x:c r="K421" s="81"/>
      <x:c r="L421" s="81"/>
      <x:c r="M421" s="81"/>
      <x:c r="N421" s="81"/>
      <x:c r="O421" s="81"/>
      <x:c r="P421" s="81"/>
      <x:c r="Q421" s="81"/>
      <x:c r="R421" s="81"/>
      <x:c r="S421" s="81"/>
      <x:c r="T421" s="81"/>
      <x:c r="U421" s="81"/>
      <x:c r="V421" s="81"/>
      <x:c r="W421" s="81"/>
      <x:c r="X421" s="81"/>
      <x:c r="Y421" s="81"/>
      <x:c r="Z421" s="81"/>
    </x:row>
    <x:row r="422">
      <x:c r="A422" s="81"/>
      <x:c r="B422" s="81"/>
      <x:c r="C422" s="81"/>
      <x:c r="D422" s="81"/>
      <x:c r="E422" s="81"/>
      <x:c r="F422" s="81"/>
      <x:c r="G422" s="81"/>
      <x:c r="H422" s="81"/>
      <x:c r="I422" s="81"/>
      <x:c r="J422" s="81"/>
      <x:c r="K422" s="81"/>
      <x:c r="L422" s="81"/>
      <x:c r="M422" s="81"/>
      <x:c r="N422" s="81"/>
      <x:c r="O422" s="81"/>
      <x:c r="P422" s="81"/>
      <x:c r="Q422" s="81"/>
      <x:c r="R422" s="81"/>
      <x:c r="S422" s="81"/>
      <x:c r="T422" s="81"/>
      <x:c r="U422" s="81"/>
      <x:c r="V422" s="81"/>
      <x:c r="W422" s="81"/>
      <x:c r="X422" s="81"/>
      <x:c r="Y422" s="81"/>
      <x:c r="Z422" s="81"/>
    </x:row>
    <x:row r="423">
      <x:c r="A423" s="81"/>
      <x:c r="B423" s="81"/>
      <x:c r="C423" s="81"/>
      <x:c r="D423" s="81"/>
      <x:c r="E423" s="81"/>
      <x:c r="F423" s="81"/>
      <x:c r="G423" s="81"/>
      <x:c r="H423" s="81"/>
      <x:c r="I423" s="81"/>
      <x:c r="J423" s="81"/>
      <x:c r="K423" s="81"/>
      <x:c r="L423" s="81"/>
      <x:c r="M423" s="81"/>
      <x:c r="N423" s="81"/>
      <x:c r="O423" s="81"/>
      <x:c r="P423" s="81"/>
      <x:c r="Q423" s="81"/>
      <x:c r="R423" s="81"/>
      <x:c r="S423" s="81"/>
      <x:c r="T423" s="81"/>
      <x:c r="U423" s="81"/>
      <x:c r="V423" s="81"/>
      <x:c r="W423" s="81"/>
      <x:c r="X423" s="81"/>
      <x:c r="Y423" s="81"/>
      <x:c r="Z423" s="81"/>
    </x:row>
    <x:row r="424">
      <x:c r="A424" s="81"/>
      <x:c r="B424" s="81"/>
      <x:c r="C424" s="81"/>
      <x:c r="D424" s="81"/>
      <x:c r="E424" s="81"/>
      <x:c r="F424" s="81"/>
      <x:c r="G424" s="81"/>
      <x:c r="H424" s="81"/>
      <x:c r="I424" s="81"/>
      <x:c r="J424" s="81"/>
      <x:c r="K424" s="81"/>
      <x:c r="L424" s="81"/>
      <x:c r="M424" s="81"/>
      <x:c r="N424" s="81"/>
      <x:c r="O424" s="81"/>
      <x:c r="P424" s="81"/>
      <x:c r="Q424" s="81"/>
      <x:c r="R424" s="81"/>
      <x:c r="S424" s="81"/>
      <x:c r="T424" s="81"/>
      <x:c r="U424" s="81"/>
      <x:c r="V424" s="81"/>
      <x:c r="W424" s="81"/>
      <x:c r="X424" s="81"/>
      <x:c r="Y424" s="81"/>
      <x:c r="Z424" s="81"/>
    </x:row>
    <x:row r="425">
      <x:c r="A425" s="81"/>
      <x:c r="B425" s="81"/>
      <x:c r="C425" s="81"/>
      <x:c r="D425" s="81"/>
      <x:c r="E425" s="81"/>
      <x:c r="F425" s="81"/>
      <x:c r="G425" s="81"/>
      <x:c r="H425" s="81"/>
      <x:c r="I425" s="81"/>
      <x:c r="J425" s="81"/>
      <x:c r="K425" s="81"/>
      <x:c r="L425" s="81"/>
      <x:c r="M425" s="81"/>
      <x:c r="N425" s="81"/>
      <x:c r="O425" s="81"/>
      <x:c r="P425" s="81"/>
      <x:c r="Q425" s="81"/>
      <x:c r="R425" s="81"/>
      <x:c r="S425" s="81"/>
      <x:c r="T425" s="81"/>
      <x:c r="U425" s="81"/>
      <x:c r="V425" s="81"/>
      <x:c r="W425" s="81"/>
      <x:c r="X425" s="81"/>
      <x:c r="Y425" s="81"/>
      <x:c r="Z425" s="81"/>
    </x:row>
    <x:row r="426">
      <x:c r="A426" s="81"/>
      <x:c r="B426" s="81"/>
      <x:c r="C426" s="81"/>
      <x:c r="D426" s="81"/>
      <x:c r="E426" s="81"/>
      <x:c r="F426" s="81"/>
      <x:c r="G426" s="81"/>
      <x:c r="H426" s="81"/>
      <x:c r="I426" s="81"/>
      <x:c r="J426" s="81"/>
      <x:c r="K426" s="81"/>
      <x:c r="L426" s="81"/>
      <x:c r="M426" s="81"/>
      <x:c r="N426" s="81"/>
      <x:c r="O426" s="81"/>
      <x:c r="P426" s="81"/>
      <x:c r="Q426" s="81"/>
      <x:c r="R426" s="81"/>
      <x:c r="S426" s="81"/>
      <x:c r="T426" s="81"/>
      <x:c r="U426" s="81"/>
      <x:c r="V426" s="81"/>
      <x:c r="W426" s="81"/>
      <x:c r="X426" s="81"/>
      <x:c r="Y426" s="81"/>
      <x:c r="Z426" s="81"/>
    </x:row>
    <x:row r="427">
      <x:c r="A427" s="81"/>
      <x:c r="B427" s="81"/>
      <x:c r="C427" s="81"/>
      <x:c r="D427" s="81"/>
      <x:c r="E427" s="81"/>
      <x:c r="F427" s="81"/>
      <x:c r="G427" s="81"/>
      <x:c r="H427" s="81"/>
      <x:c r="I427" s="81"/>
      <x:c r="J427" s="81"/>
      <x:c r="K427" s="81"/>
      <x:c r="L427" s="81"/>
      <x:c r="M427" s="81"/>
      <x:c r="N427" s="81"/>
      <x:c r="O427" s="81"/>
      <x:c r="P427" s="81"/>
      <x:c r="Q427" s="81"/>
      <x:c r="R427" s="81"/>
      <x:c r="S427" s="81"/>
      <x:c r="T427" s="81"/>
      <x:c r="U427" s="81"/>
      <x:c r="V427" s="81"/>
      <x:c r="W427" s="81"/>
      <x:c r="X427" s="81"/>
      <x:c r="Y427" s="81"/>
      <x:c r="Z427" s="81"/>
    </x:row>
    <x:row r="428">
      <x:c r="A428" s="81"/>
      <x:c r="B428" s="81"/>
      <x:c r="C428" s="81"/>
      <x:c r="D428" s="81"/>
      <x:c r="E428" s="81"/>
      <x:c r="F428" s="81"/>
      <x:c r="G428" s="81"/>
      <x:c r="H428" s="81"/>
      <x:c r="I428" s="81"/>
      <x:c r="J428" s="81"/>
      <x:c r="K428" s="81"/>
      <x:c r="L428" s="81"/>
      <x:c r="M428" s="81"/>
      <x:c r="N428" s="81"/>
      <x:c r="O428" s="81"/>
      <x:c r="P428" s="81"/>
      <x:c r="Q428" s="81"/>
      <x:c r="R428" s="81"/>
      <x:c r="S428" s="81"/>
      <x:c r="T428" s="81"/>
      <x:c r="U428" s="81"/>
      <x:c r="V428" s="81"/>
      <x:c r="W428" s="81"/>
      <x:c r="X428" s="81"/>
      <x:c r="Y428" s="81"/>
      <x:c r="Z428" s="81"/>
    </x:row>
    <x:row r="429">
      <x:c r="A429" s="81"/>
      <x:c r="B429" s="81"/>
      <x:c r="C429" s="81"/>
      <x:c r="D429" s="81"/>
      <x:c r="E429" s="81"/>
      <x:c r="F429" s="81"/>
      <x:c r="G429" s="81"/>
      <x:c r="H429" s="81"/>
      <x:c r="I429" s="81"/>
      <x:c r="J429" s="81"/>
      <x:c r="K429" s="81"/>
      <x:c r="L429" s="81"/>
      <x:c r="M429" s="81"/>
      <x:c r="N429" s="81"/>
      <x:c r="O429" s="81"/>
      <x:c r="P429" s="81"/>
      <x:c r="Q429" s="81"/>
      <x:c r="R429" s="81"/>
      <x:c r="S429" s="81"/>
      <x:c r="T429" s="81"/>
      <x:c r="U429" s="81"/>
      <x:c r="V429" s="81"/>
      <x:c r="W429" s="81"/>
      <x:c r="X429" s="81"/>
      <x:c r="Y429" s="81"/>
      <x:c r="Z429" s="81"/>
    </x:row>
    <x:row r="430">
      <x:c r="A430" s="81"/>
      <x:c r="B430" s="81"/>
      <x:c r="C430" s="81"/>
      <x:c r="D430" s="81"/>
      <x:c r="E430" s="81"/>
      <x:c r="F430" s="81"/>
      <x:c r="G430" s="81"/>
      <x:c r="H430" s="81"/>
      <x:c r="I430" s="81"/>
      <x:c r="J430" s="81"/>
      <x:c r="K430" s="81"/>
      <x:c r="L430" s="81"/>
      <x:c r="M430" s="81"/>
      <x:c r="N430" s="81"/>
      <x:c r="O430" s="81"/>
      <x:c r="P430" s="81"/>
      <x:c r="Q430" s="81"/>
      <x:c r="R430" s="81"/>
      <x:c r="S430" s="81"/>
      <x:c r="T430" s="81"/>
      <x:c r="U430" s="81"/>
      <x:c r="V430" s="81"/>
      <x:c r="W430" s="81"/>
      <x:c r="X430" s="81"/>
      <x:c r="Y430" s="81"/>
      <x:c r="Z430" s="81"/>
    </x:row>
    <x:row r="431">
      <x:c r="A431" s="81"/>
      <x:c r="B431" s="81"/>
      <x:c r="C431" s="81"/>
      <x:c r="D431" s="81"/>
      <x:c r="E431" s="81"/>
      <x:c r="F431" s="81"/>
      <x:c r="G431" s="81"/>
      <x:c r="H431" s="81"/>
      <x:c r="I431" s="81"/>
      <x:c r="J431" s="81"/>
      <x:c r="K431" s="81"/>
      <x:c r="L431" s="81"/>
      <x:c r="M431" s="81"/>
      <x:c r="N431" s="81"/>
      <x:c r="O431" s="81"/>
      <x:c r="P431" s="81"/>
      <x:c r="Q431" s="81"/>
      <x:c r="R431" s="81"/>
      <x:c r="S431" s="81"/>
      <x:c r="T431" s="81"/>
      <x:c r="U431" s="81"/>
      <x:c r="V431" s="81"/>
      <x:c r="W431" s="81"/>
      <x:c r="X431" s="81"/>
      <x:c r="Y431" s="81"/>
      <x:c r="Z431" s="81"/>
    </x:row>
    <x:row r="432">
      <x:c r="A432" s="81"/>
      <x:c r="B432" s="81"/>
      <x:c r="C432" s="81"/>
      <x:c r="D432" s="81"/>
      <x:c r="E432" s="81"/>
      <x:c r="F432" s="81"/>
      <x:c r="G432" s="81"/>
      <x:c r="H432" s="81"/>
      <x:c r="I432" s="81"/>
      <x:c r="J432" s="81"/>
      <x:c r="K432" s="81"/>
      <x:c r="L432" s="81"/>
      <x:c r="M432" s="81"/>
      <x:c r="N432" s="81"/>
      <x:c r="O432" s="81"/>
      <x:c r="P432" s="81"/>
      <x:c r="Q432" s="81"/>
      <x:c r="R432" s="81"/>
      <x:c r="S432" s="81"/>
      <x:c r="T432" s="81"/>
      <x:c r="U432" s="81"/>
      <x:c r="V432" s="81"/>
      <x:c r="W432" s="81"/>
      <x:c r="X432" s="81"/>
      <x:c r="Y432" s="81"/>
      <x:c r="Z432" s="81"/>
    </x:row>
    <x:row r="433">
      <x:c r="A433" s="81"/>
      <x:c r="B433" s="81"/>
      <x:c r="C433" s="81"/>
      <x:c r="D433" s="81"/>
      <x:c r="E433" s="81"/>
      <x:c r="F433" s="81"/>
      <x:c r="G433" s="81"/>
      <x:c r="H433" s="81"/>
      <x:c r="I433" s="81"/>
      <x:c r="J433" s="81"/>
      <x:c r="K433" s="81"/>
      <x:c r="L433" s="81"/>
      <x:c r="M433" s="81"/>
      <x:c r="N433" s="81"/>
      <x:c r="O433" s="81"/>
      <x:c r="P433" s="81"/>
      <x:c r="Q433" s="81"/>
      <x:c r="R433" s="81"/>
      <x:c r="S433" s="81"/>
      <x:c r="T433" s="81"/>
      <x:c r="U433" s="81"/>
      <x:c r="V433" s="81"/>
      <x:c r="W433" s="81"/>
      <x:c r="X433" s="81"/>
      <x:c r="Y433" s="81"/>
      <x:c r="Z433" s="81"/>
    </x:row>
    <x:row r="434">
      <x:c r="A434" s="81"/>
      <x:c r="B434" s="81"/>
      <x:c r="C434" s="81"/>
      <x:c r="D434" s="81"/>
      <x:c r="E434" s="81"/>
      <x:c r="F434" s="81"/>
      <x:c r="G434" s="81"/>
      <x:c r="H434" s="81"/>
      <x:c r="I434" s="81"/>
      <x:c r="J434" s="81"/>
      <x:c r="K434" s="81"/>
      <x:c r="L434" s="81"/>
      <x:c r="M434" s="81"/>
      <x:c r="N434" s="81"/>
      <x:c r="O434" s="81"/>
      <x:c r="P434" s="81"/>
      <x:c r="Q434" s="81"/>
      <x:c r="R434" s="81"/>
      <x:c r="S434" s="81"/>
      <x:c r="T434" s="81"/>
      <x:c r="U434" s="81"/>
      <x:c r="V434" s="81"/>
      <x:c r="W434" s="81"/>
      <x:c r="X434" s="81"/>
      <x:c r="Y434" s="81"/>
      <x:c r="Z434" s="81"/>
    </x:row>
    <x:row r="435">
      <x:c r="A435" s="81"/>
      <x:c r="B435" s="81"/>
      <x:c r="C435" s="81"/>
      <x:c r="D435" s="81"/>
      <x:c r="E435" s="81"/>
      <x:c r="F435" s="81"/>
      <x:c r="G435" s="81"/>
      <x:c r="H435" s="81"/>
      <x:c r="I435" s="81"/>
      <x:c r="J435" s="81"/>
      <x:c r="K435" s="81"/>
      <x:c r="L435" s="81"/>
      <x:c r="M435" s="81"/>
      <x:c r="N435" s="81"/>
      <x:c r="O435" s="81"/>
      <x:c r="P435" s="81"/>
      <x:c r="Q435" s="81"/>
      <x:c r="R435" s="81"/>
      <x:c r="S435" s="81"/>
      <x:c r="T435" s="81"/>
      <x:c r="U435" s="81"/>
      <x:c r="V435" s="81"/>
      <x:c r="W435" s="81"/>
      <x:c r="X435" s="81"/>
      <x:c r="Y435" s="81"/>
      <x:c r="Z435" s="81"/>
    </x:row>
    <x:row r="436">
      <x:c r="A436" s="81"/>
      <x:c r="B436" s="81"/>
      <x:c r="C436" s="81"/>
      <x:c r="D436" s="81"/>
      <x:c r="E436" s="81"/>
      <x:c r="F436" s="81"/>
      <x:c r="G436" s="81"/>
      <x:c r="H436" s="81"/>
      <x:c r="I436" s="81"/>
      <x:c r="J436" s="81"/>
      <x:c r="K436" s="81"/>
      <x:c r="L436" s="81"/>
      <x:c r="M436" s="81"/>
      <x:c r="N436" s="81"/>
      <x:c r="O436" s="81"/>
      <x:c r="P436" s="81"/>
      <x:c r="Q436" s="81"/>
      <x:c r="R436" s="81"/>
      <x:c r="S436" s="81"/>
      <x:c r="T436" s="81"/>
      <x:c r="U436" s="81"/>
      <x:c r="V436" s="81"/>
      <x:c r="W436" s="81"/>
      <x:c r="X436" s="81"/>
      <x:c r="Y436" s="81"/>
      <x:c r="Z436" s="81"/>
    </x:row>
    <x:row r="437">
      <x:c r="A437" s="81"/>
      <x:c r="B437" s="81"/>
      <x:c r="C437" s="81"/>
      <x:c r="D437" s="81"/>
      <x:c r="E437" s="81"/>
      <x:c r="F437" s="81"/>
      <x:c r="G437" s="81"/>
      <x:c r="H437" s="81"/>
      <x:c r="I437" s="81"/>
      <x:c r="J437" s="81"/>
      <x:c r="K437" s="81"/>
      <x:c r="L437" s="81"/>
      <x:c r="M437" s="81"/>
      <x:c r="N437" s="81"/>
      <x:c r="O437" s="81"/>
      <x:c r="P437" s="81"/>
      <x:c r="Q437" s="81"/>
      <x:c r="R437" s="81"/>
      <x:c r="S437" s="81"/>
      <x:c r="T437" s="81"/>
      <x:c r="U437" s="81"/>
      <x:c r="V437" s="81"/>
      <x:c r="W437" s="81"/>
      <x:c r="X437" s="81"/>
      <x:c r="Y437" s="81"/>
      <x:c r="Z437" s="81"/>
    </x:row>
    <x:row r="438">
      <x:c r="A438" s="81"/>
      <x:c r="B438" s="81"/>
      <x:c r="C438" s="81"/>
      <x:c r="D438" s="81"/>
      <x:c r="E438" s="81"/>
      <x:c r="F438" s="81"/>
      <x:c r="G438" s="81"/>
      <x:c r="H438" s="81"/>
      <x:c r="I438" s="81"/>
      <x:c r="J438" s="81"/>
      <x:c r="K438" s="81"/>
      <x:c r="L438" s="81"/>
      <x:c r="M438" s="81"/>
      <x:c r="N438" s="81"/>
      <x:c r="O438" s="81"/>
      <x:c r="P438" s="81"/>
      <x:c r="Q438" s="81"/>
      <x:c r="R438" s="81"/>
      <x:c r="S438" s="81"/>
      <x:c r="T438" s="81"/>
      <x:c r="U438" s="81"/>
      <x:c r="V438" s="81"/>
      <x:c r="W438" s="81"/>
      <x:c r="X438" s="81"/>
      <x:c r="Y438" s="81"/>
      <x:c r="Z438" s="81"/>
    </x:row>
    <x:row r="439">
      <x:c r="A439" s="81"/>
      <x:c r="B439" s="81"/>
      <x:c r="C439" s="81"/>
      <x:c r="D439" s="81"/>
      <x:c r="E439" s="81"/>
      <x:c r="F439" s="81"/>
      <x:c r="G439" s="81"/>
      <x:c r="H439" s="81"/>
      <x:c r="I439" s="81"/>
      <x:c r="J439" s="81"/>
      <x:c r="K439" s="81"/>
      <x:c r="L439" s="81"/>
      <x:c r="M439" s="81"/>
      <x:c r="N439" s="81"/>
      <x:c r="O439" s="81"/>
      <x:c r="P439" s="81"/>
      <x:c r="Q439" s="81"/>
      <x:c r="R439" s="81"/>
      <x:c r="S439" s="81"/>
      <x:c r="T439" s="81"/>
      <x:c r="U439" s="81"/>
      <x:c r="V439" s="81"/>
      <x:c r="W439" s="81"/>
      <x:c r="X439" s="81"/>
      <x:c r="Y439" s="81"/>
      <x:c r="Z439" s="81"/>
    </x:row>
    <x:row r="440">
      <x:c r="A440" s="81"/>
      <x:c r="B440" s="81"/>
      <x:c r="C440" s="81"/>
      <x:c r="D440" s="81"/>
      <x:c r="E440" s="81"/>
      <x:c r="F440" s="81"/>
      <x:c r="G440" s="81"/>
      <x:c r="H440" s="81"/>
      <x:c r="I440" s="81"/>
      <x:c r="J440" s="81"/>
      <x:c r="K440" s="81"/>
      <x:c r="L440" s="81"/>
      <x:c r="M440" s="81"/>
      <x:c r="N440" s="81"/>
      <x:c r="O440" s="81"/>
      <x:c r="P440" s="81"/>
      <x:c r="Q440" s="81"/>
      <x:c r="R440" s="81"/>
      <x:c r="S440" s="81"/>
      <x:c r="T440" s="81"/>
      <x:c r="U440" s="81"/>
      <x:c r="V440" s="81"/>
      <x:c r="W440" s="81"/>
      <x:c r="X440" s="81"/>
      <x:c r="Y440" s="81"/>
      <x:c r="Z440" s="81"/>
    </x:row>
    <x:row r="441">
      <x:c r="A441" s="81"/>
      <x:c r="B441" s="81"/>
      <x:c r="C441" s="81"/>
      <x:c r="D441" s="81"/>
      <x:c r="E441" s="81"/>
      <x:c r="F441" s="81"/>
      <x:c r="G441" s="81"/>
      <x:c r="H441" s="81"/>
      <x:c r="I441" s="81"/>
      <x:c r="J441" s="81"/>
      <x:c r="K441" s="81"/>
      <x:c r="L441" s="81"/>
      <x:c r="M441" s="81"/>
      <x:c r="N441" s="81"/>
      <x:c r="O441" s="81"/>
      <x:c r="P441" s="81"/>
      <x:c r="Q441" s="81"/>
      <x:c r="R441" s="81"/>
      <x:c r="S441" s="81"/>
      <x:c r="T441" s="81"/>
      <x:c r="U441" s="81"/>
      <x:c r="V441" s="81"/>
      <x:c r="W441" s="81"/>
      <x:c r="X441" s="81"/>
      <x:c r="Y441" s="81"/>
      <x:c r="Z441" s="81"/>
    </x:row>
    <x:row r="442">
      <x:c r="A442" s="81"/>
      <x:c r="B442" s="81"/>
      <x:c r="C442" s="81"/>
      <x:c r="D442" s="81"/>
      <x:c r="E442" s="81"/>
      <x:c r="F442" s="81"/>
      <x:c r="G442" s="81"/>
      <x:c r="H442" s="81"/>
      <x:c r="I442" s="81"/>
      <x:c r="J442" s="81"/>
      <x:c r="K442" s="81"/>
      <x:c r="L442" s="81"/>
      <x:c r="M442" s="81"/>
      <x:c r="N442" s="81"/>
      <x:c r="O442" s="81"/>
      <x:c r="P442" s="81"/>
      <x:c r="Q442" s="81"/>
      <x:c r="R442" s="81"/>
      <x:c r="S442" s="81"/>
      <x:c r="T442" s="81"/>
      <x:c r="U442" s="81"/>
      <x:c r="V442" s="81"/>
      <x:c r="W442" s="81"/>
      <x:c r="X442" s="81"/>
      <x:c r="Y442" s="81"/>
      <x:c r="Z442" s="81"/>
    </x:row>
    <x:row r="443">
      <x:c r="A443" s="81"/>
      <x:c r="B443" s="81"/>
      <x:c r="C443" s="81"/>
      <x:c r="D443" s="81"/>
      <x:c r="E443" s="81"/>
      <x:c r="F443" s="81"/>
      <x:c r="G443" s="81"/>
      <x:c r="H443" s="81"/>
      <x:c r="I443" s="81"/>
      <x:c r="J443" s="81"/>
      <x:c r="K443" s="81"/>
      <x:c r="L443" s="81"/>
      <x:c r="M443" s="81"/>
      <x:c r="N443" s="81"/>
      <x:c r="O443" s="81"/>
      <x:c r="P443" s="81"/>
      <x:c r="Q443" s="81"/>
      <x:c r="R443" s="81"/>
      <x:c r="S443" s="81"/>
      <x:c r="T443" s="81"/>
      <x:c r="U443" s="81"/>
      <x:c r="V443" s="81"/>
      <x:c r="W443" s="81"/>
      <x:c r="X443" s="81"/>
      <x:c r="Y443" s="81"/>
      <x:c r="Z443" s="81"/>
    </x:row>
    <x:row r="444">
      <x:c r="A444" s="81"/>
      <x:c r="B444" s="81"/>
      <x:c r="C444" s="81"/>
      <x:c r="D444" s="81"/>
      <x:c r="E444" s="81"/>
      <x:c r="F444" s="81"/>
      <x:c r="G444" s="81"/>
      <x:c r="H444" s="81"/>
      <x:c r="I444" s="81"/>
      <x:c r="J444" s="81"/>
      <x:c r="K444" s="81"/>
      <x:c r="L444" s="81"/>
      <x:c r="M444" s="81"/>
      <x:c r="N444" s="81"/>
      <x:c r="O444" s="81"/>
      <x:c r="P444" s="81"/>
      <x:c r="Q444" s="81"/>
      <x:c r="R444" s="81"/>
      <x:c r="S444" s="81"/>
      <x:c r="T444" s="81"/>
      <x:c r="U444" s="81"/>
      <x:c r="V444" s="81"/>
      <x:c r="W444" s="81"/>
      <x:c r="X444" s="81"/>
      <x:c r="Y444" s="81"/>
      <x:c r="Z444" s="81"/>
    </x:row>
    <x:row r="445">
      <x:c r="A445" s="81"/>
      <x:c r="B445" s="81"/>
      <x:c r="C445" s="81"/>
      <x:c r="D445" s="81"/>
      <x:c r="E445" s="81"/>
      <x:c r="F445" s="81"/>
      <x:c r="G445" s="81"/>
      <x:c r="H445" s="81"/>
      <x:c r="I445" s="81"/>
      <x:c r="J445" s="81"/>
      <x:c r="K445" s="81"/>
      <x:c r="L445" s="81"/>
      <x:c r="M445" s="81"/>
      <x:c r="N445" s="81"/>
      <x:c r="O445" s="81"/>
      <x:c r="P445" s="81"/>
      <x:c r="Q445" s="81"/>
      <x:c r="R445" s="81"/>
      <x:c r="S445" s="81"/>
      <x:c r="T445" s="81"/>
      <x:c r="U445" s="81"/>
      <x:c r="V445" s="81"/>
      <x:c r="W445" s="81"/>
      <x:c r="X445" s="81"/>
      <x:c r="Y445" s="81"/>
      <x:c r="Z445" s="81"/>
    </x:row>
    <x:row r="446">
      <x:c r="A446" s="81"/>
      <x:c r="B446" s="81"/>
      <x:c r="C446" s="81"/>
      <x:c r="D446" s="81"/>
      <x:c r="E446" s="81"/>
      <x:c r="F446" s="81"/>
      <x:c r="G446" s="81"/>
      <x:c r="H446" s="81"/>
      <x:c r="I446" s="81"/>
      <x:c r="J446" s="81"/>
      <x:c r="K446" s="81"/>
      <x:c r="L446" s="81"/>
      <x:c r="M446" s="81"/>
      <x:c r="N446" s="81"/>
      <x:c r="O446" s="81"/>
      <x:c r="P446" s="81"/>
      <x:c r="Q446" s="81"/>
      <x:c r="R446" s="81"/>
      <x:c r="S446" s="81"/>
      <x:c r="T446" s="81"/>
      <x:c r="U446" s="81"/>
      <x:c r="V446" s="81"/>
      <x:c r="W446" s="81"/>
      <x:c r="X446" s="81"/>
      <x:c r="Y446" s="81"/>
      <x:c r="Z446" s="81"/>
    </x:row>
    <x:row r="447">
      <x:c r="A447" s="81"/>
      <x:c r="B447" s="81"/>
      <x:c r="C447" s="81"/>
      <x:c r="D447" s="81"/>
      <x:c r="E447" s="81"/>
      <x:c r="F447" s="81"/>
      <x:c r="G447" s="81"/>
      <x:c r="H447" s="81"/>
      <x:c r="I447" s="81"/>
      <x:c r="J447" s="81"/>
      <x:c r="K447" s="81"/>
      <x:c r="L447" s="81"/>
      <x:c r="M447" s="81"/>
      <x:c r="N447" s="81"/>
      <x:c r="O447" s="81"/>
      <x:c r="P447" s="81"/>
      <x:c r="Q447" s="81"/>
      <x:c r="R447" s="81"/>
      <x:c r="S447" s="81"/>
      <x:c r="T447" s="81"/>
      <x:c r="U447" s="81"/>
      <x:c r="V447" s="81"/>
      <x:c r="W447" s="81"/>
      <x:c r="X447" s="81"/>
      <x:c r="Y447" s="81"/>
      <x:c r="Z447" s="81"/>
    </x:row>
    <x:row r="448">
      <x:c r="A448" s="81"/>
      <x:c r="B448" s="81"/>
      <x:c r="C448" s="81"/>
      <x:c r="D448" s="81"/>
      <x:c r="E448" s="81"/>
      <x:c r="F448" s="81"/>
      <x:c r="G448" s="81"/>
      <x:c r="H448" s="81"/>
      <x:c r="I448" s="81"/>
      <x:c r="J448" s="81"/>
      <x:c r="K448" s="81"/>
      <x:c r="L448" s="81"/>
      <x:c r="M448" s="81"/>
      <x:c r="N448" s="81"/>
      <x:c r="O448" s="81"/>
      <x:c r="P448" s="81"/>
      <x:c r="Q448" s="81"/>
      <x:c r="R448" s="81"/>
      <x:c r="S448" s="81"/>
      <x:c r="T448" s="81"/>
      <x:c r="U448" s="81"/>
      <x:c r="V448" s="81"/>
      <x:c r="W448" s="81"/>
      <x:c r="X448" s="81"/>
      <x:c r="Y448" s="81"/>
      <x:c r="Z448" s="81"/>
    </x:row>
    <x:row r="449">
      <x:c r="A449" s="81"/>
      <x:c r="B449" s="81"/>
      <x:c r="C449" s="81"/>
      <x:c r="D449" s="81"/>
      <x:c r="E449" s="81"/>
      <x:c r="F449" s="81"/>
      <x:c r="G449" s="81"/>
      <x:c r="H449" s="81"/>
      <x:c r="I449" s="81"/>
      <x:c r="J449" s="81"/>
      <x:c r="K449" s="81"/>
      <x:c r="L449" s="81"/>
      <x:c r="M449" s="81"/>
      <x:c r="N449" s="81"/>
      <x:c r="O449" s="81"/>
      <x:c r="P449" s="81"/>
      <x:c r="Q449" s="81"/>
      <x:c r="R449" s="81"/>
      <x:c r="S449" s="81"/>
      <x:c r="T449" s="81"/>
      <x:c r="U449" s="81"/>
      <x:c r="V449" s="81"/>
      <x:c r="W449" s="81"/>
      <x:c r="X449" s="81"/>
      <x:c r="Y449" s="81"/>
      <x:c r="Z449" s="81"/>
    </x:row>
    <x:row r="450">
      <x:c r="A450" s="81"/>
      <x:c r="B450" s="81"/>
      <x:c r="C450" s="81"/>
      <x:c r="D450" s="81"/>
      <x:c r="E450" s="81"/>
      <x:c r="F450" s="81"/>
      <x:c r="G450" s="81"/>
      <x:c r="H450" s="81"/>
      <x:c r="I450" s="81"/>
      <x:c r="J450" s="81"/>
      <x:c r="K450" s="81"/>
      <x:c r="L450" s="81"/>
      <x:c r="M450" s="81"/>
      <x:c r="N450" s="81"/>
      <x:c r="O450" s="81"/>
      <x:c r="P450" s="81"/>
      <x:c r="Q450" s="81"/>
      <x:c r="R450" s="81"/>
      <x:c r="S450" s="81"/>
      <x:c r="T450" s="81"/>
      <x:c r="U450" s="81"/>
      <x:c r="V450" s="81"/>
      <x:c r="W450" s="81"/>
      <x:c r="X450" s="81"/>
      <x:c r="Y450" s="81"/>
      <x:c r="Z450" s="81"/>
    </x:row>
    <x:row r="451">
      <x:c r="A451" s="81"/>
      <x:c r="B451" s="81"/>
      <x:c r="C451" s="81"/>
      <x:c r="D451" s="81"/>
      <x:c r="E451" s="81"/>
      <x:c r="F451" s="81"/>
      <x:c r="G451" s="81"/>
      <x:c r="H451" s="81"/>
      <x:c r="I451" s="81"/>
      <x:c r="J451" s="81"/>
      <x:c r="K451" s="81"/>
      <x:c r="L451" s="81"/>
      <x:c r="M451" s="81"/>
      <x:c r="N451" s="81"/>
      <x:c r="O451" s="81"/>
      <x:c r="P451" s="81"/>
      <x:c r="Q451" s="81"/>
      <x:c r="R451" s="81"/>
      <x:c r="S451" s="81"/>
      <x:c r="T451" s="81"/>
      <x:c r="U451" s="81"/>
      <x:c r="V451" s="81"/>
      <x:c r="W451" s="81"/>
      <x:c r="X451" s="81"/>
      <x:c r="Y451" s="81"/>
      <x:c r="Z451" s="81"/>
    </x:row>
    <x:row r="452">
      <x:c r="A452" s="81"/>
      <x:c r="B452" s="81"/>
      <x:c r="C452" s="81"/>
      <x:c r="D452" s="81"/>
      <x:c r="E452" s="81"/>
      <x:c r="F452" s="81"/>
      <x:c r="G452" s="81"/>
      <x:c r="H452" s="81"/>
      <x:c r="I452" s="81"/>
      <x:c r="J452" s="81"/>
      <x:c r="K452" s="81"/>
      <x:c r="L452" s="81"/>
      <x:c r="M452" s="81"/>
      <x:c r="N452" s="81"/>
      <x:c r="O452" s="81"/>
      <x:c r="P452" s="81"/>
      <x:c r="Q452" s="81"/>
      <x:c r="R452" s="81"/>
      <x:c r="S452" s="81"/>
      <x:c r="T452" s="81"/>
      <x:c r="U452" s="81"/>
      <x:c r="V452" s="81"/>
      <x:c r="W452" s="81"/>
      <x:c r="X452" s="81"/>
      <x:c r="Y452" s="81"/>
      <x:c r="Z452" s="81"/>
    </x:row>
    <x:row r="453">
      <x:c r="A453" s="81"/>
      <x:c r="B453" s="81"/>
      <x:c r="C453" s="81"/>
      <x:c r="D453" s="81"/>
      <x:c r="E453" s="81"/>
      <x:c r="F453" s="81"/>
      <x:c r="G453" s="81"/>
      <x:c r="H453" s="81"/>
      <x:c r="I453" s="81"/>
      <x:c r="J453" s="81"/>
      <x:c r="K453" s="81"/>
      <x:c r="L453" s="81"/>
      <x:c r="M453" s="81"/>
      <x:c r="N453" s="81"/>
      <x:c r="O453" s="81"/>
      <x:c r="P453" s="81"/>
      <x:c r="Q453" s="81"/>
      <x:c r="R453" s="81"/>
      <x:c r="S453" s="81"/>
      <x:c r="T453" s="81"/>
      <x:c r="U453" s="81"/>
      <x:c r="V453" s="81"/>
      <x:c r="W453" s="81"/>
      <x:c r="X453" s="81"/>
      <x:c r="Y453" s="81"/>
      <x:c r="Z453" s="81"/>
    </x:row>
    <x:row r="454">
      <x:c r="A454" s="81"/>
      <x:c r="B454" s="81"/>
      <x:c r="C454" s="81"/>
      <x:c r="D454" s="81"/>
      <x:c r="E454" s="81"/>
      <x:c r="F454" s="81"/>
      <x:c r="G454" s="81"/>
      <x:c r="H454" s="81"/>
      <x:c r="I454" s="81"/>
      <x:c r="J454" s="81"/>
      <x:c r="K454" s="81"/>
      <x:c r="L454" s="81"/>
      <x:c r="M454" s="81"/>
      <x:c r="N454" s="81"/>
      <x:c r="O454" s="81"/>
      <x:c r="P454" s="81"/>
      <x:c r="Q454" s="81"/>
      <x:c r="R454" s="81"/>
      <x:c r="S454" s="81"/>
      <x:c r="T454" s="81"/>
      <x:c r="U454" s="81"/>
      <x:c r="V454" s="81"/>
      <x:c r="W454" s="81"/>
      <x:c r="X454" s="81"/>
      <x:c r="Y454" s="81"/>
      <x:c r="Z454" s="81"/>
    </x:row>
    <x:row r="455">
      <x:c r="A455" s="81"/>
      <x:c r="B455" s="81"/>
      <x:c r="C455" s="81"/>
      <x:c r="D455" s="81"/>
      <x:c r="E455" s="81"/>
      <x:c r="F455" s="81"/>
      <x:c r="G455" s="81"/>
      <x:c r="H455" s="81"/>
      <x:c r="I455" s="81"/>
      <x:c r="J455" s="81"/>
      <x:c r="K455" s="81"/>
      <x:c r="L455" s="81"/>
      <x:c r="M455" s="81"/>
      <x:c r="N455" s="81"/>
      <x:c r="O455" s="81"/>
      <x:c r="P455" s="81"/>
      <x:c r="Q455" s="81"/>
      <x:c r="R455" s="81"/>
      <x:c r="S455" s="81"/>
      <x:c r="T455" s="81"/>
      <x:c r="U455" s="81"/>
      <x:c r="V455" s="81"/>
      <x:c r="W455" s="81"/>
      <x:c r="X455" s="81"/>
      <x:c r="Y455" s="81"/>
      <x:c r="Z455" s="81"/>
    </x:row>
    <x:row r="456">
      <x:c r="A456" s="81"/>
      <x:c r="B456" s="81"/>
      <x:c r="C456" s="81"/>
      <x:c r="D456" s="81"/>
      <x:c r="E456" s="81"/>
      <x:c r="F456" s="81"/>
      <x:c r="G456" s="81"/>
      <x:c r="H456" s="81"/>
      <x:c r="I456" s="81"/>
      <x:c r="J456" s="81"/>
      <x:c r="K456" s="81"/>
      <x:c r="L456" s="81"/>
      <x:c r="M456" s="81"/>
      <x:c r="N456" s="81"/>
      <x:c r="O456" s="81"/>
      <x:c r="P456" s="81"/>
      <x:c r="Q456" s="81"/>
      <x:c r="R456" s="81"/>
      <x:c r="S456" s="81"/>
      <x:c r="T456" s="81"/>
      <x:c r="U456" s="81"/>
      <x:c r="V456" s="81"/>
      <x:c r="W456" s="81"/>
      <x:c r="X456" s="81"/>
      <x:c r="Y456" s="81"/>
      <x:c r="Z456" s="81"/>
    </x:row>
    <x:row r="457">
      <x:c r="A457" s="81"/>
      <x:c r="B457" s="81"/>
      <x:c r="C457" s="81"/>
      <x:c r="D457" s="81"/>
      <x:c r="E457" s="81"/>
      <x:c r="F457" s="81"/>
      <x:c r="G457" s="81"/>
      <x:c r="H457" s="81"/>
      <x:c r="I457" s="81"/>
      <x:c r="J457" s="81"/>
      <x:c r="K457" s="81"/>
      <x:c r="L457" s="81"/>
      <x:c r="M457" s="81"/>
      <x:c r="N457" s="81"/>
      <x:c r="O457" s="81"/>
      <x:c r="P457" s="81"/>
      <x:c r="Q457" s="81"/>
      <x:c r="R457" s="81"/>
      <x:c r="S457" s="81"/>
      <x:c r="T457" s="81"/>
      <x:c r="U457" s="81"/>
      <x:c r="V457" s="81"/>
      <x:c r="W457" s="81"/>
      <x:c r="X457" s="81"/>
      <x:c r="Y457" s="81"/>
      <x:c r="Z457" s="81"/>
    </x:row>
    <x:row r="458">
      <x:c r="A458" s="81"/>
      <x:c r="B458" s="81"/>
      <x:c r="C458" s="81"/>
      <x:c r="D458" s="81"/>
      <x:c r="E458" s="81"/>
      <x:c r="F458" s="81"/>
      <x:c r="G458" s="81"/>
      <x:c r="H458" s="81"/>
      <x:c r="I458" s="81"/>
      <x:c r="J458" s="81"/>
      <x:c r="K458" s="81"/>
      <x:c r="L458" s="81"/>
      <x:c r="M458" s="81"/>
      <x:c r="N458" s="81"/>
      <x:c r="O458" s="81"/>
      <x:c r="P458" s="81"/>
      <x:c r="Q458" s="81"/>
      <x:c r="R458" s="81"/>
      <x:c r="S458" s="81"/>
      <x:c r="T458" s="81"/>
      <x:c r="U458" s="81"/>
      <x:c r="V458" s="81"/>
      <x:c r="W458" s="81"/>
      <x:c r="X458" s="81"/>
      <x:c r="Y458" s="81"/>
      <x:c r="Z458" s="81"/>
    </x:row>
    <x:row r="459">
      <x:c r="A459" s="81"/>
      <x:c r="B459" s="81"/>
      <x:c r="C459" s="81"/>
      <x:c r="D459" s="81"/>
      <x:c r="E459" s="81"/>
      <x:c r="F459" s="81"/>
      <x:c r="G459" s="81"/>
      <x:c r="H459" s="81"/>
      <x:c r="I459" s="81"/>
      <x:c r="J459" s="81"/>
      <x:c r="K459" s="81"/>
      <x:c r="L459" s="81"/>
      <x:c r="M459" s="81"/>
      <x:c r="N459" s="81"/>
      <x:c r="O459" s="81"/>
      <x:c r="P459" s="81"/>
      <x:c r="Q459" s="81"/>
      <x:c r="R459" s="81"/>
      <x:c r="S459" s="81"/>
      <x:c r="T459" s="81"/>
      <x:c r="U459" s="81"/>
      <x:c r="V459" s="81"/>
      <x:c r="W459" s="81"/>
      <x:c r="X459" s="81"/>
      <x:c r="Y459" s="81"/>
      <x:c r="Z459" s="81"/>
    </x:row>
    <x:row r="460">
      <x:c r="A460" s="81"/>
      <x:c r="B460" s="81"/>
      <x:c r="C460" s="81"/>
      <x:c r="D460" s="81"/>
      <x:c r="E460" s="81"/>
      <x:c r="F460" s="81"/>
      <x:c r="G460" s="81"/>
      <x:c r="H460" s="81"/>
      <x:c r="I460" s="81"/>
      <x:c r="J460" s="81"/>
      <x:c r="K460" s="81"/>
      <x:c r="L460" s="81"/>
      <x:c r="M460" s="81"/>
      <x:c r="N460" s="81"/>
      <x:c r="O460" s="81"/>
      <x:c r="P460" s="81"/>
      <x:c r="Q460" s="81"/>
      <x:c r="R460" s="81"/>
      <x:c r="S460" s="81"/>
      <x:c r="T460" s="81"/>
      <x:c r="U460" s="81"/>
      <x:c r="V460" s="81"/>
      <x:c r="W460" s="81"/>
      <x:c r="X460" s="81"/>
      <x:c r="Y460" s="81"/>
      <x:c r="Z460" s="81"/>
    </x:row>
    <x:row r="461">
      <x:c r="A461" s="81"/>
      <x:c r="B461" s="81"/>
      <x:c r="C461" s="81"/>
      <x:c r="D461" s="81"/>
      <x:c r="E461" s="81"/>
      <x:c r="F461" s="81"/>
      <x:c r="G461" s="81"/>
      <x:c r="H461" s="81"/>
      <x:c r="I461" s="81"/>
      <x:c r="J461" s="81"/>
      <x:c r="K461" s="81"/>
      <x:c r="L461" s="81"/>
      <x:c r="M461" s="81"/>
      <x:c r="N461" s="81"/>
      <x:c r="O461" s="81"/>
      <x:c r="P461" s="81"/>
      <x:c r="Q461" s="81"/>
      <x:c r="R461" s="81"/>
      <x:c r="S461" s="81"/>
      <x:c r="T461" s="81"/>
      <x:c r="U461" s="81"/>
      <x:c r="V461" s="81"/>
      <x:c r="W461" s="81"/>
      <x:c r="X461" s="81"/>
      <x:c r="Y461" s="81"/>
      <x:c r="Z461" s="81"/>
    </x:row>
    <x:row r="462">
      <x:c r="A462" s="81"/>
      <x:c r="B462" s="81"/>
      <x:c r="C462" s="81"/>
      <x:c r="D462" s="81"/>
      <x:c r="E462" s="81"/>
      <x:c r="F462" s="81"/>
      <x:c r="G462" s="81"/>
      <x:c r="H462" s="81"/>
      <x:c r="I462" s="81"/>
      <x:c r="J462" s="81"/>
      <x:c r="K462" s="81"/>
      <x:c r="L462" s="81"/>
      <x:c r="M462" s="81"/>
      <x:c r="N462" s="81"/>
      <x:c r="O462" s="81"/>
      <x:c r="P462" s="81"/>
      <x:c r="Q462" s="81"/>
      <x:c r="R462" s="81"/>
      <x:c r="S462" s="81"/>
      <x:c r="T462" s="81"/>
      <x:c r="U462" s="81"/>
      <x:c r="V462" s="81"/>
      <x:c r="W462" s="81"/>
      <x:c r="X462" s="81"/>
      <x:c r="Y462" s="81"/>
      <x:c r="Z462" s="81"/>
    </x:row>
    <x:row r="463">
      <x:c r="A463" s="81"/>
      <x:c r="B463" s="81"/>
      <x:c r="C463" s="81"/>
      <x:c r="D463" s="81"/>
      <x:c r="E463" s="81"/>
      <x:c r="F463" s="81"/>
      <x:c r="G463" s="81"/>
      <x:c r="H463" s="81"/>
      <x:c r="I463" s="81"/>
      <x:c r="J463" s="81"/>
      <x:c r="K463" s="81"/>
      <x:c r="L463" s="81"/>
      <x:c r="M463" s="81"/>
      <x:c r="N463" s="81"/>
      <x:c r="O463" s="81"/>
      <x:c r="P463" s="81"/>
      <x:c r="Q463" s="81"/>
      <x:c r="R463" s="81"/>
      <x:c r="S463" s="81"/>
      <x:c r="T463" s="81"/>
      <x:c r="U463" s="81"/>
      <x:c r="V463" s="81"/>
      <x:c r="W463" s="81"/>
      <x:c r="X463" s="81"/>
      <x:c r="Y463" s="81"/>
      <x:c r="Z463" s="81"/>
    </x:row>
    <x:row r="464">
      <x:c r="A464" s="81"/>
      <x:c r="B464" s="81"/>
      <x:c r="C464" s="81"/>
      <x:c r="D464" s="81"/>
      <x:c r="E464" s="81"/>
      <x:c r="F464" s="81"/>
      <x:c r="G464" s="81"/>
      <x:c r="H464" s="81"/>
      <x:c r="I464" s="81"/>
      <x:c r="J464" s="81"/>
      <x:c r="K464" s="81"/>
      <x:c r="L464" s="81"/>
      <x:c r="M464" s="81"/>
      <x:c r="N464" s="81"/>
      <x:c r="O464" s="81"/>
      <x:c r="P464" s="81"/>
      <x:c r="Q464" s="81"/>
      <x:c r="R464" s="81"/>
      <x:c r="S464" s="81"/>
      <x:c r="T464" s="81"/>
      <x:c r="U464" s="81"/>
      <x:c r="V464" s="81"/>
      <x:c r="W464" s="81"/>
      <x:c r="X464" s="81"/>
      <x:c r="Y464" s="81"/>
      <x:c r="Z464" s="81"/>
    </x:row>
    <x:row r="465">
      <x:c r="A465" s="81"/>
      <x:c r="B465" s="81"/>
      <x:c r="C465" s="81"/>
      <x:c r="D465" s="81"/>
      <x:c r="E465" s="81"/>
      <x:c r="F465" s="81"/>
      <x:c r="G465" s="81"/>
      <x:c r="H465" s="81"/>
      <x:c r="I465" s="81"/>
      <x:c r="J465" s="81"/>
      <x:c r="K465" s="81"/>
      <x:c r="L465" s="81"/>
      <x:c r="M465" s="81"/>
      <x:c r="N465" s="81"/>
      <x:c r="O465" s="81"/>
      <x:c r="P465" s="81"/>
      <x:c r="Q465" s="81"/>
      <x:c r="R465" s="81"/>
      <x:c r="S465" s="81"/>
      <x:c r="T465" s="81"/>
      <x:c r="U465" s="81"/>
      <x:c r="V465" s="81"/>
      <x:c r="W465" s="81"/>
      <x:c r="X465" s="81"/>
      <x:c r="Y465" s="81"/>
      <x:c r="Z465" s="81"/>
    </x:row>
    <x:row r="466">
      <x:c r="A466" s="81"/>
      <x:c r="B466" s="81"/>
      <x:c r="C466" s="81"/>
      <x:c r="D466" s="81"/>
      <x:c r="E466" s="81"/>
      <x:c r="F466" s="81"/>
      <x:c r="G466" s="81"/>
      <x:c r="H466" s="81"/>
      <x:c r="I466" s="81"/>
      <x:c r="J466" s="81"/>
      <x:c r="K466" s="81"/>
      <x:c r="L466" s="81"/>
      <x:c r="M466" s="81"/>
      <x:c r="N466" s="81"/>
      <x:c r="O466" s="81"/>
      <x:c r="P466" s="81"/>
      <x:c r="Q466" s="81"/>
      <x:c r="R466" s="81"/>
      <x:c r="S466" s="81"/>
      <x:c r="T466" s="81"/>
      <x:c r="U466" s="81"/>
      <x:c r="V466" s="81"/>
      <x:c r="W466" s="81"/>
      <x:c r="X466" s="81"/>
      <x:c r="Y466" s="81"/>
      <x:c r="Z466" s="81"/>
    </x:row>
    <x:row r="467">
      <x:c r="A467" s="81"/>
      <x:c r="B467" s="81"/>
      <x:c r="C467" s="81"/>
      <x:c r="D467" s="81"/>
      <x:c r="E467" s="81"/>
      <x:c r="F467" s="81"/>
      <x:c r="G467" s="81"/>
      <x:c r="H467" s="81"/>
      <x:c r="I467" s="81"/>
      <x:c r="J467" s="81"/>
      <x:c r="K467" s="81"/>
      <x:c r="L467" s="81"/>
      <x:c r="M467" s="81"/>
      <x:c r="N467" s="81"/>
      <x:c r="O467" s="81"/>
      <x:c r="P467" s="81"/>
      <x:c r="Q467" s="81"/>
      <x:c r="R467" s="81"/>
      <x:c r="S467" s="81"/>
      <x:c r="T467" s="81"/>
      <x:c r="U467" s="81"/>
      <x:c r="V467" s="81"/>
      <x:c r="W467" s="81"/>
      <x:c r="X467" s="81"/>
      <x:c r="Y467" s="81"/>
      <x:c r="Z467" s="81"/>
    </x:row>
    <x:row r="468">
      <x:c r="A468" s="81"/>
      <x:c r="B468" s="81"/>
      <x:c r="C468" s="81"/>
      <x:c r="D468" s="81"/>
      <x:c r="E468" s="81"/>
      <x:c r="F468" s="81"/>
      <x:c r="G468" s="81"/>
      <x:c r="H468" s="81"/>
      <x:c r="I468" s="81"/>
      <x:c r="J468" s="81"/>
      <x:c r="K468" s="81"/>
      <x:c r="L468" s="81"/>
      <x:c r="M468" s="81"/>
      <x:c r="N468" s="81"/>
      <x:c r="O468" s="81"/>
      <x:c r="P468" s="81"/>
      <x:c r="Q468" s="81"/>
      <x:c r="R468" s="81"/>
      <x:c r="S468" s="81"/>
      <x:c r="T468" s="81"/>
      <x:c r="U468" s="81"/>
      <x:c r="V468" s="81"/>
      <x:c r="W468" s="81"/>
      <x:c r="X468" s="81"/>
      <x:c r="Y468" s="81"/>
      <x:c r="Z468" s="81"/>
    </x:row>
    <x:row r="469">
      <x:c r="A469" s="81"/>
      <x:c r="B469" s="81"/>
      <x:c r="C469" s="81"/>
      <x:c r="D469" s="81"/>
      <x:c r="E469" s="81"/>
      <x:c r="F469" s="81"/>
      <x:c r="G469" s="81"/>
      <x:c r="H469" s="81"/>
      <x:c r="I469" s="81"/>
      <x:c r="J469" s="81"/>
      <x:c r="K469" s="81"/>
      <x:c r="L469" s="81"/>
      <x:c r="M469" s="81"/>
      <x:c r="N469" s="81"/>
      <x:c r="O469" s="81"/>
      <x:c r="P469" s="81"/>
      <x:c r="Q469" s="81"/>
      <x:c r="R469" s="81"/>
      <x:c r="S469" s="81"/>
      <x:c r="T469" s="81"/>
      <x:c r="U469" s="81"/>
      <x:c r="V469" s="81"/>
      <x:c r="W469" s="81"/>
      <x:c r="X469" s="81"/>
      <x:c r="Y469" s="81"/>
      <x:c r="Z469" s="81"/>
    </x:row>
    <x:row r="470">
      <x:c r="A470" s="81"/>
      <x:c r="B470" s="81"/>
      <x:c r="C470" s="81"/>
      <x:c r="D470" s="81"/>
      <x:c r="E470" s="81"/>
      <x:c r="F470" s="81"/>
      <x:c r="G470" s="81"/>
      <x:c r="H470" s="81"/>
      <x:c r="I470" s="81"/>
      <x:c r="J470" s="81"/>
      <x:c r="K470" s="81"/>
      <x:c r="L470" s="81"/>
      <x:c r="M470" s="81"/>
      <x:c r="N470" s="81"/>
      <x:c r="O470" s="81"/>
      <x:c r="P470" s="81"/>
      <x:c r="Q470" s="81"/>
      <x:c r="R470" s="81"/>
      <x:c r="S470" s="81"/>
      <x:c r="T470" s="81"/>
      <x:c r="U470" s="81"/>
      <x:c r="V470" s="81"/>
      <x:c r="W470" s="81"/>
      <x:c r="X470" s="81"/>
      <x:c r="Y470" s="81"/>
      <x:c r="Z470" s="81"/>
    </x:row>
    <x:row r="471">
      <x:c r="A471" s="81"/>
      <x:c r="B471" s="81"/>
      <x:c r="C471" s="81"/>
      <x:c r="D471" s="81"/>
      <x:c r="E471" s="81"/>
      <x:c r="F471" s="81"/>
      <x:c r="G471" s="81"/>
      <x:c r="H471" s="81"/>
      <x:c r="I471" s="81"/>
      <x:c r="J471" s="81"/>
      <x:c r="K471" s="81"/>
      <x:c r="L471" s="81"/>
      <x:c r="M471" s="81"/>
      <x:c r="N471" s="81"/>
      <x:c r="O471" s="81"/>
      <x:c r="P471" s="81"/>
      <x:c r="Q471" s="81"/>
      <x:c r="R471" s="81"/>
      <x:c r="S471" s="81"/>
      <x:c r="T471" s="81"/>
      <x:c r="U471" s="81"/>
      <x:c r="V471" s="81"/>
      <x:c r="W471" s="81"/>
      <x:c r="X471" s="81"/>
      <x:c r="Y471" s="81"/>
      <x:c r="Z471" s="81"/>
    </x:row>
    <x:row r="472">
      <x:c r="A472" s="81"/>
      <x:c r="B472" s="81"/>
      <x:c r="C472" s="81"/>
      <x:c r="D472" s="81"/>
      <x:c r="E472" s="81"/>
      <x:c r="F472" s="81"/>
      <x:c r="G472" s="81"/>
      <x:c r="H472" s="81"/>
      <x:c r="I472" s="81"/>
      <x:c r="J472" s="81"/>
      <x:c r="K472" s="81"/>
      <x:c r="L472" s="81"/>
      <x:c r="M472" s="81"/>
      <x:c r="N472" s="81"/>
      <x:c r="O472" s="81"/>
      <x:c r="P472" s="81"/>
      <x:c r="Q472" s="81"/>
      <x:c r="R472" s="81"/>
      <x:c r="S472" s="81"/>
      <x:c r="T472" s="81"/>
      <x:c r="U472" s="81"/>
      <x:c r="V472" s="81"/>
      <x:c r="W472" s="81"/>
      <x:c r="X472" s="81"/>
      <x:c r="Y472" s="81"/>
      <x:c r="Z472" s="81"/>
    </x:row>
    <x:row r="473">
      <x:c r="A473" s="81"/>
      <x:c r="B473" s="81"/>
      <x:c r="C473" s="81"/>
      <x:c r="D473" s="81"/>
      <x:c r="E473" s="81"/>
      <x:c r="F473" s="81"/>
      <x:c r="G473" s="81"/>
      <x:c r="H473" s="81"/>
      <x:c r="I473" s="81"/>
      <x:c r="J473" s="81"/>
      <x:c r="K473" s="81"/>
      <x:c r="L473" s="81"/>
      <x:c r="M473" s="81"/>
      <x:c r="N473" s="81"/>
      <x:c r="O473" s="81"/>
      <x:c r="P473" s="81"/>
      <x:c r="Q473" s="81"/>
      <x:c r="R473" s="81"/>
      <x:c r="S473" s="81"/>
      <x:c r="T473" s="81"/>
      <x:c r="U473" s="81"/>
      <x:c r="V473" s="81"/>
      <x:c r="W473" s="81"/>
      <x:c r="X473" s="81"/>
      <x:c r="Y473" s="81"/>
      <x:c r="Z473" s="81"/>
    </x:row>
    <x:row r="474">
      <x:c r="A474" s="81"/>
      <x:c r="B474" s="81"/>
      <x:c r="C474" s="81"/>
      <x:c r="D474" s="81"/>
      <x:c r="E474" s="81"/>
      <x:c r="F474" s="81"/>
      <x:c r="G474" s="81"/>
      <x:c r="H474" s="81"/>
      <x:c r="I474" s="81"/>
      <x:c r="J474" s="81"/>
      <x:c r="K474" s="81"/>
      <x:c r="L474" s="81"/>
      <x:c r="M474" s="81"/>
      <x:c r="N474" s="81"/>
      <x:c r="O474" s="81"/>
      <x:c r="P474" s="81"/>
      <x:c r="Q474" s="81"/>
      <x:c r="R474" s="81"/>
      <x:c r="S474" s="81"/>
      <x:c r="T474" s="81"/>
      <x:c r="U474" s="81"/>
      <x:c r="V474" s="81"/>
      <x:c r="W474" s="81"/>
      <x:c r="X474" s="81"/>
      <x:c r="Y474" s="81"/>
      <x:c r="Z474" s="81"/>
    </x:row>
    <x:row r="475">
      <x:c r="A475" s="81"/>
      <x:c r="B475" s="81"/>
      <x:c r="C475" s="81"/>
      <x:c r="D475" s="81"/>
      <x:c r="E475" s="81"/>
      <x:c r="F475" s="81"/>
      <x:c r="G475" s="81"/>
      <x:c r="H475" s="81"/>
      <x:c r="I475" s="81"/>
      <x:c r="J475" s="81"/>
      <x:c r="K475" s="81"/>
      <x:c r="L475" s="81"/>
      <x:c r="M475" s="81"/>
      <x:c r="N475" s="81"/>
      <x:c r="O475" s="81"/>
      <x:c r="P475" s="81"/>
      <x:c r="Q475" s="81"/>
      <x:c r="R475" s="81"/>
      <x:c r="S475" s="81"/>
      <x:c r="T475" s="81"/>
      <x:c r="U475" s="81"/>
      <x:c r="V475" s="81"/>
      <x:c r="W475" s="81"/>
      <x:c r="X475" s="81"/>
      <x:c r="Y475" s="81"/>
      <x:c r="Z475" s="81"/>
    </x:row>
    <x:row r="476">
      <x:c r="A476" s="81"/>
      <x:c r="B476" s="81"/>
      <x:c r="C476" s="81"/>
      <x:c r="D476" s="81"/>
      <x:c r="E476" s="81"/>
      <x:c r="F476" s="81"/>
      <x:c r="G476" s="81"/>
      <x:c r="H476" s="81"/>
      <x:c r="I476" s="81"/>
      <x:c r="J476" s="81"/>
      <x:c r="K476" s="81"/>
      <x:c r="L476" s="81"/>
      <x:c r="M476" s="81"/>
      <x:c r="N476" s="81"/>
      <x:c r="O476" s="81"/>
      <x:c r="P476" s="81"/>
      <x:c r="Q476" s="81"/>
      <x:c r="R476" s="81"/>
      <x:c r="S476" s="81"/>
      <x:c r="T476" s="81"/>
      <x:c r="U476" s="81"/>
      <x:c r="V476" s="81"/>
      <x:c r="W476" s="81"/>
      <x:c r="X476" s="81"/>
      <x:c r="Y476" s="81"/>
      <x:c r="Z476" s="81"/>
    </x:row>
    <x:row r="477">
      <x:c r="A477" s="81"/>
      <x:c r="B477" s="81"/>
      <x:c r="C477" s="81"/>
      <x:c r="D477" s="81"/>
      <x:c r="E477" s="81"/>
      <x:c r="F477" s="81"/>
      <x:c r="G477" s="81"/>
      <x:c r="H477" s="81"/>
      <x:c r="I477" s="81"/>
      <x:c r="J477" s="81"/>
      <x:c r="K477" s="81"/>
      <x:c r="L477" s="81"/>
      <x:c r="M477" s="81"/>
      <x:c r="N477" s="81"/>
      <x:c r="O477" s="81"/>
      <x:c r="P477" s="81"/>
      <x:c r="Q477" s="81"/>
      <x:c r="R477" s="81"/>
      <x:c r="S477" s="81"/>
      <x:c r="T477" s="81"/>
      <x:c r="U477" s="81"/>
      <x:c r="V477" s="81"/>
      <x:c r="W477" s="81"/>
      <x:c r="X477" s="81"/>
      <x:c r="Y477" s="81"/>
      <x:c r="Z477" s="81"/>
    </x:row>
    <x:row r="478">
      <x:c r="A478" s="81"/>
      <x:c r="B478" s="81"/>
      <x:c r="C478" s="81"/>
      <x:c r="D478" s="81"/>
      <x:c r="E478" s="81"/>
      <x:c r="F478" s="81"/>
      <x:c r="G478" s="81"/>
      <x:c r="H478" s="81"/>
      <x:c r="I478" s="81"/>
      <x:c r="J478" s="81"/>
      <x:c r="K478" s="81"/>
      <x:c r="L478" s="81"/>
      <x:c r="M478" s="81"/>
      <x:c r="N478" s="81"/>
      <x:c r="O478" s="81"/>
      <x:c r="P478" s="81"/>
      <x:c r="Q478" s="81"/>
      <x:c r="R478" s="81"/>
      <x:c r="S478" s="81"/>
      <x:c r="T478" s="81"/>
      <x:c r="U478" s="81"/>
      <x:c r="V478" s="81"/>
      <x:c r="W478" s="81"/>
      <x:c r="X478" s="81"/>
      <x:c r="Y478" s="81"/>
      <x:c r="Z478" s="81"/>
    </x:row>
    <x:row r="479">
      <x:c r="A479" s="81"/>
      <x:c r="B479" s="81"/>
      <x:c r="C479" s="81"/>
      <x:c r="D479" s="81"/>
      <x:c r="E479" s="81"/>
      <x:c r="F479" s="81"/>
      <x:c r="G479" s="81"/>
      <x:c r="H479" s="81"/>
      <x:c r="I479" s="81"/>
      <x:c r="J479" s="81"/>
      <x:c r="K479" s="81"/>
      <x:c r="L479" s="81"/>
      <x:c r="M479" s="81"/>
      <x:c r="N479" s="81"/>
      <x:c r="O479" s="81"/>
      <x:c r="P479" s="81"/>
      <x:c r="Q479" s="81"/>
      <x:c r="R479" s="81"/>
      <x:c r="S479" s="81"/>
      <x:c r="T479" s="81"/>
      <x:c r="U479" s="81"/>
      <x:c r="V479" s="81"/>
      <x:c r="W479" s="81"/>
      <x:c r="X479" s="81"/>
      <x:c r="Y479" s="81"/>
      <x:c r="Z479" s="81"/>
    </x:row>
    <x:row r="480">
      <x:c r="A480" s="81"/>
      <x:c r="B480" s="81"/>
      <x:c r="C480" s="81"/>
      <x:c r="D480" s="81"/>
      <x:c r="E480" s="81"/>
      <x:c r="F480" s="81"/>
      <x:c r="G480" s="81"/>
      <x:c r="H480" s="81"/>
      <x:c r="I480" s="81"/>
      <x:c r="J480" s="81"/>
      <x:c r="K480" s="81"/>
      <x:c r="L480" s="81"/>
      <x:c r="M480" s="81"/>
      <x:c r="N480" s="81"/>
      <x:c r="O480" s="81"/>
      <x:c r="P480" s="81"/>
      <x:c r="Q480" s="81"/>
      <x:c r="R480" s="81"/>
      <x:c r="S480" s="81"/>
      <x:c r="T480" s="81"/>
      <x:c r="U480" s="81"/>
      <x:c r="V480" s="81"/>
      <x:c r="W480" s="81"/>
      <x:c r="X480" s="81"/>
      <x:c r="Y480" s="81"/>
      <x:c r="Z480" s="81"/>
    </x:row>
    <x:row r="481">
      <x:c r="A481" s="81"/>
      <x:c r="B481" s="81"/>
      <x:c r="C481" s="81"/>
      <x:c r="D481" s="81"/>
      <x:c r="E481" s="81"/>
      <x:c r="F481" s="81"/>
      <x:c r="G481" s="81"/>
      <x:c r="H481" s="81"/>
      <x:c r="I481" s="81"/>
      <x:c r="J481" s="81"/>
      <x:c r="K481" s="81"/>
      <x:c r="L481" s="81"/>
      <x:c r="M481" s="81"/>
      <x:c r="N481" s="81"/>
      <x:c r="O481" s="81"/>
      <x:c r="P481" s="81"/>
      <x:c r="Q481" s="81"/>
      <x:c r="R481" s="81"/>
      <x:c r="S481" s="81"/>
      <x:c r="T481" s="81"/>
      <x:c r="U481" s="81"/>
      <x:c r="V481" s="81"/>
      <x:c r="W481" s="81"/>
      <x:c r="X481" s="81"/>
      <x:c r="Y481" s="81"/>
      <x:c r="Z481" s="81"/>
    </x:row>
    <x:row r="482">
      <x:c r="A482" s="81"/>
      <x:c r="B482" s="81"/>
      <x:c r="C482" s="81"/>
      <x:c r="D482" s="81"/>
      <x:c r="E482" s="81"/>
      <x:c r="F482" s="81"/>
      <x:c r="G482" s="81"/>
      <x:c r="H482" s="81"/>
      <x:c r="I482" s="81"/>
      <x:c r="J482" s="81"/>
      <x:c r="K482" s="81"/>
      <x:c r="L482" s="81"/>
      <x:c r="M482" s="81"/>
      <x:c r="N482" s="81"/>
      <x:c r="O482" s="81"/>
      <x:c r="P482" s="81"/>
      <x:c r="Q482" s="81"/>
      <x:c r="R482" s="81"/>
      <x:c r="S482" s="81"/>
      <x:c r="T482" s="81"/>
      <x:c r="U482" s="81"/>
      <x:c r="V482" s="81"/>
      <x:c r="W482" s="81"/>
      <x:c r="X482" s="81"/>
      <x:c r="Y482" s="81"/>
      <x:c r="Z482" s="81"/>
    </x:row>
    <x:row r="483">
      <x:c r="A483" s="81"/>
      <x:c r="B483" s="81"/>
      <x:c r="C483" s="81"/>
      <x:c r="D483" s="81"/>
      <x:c r="E483" s="81"/>
      <x:c r="F483" s="81"/>
      <x:c r="G483" s="81"/>
      <x:c r="H483" s="81"/>
      <x:c r="I483" s="81"/>
      <x:c r="J483" s="81"/>
      <x:c r="K483" s="81"/>
      <x:c r="L483" s="81"/>
      <x:c r="M483" s="81"/>
      <x:c r="N483" s="81"/>
      <x:c r="O483" s="81"/>
      <x:c r="P483" s="81"/>
      <x:c r="Q483" s="81"/>
      <x:c r="R483" s="81"/>
      <x:c r="S483" s="81"/>
      <x:c r="T483" s="81"/>
      <x:c r="U483" s="81"/>
      <x:c r="V483" s="81"/>
      <x:c r="W483" s="81"/>
      <x:c r="X483" s="81"/>
      <x:c r="Y483" s="81"/>
      <x:c r="Z483" s="81"/>
    </x:row>
    <x:row r="484">
      <x:c r="A484" s="81"/>
      <x:c r="B484" s="81"/>
      <x:c r="C484" s="81"/>
      <x:c r="D484" s="81"/>
      <x:c r="E484" s="81"/>
      <x:c r="F484" s="81"/>
      <x:c r="G484" s="81"/>
      <x:c r="H484" s="81"/>
      <x:c r="I484" s="81"/>
      <x:c r="J484" s="81"/>
      <x:c r="K484" s="81"/>
      <x:c r="L484" s="81"/>
      <x:c r="M484" s="81"/>
      <x:c r="N484" s="81"/>
      <x:c r="O484" s="81"/>
      <x:c r="P484" s="81"/>
      <x:c r="Q484" s="81"/>
      <x:c r="R484" s="81"/>
      <x:c r="S484" s="81"/>
      <x:c r="T484" s="81"/>
      <x:c r="U484" s="81"/>
      <x:c r="V484" s="81"/>
      <x:c r="W484" s="81"/>
      <x:c r="X484" s="81"/>
      <x:c r="Y484" s="81"/>
      <x:c r="Z484" s="81"/>
    </x:row>
    <x:row r="485">
      <x:c r="A485" s="81"/>
      <x:c r="B485" s="81"/>
      <x:c r="C485" s="81"/>
      <x:c r="D485" s="81"/>
      <x:c r="E485" s="81"/>
      <x:c r="F485" s="81"/>
      <x:c r="G485" s="81"/>
      <x:c r="H485" s="81"/>
      <x:c r="I485" s="81"/>
      <x:c r="J485" s="81"/>
      <x:c r="K485" s="81"/>
      <x:c r="L485" s="81"/>
      <x:c r="M485" s="81"/>
      <x:c r="N485" s="81"/>
      <x:c r="O485" s="81"/>
      <x:c r="P485" s="81"/>
      <x:c r="Q485" s="81"/>
      <x:c r="R485" s="81"/>
      <x:c r="S485" s="81"/>
      <x:c r="T485" s="81"/>
      <x:c r="U485" s="81"/>
      <x:c r="V485" s="81"/>
      <x:c r="W485" s="81"/>
      <x:c r="X485" s="81"/>
      <x:c r="Y485" s="81"/>
      <x:c r="Z485" s="81"/>
    </x:row>
    <x:row r="486">
      <x:c r="A486" s="81"/>
      <x:c r="B486" s="81"/>
      <x:c r="C486" s="81"/>
      <x:c r="D486" s="81"/>
      <x:c r="E486" s="81"/>
      <x:c r="F486" s="81"/>
      <x:c r="G486" s="81"/>
      <x:c r="H486" s="81"/>
      <x:c r="I486" s="81"/>
      <x:c r="J486" s="81"/>
      <x:c r="K486" s="81"/>
      <x:c r="L486" s="81"/>
      <x:c r="M486" s="81"/>
      <x:c r="N486" s="81"/>
      <x:c r="O486" s="81"/>
      <x:c r="P486" s="81"/>
      <x:c r="Q486" s="81"/>
      <x:c r="R486" s="81"/>
      <x:c r="S486" s="81"/>
      <x:c r="T486" s="81"/>
      <x:c r="U486" s="81"/>
      <x:c r="V486" s="81"/>
      <x:c r="W486" s="81"/>
      <x:c r="X486" s="81"/>
      <x:c r="Y486" s="81"/>
      <x:c r="Z486" s="81"/>
    </x:row>
    <x:row r="487">
      <x:c r="A487" s="81"/>
      <x:c r="B487" s="81"/>
      <x:c r="C487" s="81"/>
      <x:c r="D487" s="81"/>
      <x:c r="E487" s="81"/>
      <x:c r="F487" s="81"/>
      <x:c r="G487" s="81"/>
      <x:c r="H487" s="81"/>
      <x:c r="I487" s="81"/>
      <x:c r="J487" s="81"/>
      <x:c r="K487" s="81"/>
      <x:c r="L487" s="81"/>
      <x:c r="M487" s="81"/>
      <x:c r="N487" s="81"/>
      <x:c r="O487" s="81"/>
      <x:c r="P487" s="81"/>
      <x:c r="Q487" s="81"/>
      <x:c r="R487" s="81"/>
      <x:c r="S487" s="81"/>
      <x:c r="T487" s="81"/>
      <x:c r="U487" s="81"/>
      <x:c r="V487" s="81"/>
      <x:c r="W487" s="81"/>
      <x:c r="X487" s="81"/>
      <x:c r="Y487" s="81"/>
      <x:c r="Z487" s="81"/>
    </x:row>
    <x:row r="488">
      <x:c r="A488" s="81"/>
      <x:c r="B488" s="81"/>
      <x:c r="C488" s="81"/>
      <x:c r="D488" s="81"/>
      <x:c r="E488" s="81"/>
      <x:c r="F488" s="81"/>
      <x:c r="G488" s="81"/>
      <x:c r="H488" s="81"/>
      <x:c r="I488" s="81"/>
      <x:c r="J488" s="81"/>
      <x:c r="K488" s="81"/>
      <x:c r="L488" s="81"/>
      <x:c r="M488" s="81"/>
      <x:c r="N488" s="81"/>
      <x:c r="O488" s="81"/>
      <x:c r="P488" s="81"/>
      <x:c r="Q488" s="81"/>
      <x:c r="R488" s="81"/>
      <x:c r="S488" s="81"/>
      <x:c r="T488" s="81"/>
      <x:c r="U488" s="81"/>
      <x:c r="V488" s="81"/>
      <x:c r="W488" s="81"/>
      <x:c r="X488" s="81"/>
      <x:c r="Y488" s="81"/>
      <x:c r="Z488" s="81"/>
    </x:row>
    <x:row r="489">
      <x:c r="A489" s="81"/>
      <x:c r="B489" s="81"/>
      <x:c r="C489" s="81"/>
      <x:c r="D489" s="81"/>
      <x:c r="E489" s="81"/>
      <x:c r="F489" s="81"/>
      <x:c r="G489" s="81"/>
      <x:c r="H489" s="81"/>
      <x:c r="I489" s="81"/>
      <x:c r="J489" s="81"/>
      <x:c r="K489" s="81"/>
      <x:c r="L489" s="81"/>
      <x:c r="M489" s="81"/>
      <x:c r="N489" s="81"/>
      <x:c r="O489" s="81"/>
      <x:c r="P489" s="81"/>
      <x:c r="Q489" s="81"/>
      <x:c r="R489" s="81"/>
      <x:c r="S489" s="81"/>
      <x:c r="T489" s="81"/>
      <x:c r="U489" s="81"/>
      <x:c r="V489" s="81"/>
      <x:c r="W489" s="81"/>
      <x:c r="X489" s="81"/>
      <x:c r="Y489" s="81"/>
      <x:c r="Z489" s="81"/>
    </x:row>
    <x:row r="490">
      <x:c r="A490" s="81"/>
      <x:c r="B490" s="81"/>
      <x:c r="C490" s="81"/>
      <x:c r="D490" s="81"/>
      <x:c r="E490" s="81"/>
      <x:c r="F490" s="81"/>
      <x:c r="G490" s="81"/>
      <x:c r="H490" s="81"/>
      <x:c r="I490" s="81"/>
      <x:c r="J490" s="81"/>
      <x:c r="K490" s="81"/>
      <x:c r="L490" s="81"/>
      <x:c r="M490" s="81"/>
      <x:c r="N490" s="81"/>
      <x:c r="O490" s="81"/>
      <x:c r="P490" s="81"/>
      <x:c r="Q490" s="81"/>
      <x:c r="R490" s="81"/>
      <x:c r="S490" s="81"/>
      <x:c r="T490" s="81"/>
      <x:c r="U490" s="81"/>
      <x:c r="V490" s="81"/>
      <x:c r="W490" s="81"/>
      <x:c r="X490" s="81"/>
      <x:c r="Y490" s="81"/>
      <x:c r="Z490" s="81"/>
    </x:row>
    <x:row r="491">
      <x:c r="A491" s="81"/>
      <x:c r="B491" s="81"/>
      <x:c r="C491" s="81"/>
      <x:c r="D491" s="81"/>
      <x:c r="E491" s="81"/>
      <x:c r="F491" s="81"/>
      <x:c r="G491" s="81"/>
      <x:c r="H491" s="81"/>
      <x:c r="I491" s="81"/>
      <x:c r="J491" s="81"/>
      <x:c r="K491" s="81"/>
      <x:c r="L491" s="81"/>
      <x:c r="M491" s="81"/>
      <x:c r="N491" s="81"/>
      <x:c r="O491" s="81"/>
      <x:c r="P491" s="81"/>
      <x:c r="Q491" s="81"/>
      <x:c r="R491" s="81"/>
      <x:c r="S491" s="81"/>
      <x:c r="T491" s="81"/>
      <x:c r="U491" s="81"/>
      <x:c r="V491" s="81"/>
      <x:c r="W491" s="81"/>
      <x:c r="X491" s="81"/>
      <x:c r="Y491" s="81"/>
      <x:c r="Z491" s="81"/>
    </x:row>
    <x:row r="492">
      <x:c r="A492" s="81"/>
      <x:c r="B492" s="81"/>
      <x:c r="C492" s="81"/>
      <x:c r="D492" s="81"/>
      <x:c r="E492" s="81"/>
      <x:c r="F492" s="81"/>
      <x:c r="G492" s="81"/>
      <x:c r="H492" s="81"/>
      <x:c r="I492" s="81"/>
      <x:c r="J492" s="81"/>
      <x:c r="K492" s="81"/>
      <x:c r="L492" s="81"/>
      <x:c r="M492" s="81"/>
      <x:c r="N492" s="81"/>
      <x:c r="O492" s="81"/>
      <x:c r="P492" s="81"/>
      <x:c r="Q492" s="81"/>
      <x:c r="R492" s="81"/>
      <x:c r="S492" s="81"/>
      <x:c r="T492" s="81"/>
      <x:c r="U492" s="81"/>
      <x:c r="V492" s="81"/>
      <x:c r="W492" s="81"/>
      <x:c r="X492" s="81"/>
      <x:c r="Y492" s="81"/>
      <x:c r="Z492" s="81"/>
    </x:row>
    <x:row r="493">
      <x:c r="A493" s="81"/>
      <x:c r="B493" s="81"/>
      <x:c r="C493" s="81"/>
      <x:c r="D493" s="81"/>
      <x:c r="E493" s="81"/>
      <x:c r="F493" s="81"/>
      <x:c r="G493" s="81"/>
      <x:c r="H493" s="81"/>
      <x:c r="I493" s="81"/>
      <x:c r="J493" s="81"/>
      <x:c r="K493" s="81"/>
      <x:c r="L493" s="81"/>
      <x:c r="M493" s="81"/>
      <x:c r="N493" s="81"/>
      <x:c r="O493" s="81"/>
      <x:c r="P493" s="81"/>
      <x:c r="Q493" s="81"/>
      <x:c r="R493" s="81"/>
      <x:c r="S493" s="81"/>
      <x:c r="T493" s="81"/>
      <x:c r="U493" s="81"/>
      <x:c r="V493" s="81"/>
      <x:c r="W493" s="81"/>
      <x:c r="X493" s="81"/>
      <x:c r="Y493" s="81"/>
      <x:c r="Z493" s="81"/>
    </x:row>
    <x:row r="494">
      <x:c r="A494" s="81"/>
      <x:c r="B494" s="81"/>
      <x:c r="C494" s="81"/>
      <x:c r="D494" s="81"/>
      <x:c r="E494" s="81"/>
      <x:c r="F494" s="81"/>
      <x:c r="G494" s="81"/>
      <x:c r="H494" s="81"/>
      <x:c r="I494" s="81"/>
      <x:c r="J494" s="81"/>
      <x:c r="K494" s="81"/>
      <x:c r="L494" s="81"/>
      <x:c r="M494" s="81"/>
      <x:c r="N494" s="81"/>
      <x:c r="O494" s="81"/>
      <x:c r="P494" s="81"/>
      <x:c r="Q494" s="81"/>
      <x:c r="R494" s="81"/>
      <x:c r="S494" s="81"/>
      <x:c r="T494" s="81"/>
      <x:c r="U494" s="81"/>
      <x:c r="V494" s="81"/>
      <x:c r="W494" s="81"/>
      <x:c r="X494" s="81"/>
      <x:c r="Y494" s="81"/>
      <x:c r="Z494" s="81"/>
    </x:row>
    <x:row r="495">
      <x:c r="A495" s="81"/>
      <x:c r="B495" s="81"/>
      <x:c r="C495" s="81"/>
      <x:c r="D495" s="81"/>
      <x:c r="E495" s="81"/>
      <x:c r="F495" s="81"/>
      <x:c r="G495" s="81"/>
      <x:c r="H495" s="81"/>
      <x:c r="I495" s="81"/>
      <x:c r="J495" s="81"/>
      <x:c r="K495" s="81"/>
      <x:c r="L495" s="81"/>
      <x:c r="M495" s="81"/>
      <x:c r="N495" s="81"/>
      <x:c r="O495" s="81"/>
      <x:c r="P495" s="81"/>
      <x:c r="Q495" s="81"/>
      <x:c r="R495" s="81"/>
      <x:c r="S495" s="81"/>
      <x:c r="T495" s="81"/>
      <x:c r="U495" s="81"/>
      <x:c r="V495" s="81"/>
      <x:c r="W495" s="81"/>
      <x:c r="X495" s="81"/>
      <x:c r="Y495" s="81"/>
      <x:c r="Z495" s="81"/>
    </x:row>
    <x:row r="496">
      <x:c r="A496" s="81"/>
      <x:c r="B496" s="81"/>
      <x:c r="C496" s="81"/>
      <x:c r="D496" s="81"/>
      <x:c r="E496" s="81"/>
      <x:c r="F496" s="81"/>
      <x:c r="G496" s="81"/>
      <x:c r="H496" s="81"/>
      <x:c r="I496" s="81"/>
      <x:c r="J496" s="81"/>
      <x:c r="K496" s="81"/>
      <x:c r="L496" s="81"/>
      <x:c r="M496" s="81"/>
      <x:c r="N496" s="81"/>
      <x:c r="O496" s="81"/>
      <x:c r="P496" s="81"/>
      <x:c r="Q496" s="81"/>
      <x:c r="R496" s="81"/>
      <x:c r="S496" s="81"/>
      <x:c r="T496" s="81"/>
      <x:c r="U496" s="81"/>
      <x:c r="V496" s="81"/>
      <x:c r="W496" s="81"/>
      <x:c r="X496" s="81"/>
      <x:c r="Y496" s="81"/>
      <x:c r="Z496" s="81"/>
    </x:row>
    <x:row r="497">
      <x:c r="A497" s="81"/>
      <x:c r="B497" s="81"/>
      <x:c r="C497" s="81"/>
      <x:c r="D497" s="81"/>
      <x:c r="E497" s="81"/>
      <x:c r="F497" s="81"/>
      <x:c r="G497" s="81"/>
      <x:c r="H497" s="81"/>
      <x:c r="I497" s="81"/>
      <x:c r="J497" s="81"/>
      <x:c r="K497" s="81"/>
      <x:c r="L497" s="81"/>
      <x:c r="M497" s="81"/>
      <x:c r="N497" s="81"/>
      <x:c r="O497" s="81"/>
      <x:c r="P497" s="81"/>
      <x:c r="Q497" s="81"/>
      <x:c r="R497" s="81"/>
      <x:c r="S497" s="81"/>
      <x:c r="T497" s="81"/>
      <x:c r="U497" s="81"/>
      <x:c r="V497" s="81"/>
      <x:c r="W497" s="81"/>
      <x:c r="X497" s="81"/>
      <x:c r="Y497" s="81"/>
      <x:c r="Z497" s="81"/>
    </x:row>
    <x:row r="498">
      <x:c r="A498" s="81"/>
      <x:c r="B498" s="81"/>
      <x:c r="C498" s="81"/>
      <x:c r="D498" s="81"/>
      <x:c r="E498" s="81"/>
      <x:c r="F498" s="81"/>
      <x:c r="G498" s="81"/>
      <x:c r="H498" s="81"/>
      <x:c r="I498" s="81"/>
      <x:c r="J498" s="81"/>
      <x:c r="K498" s="81"/>
      <x:c r="L498" s="81"/>
      <x:c r="M498" s="81"/>
      <x:c r="N498" s="81"/>
      <x:c r="O498" s="81"/>
      <x:c r="P498" s="81"/>
      <x:c r="Q498" s="81"/>
      <x:c r="R498" s="81"/>
      <x:c r="S498" s="81"/>
      <x:c r="T498" s="81"/>
      <x:c r="U498" s="81"/>
      <x:c r="V498" s="81"/>
      <x:c r="W498" s="81"/>
      <x:c r="X498" s="81"/>
      <x:c r="Y498" s="81"/>
      <x:c r="Z498" s="81"/>
    </x:row>
    <x:row r="499">
      <x:c r="A499" s="81"/>
      <x:c r="B499" s="81"/>
      <x:c r="C499" s="81"/>
      <x:c r="D499" s="81"/>
      <x:c r="E499" s="81"/>
      <x:c r="F499" s="81"/>
      <x:c r="G499" s="81"/>
      <x:c r="H499" s="81"/>
      <x:c r="I499" s="81"/>
      <x:c r="J499" s="81"/>
      <x:c r="K499" s="81"/>
      <x:c r="L499" s="81"/>
      <x:c r="M499" s="81"/>
      <x:c r="N499" s="81"/>
      <x:c r="O499" s="81"/>
      <x:c r="P499" s="81"/>
      <x:c r="Q499" s="81"/>
      <x:c r="R499" s="81"/>
      <x:c r="S499" s="81"/>
      <x:c r="T499" s="81"/>
      <x:c r="U499" s="81"/>
      <x:c r="V499" s="81"/>
      <x:c r="W499" s="81"/>
      <x:c r="X499" s="81"/>
      <x:c r="Y499" s="81"/>
      <x:c r="Z499" s="81"/>
    </x:row>
    <x:row r="500">
      <x:c r="A500" s="81"/>
      <x:c r="B500" s="81"/>
      <x:c r="C500" s="81"/>
      <x:c r="D500" s="81"/>
      <x:c r="E500" s="81"/>
      <x:c r="F500" s="81"/>
      <x:c r="G500" s="81"/>
      <x:c r="H500" s="81"/>
      <x:c r="I500" s="81"/>
      <x:c r="J500" s="81"/>
      <x:c r="K500" s="81"/>
      <x:c r="L500" s="81"/>
      <x:c r="M500" s="81"/>
      <x:c r="N500" s="81"/>
      <x:c r="O500" s="81"/>
      <x:c r="P500" s="81"/>
      <x:c r="Q500" s="81"/>
      <x:c r="R500" s="81"/>
      <x:c r="S500" s="81"/>
      <x:c r="T500" s="81"/>
      <x:c r="U500" s="81"/>
      <x:c r="V500" s="81"/>
      <x:c r="W500" s="81"/>
      <x:c r="X500" s="81"/>
      <x:c r="Y500" s="81"/>
      <x:c r="Z500" s="8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09999656677246" hidden="0" customWidth="1"/>
    <x:col min="2" max="2" width="9.109999656677246" hidden="0" customWidth="1"/>
    <x:col min="3" max="3" width="4.889999866485596" hidden="0" customWidth="1"/>
    <x:col min="4" max="4" width="8.109999656677246" hidden="0" customWidth="1"/>
    <x:col min="5" max="5" width="8.5600004196167" hidden="0" customWidth="1"/>
    <x:col min="6" max="6" width="17.440000534057617" hidden="0" customWidth="1"/>
    <x:col min="7" max="7" width="13.779999732971191" hidden="0" customWidth="1"/>
    <x:col min="8" max="8" width="6.670000076293945" hidden="0" customWidth="1"/>
    <x:col min="9" max="9" width="7.78000020980835" hidden="0" customWidth="1"/>
    <x:col min="10" max="10" width="8.220000267028809" hidden="0" customWidth="1"/>
  </x:cols>
  <x:sheetData>
    <x:row r="1">
      <x:c r="A1" s="86" t="str">
        <x:v>Date</x:v>
      </x:c>
      <x:c r="B1" s="86" t="str">
        <x:v>Fund_Code</x:v>
      </x:c>
      <x:c r="C1" s="86" t="str">
        <x:v>Ticker</x:v>
      </x:c>
      <x:c r="D1" s="86" t="str">
        <x:v>Sector</x:v>
      </x:c>
      <x:c r="E1" s="86" t="str">
        <x:v>Weight_Pct</x:v>
      </x:c>
      <x:c r="F1" s="86" t="str">
        <x:v>Benchmark_Weight_Pct</x:v>
      </x:c>
      <x:c r="G1" s="86" t="str">
        <x:v>Active_Weight_Pct</x:v>
      </x:c>
      <x:c r="H1" s="86" t="str">
        <x:v>Liquidity</x:v>
      </x:c>
      <x:c r="I1" s="86" t="str">
        <x:v>Source_ID</x:v>
      </x:c>
      <x:c r="J1" s="86" t="str">
        <x:v>Status</x:v>
      </x:c>
    </x:row>
    <x:row r="2">
      <x:c r="A2" s="44" t="str">
        <x:v>2026-07-31</x:v>
      </x:c>
      <x:c r="B2" s="44" t="str">
        <x:v>DCDS</x:v>
      </x:c>
      <x:c r="C2" s="44" t="str">
        <x:v>MSN</x:v>
      </x:c>
      <x:c r="D2" s="44" t="str">
        <x:v>Consumer</x:v>
      </x:c>
      <x:c r="E2" s="44" t="n">
        <x:v>8.56</x:v>
      </x:c>
      <x:c r="F2" s="44" t="n">
        <x:v>9.31</x:v>
      </x:c>
      <x:c r="G2" s="44" t="n">
        <x:v>-0.75</x:v>
      </x:c>
      <x:c r="H2" s="44" t="str">
        <x:v>Medium</x:v>
      </x:c>
      <x:c r="I2" s="44" t="str">
        <x:v>S004</x:v>
      </x:c>
      <x:c r="J2" s="44" t="str">
        <x:v>Assumption</x:v>
      </x:c>
    </x:row>
    <x:row r="3">
      <x:c r="A3" s="44" t="str">
        <x:v>2026-07-31</x:v>
      </x:c>
      <x:c r="B3" s="44" t="str">
        <x:v>DCDS</x:v>
      </x:c>
      <x:c r="C3" s="44" t="str">
        <x:v>PLX</x:v>
      </x:c>
      <x:c r="D3" s="44" t="str">
        <x:v>Energy</x:v>
      </x:c>
      <x:c r="E3" s="44" t="n">
        <x:v>5.86</x:v>
      </x:c>
      <x:c r="F3" s="44" t="n">
        <x:v>5.32</x:v>
      </x:c>
      <x:c r="G3" s="44" t="n">
        <x:v>0.54</x:v>
      </x:c>
      <x:c r="H3" s="44" t="str">
        <x:v>High</x:v>
      </x:c>
      <x:c r="I3" s="44" t="str">
        <x:v>S004</x:v>
      </x:c>
      <x:c r="J3" s="44" t="str">
        <x:v>Assumption</x:v>
      </x:c>
    </x:row>
    <x:row r="4">
      <x:c r="A4" s="44" t="str">
        <x:v>2026-07-31</x:v>
      </x:c>
      <x:c r="B4" s="44" t="str">
        <x:v>DCDS</x:v>
      </x:c>
      <x:c r="C4" s="44" t="str">
        <x:v>GMD</x:v>
      </x:c>
      <x:c r="D4" s="44" t="str">
        <x:v>Logistics</x:v>
      </x:c>
      <x:c r="E4" s="44" t="n">
        <x:v>10.6</x:v>
      </x:c>
      <x:c r="F4" s="44" t="n">
        <x:v>12.4</x:v>
      </x:c>
      <x:c r="G4" s="44" t="n">
        <x:v>-1.8</x:v>
      </x:c>
      <x:c r="H4" s="44" t="str">
        <x:v>High</x:v>
      </x:c>
      <x:c r="I4" s="44" t="str">
        <x:v>S004</x:v>
      </x:c>
      <x:c r="J4" s="44" t="str">
        <x:v>Assumption</x:v>
      </x:c>
    </x:row>
    <x:row r="5">
      <x:c r="A5" s="44" t="str">
        <x:v>2026-07-31</x:v>
      </x:c>
      <x:c r="B5" s="44" t="str">
        <x:v>DCDS</x:v>
      </x:c>
      <x:c r="C5" s="44" t="str">
        <x:v>VND</x:v>
      </x:c>
      <x:c r="D5" s="44" t="str">
        <x:v>Securities</x:v>
      </x:c>
      <x:c r="E5" s="44" t="n">
        <x:v>6.84</x:v>
      </x:c>
      <x:c r="F5" s="44" t="n">
        <x:v>7.33</x:v>
      </x:c>
      <x:c r="G5" s="44" t="n">
        <x:v>-0.49</x:v>
      </x:c>
      <x:c r="H5" s="44" t="str">
        <x:v>High</x:v>
      </x:c>
      <x:c r="I5" s="44" t="str">
        <x:v>S004</x:v>
      </x:c>
      <x:c r="J5" s="44" t="str">
        <x:v>Assumption</x:v>
      </x:c>
    </x:row>
    <x:row r="6">
      <x:c r="A6" s="44" t="str">
        <x:v>2026-07-31</x:v>
      </x:c>
      <x:c r="B6" s="44" t="str">
        <x:v>DCDS</x:v>
      </x:c>
      <x:c r="C6" s="44" t="str">
        <x:v>VIC</x:v>
      </x:c>
      <x:c r="D6" s="44" t="str">
        <x:v>Real Estate</x:v>
      </x:c>
      <x:c r="E6" s="44" t="n">
        <x:v>12.73</x:v>
      </x:c>
      <x:c r="F6" s="44" t="n">
        <x:v>13.6</x:v>
      </x:c>
      <x:c r="G6" s="44" t="n">
        <x:v>-0.88</x:v>
      </x:c>
      <x:c r="H6" s="44" t="str">
        <x:v>High</x:v>
      </x:c>
      <x:c r="I6" s="44" t="str">
        <x:v>S004</x:v>
      </x:c>
      <x:c r="J6" s="44" t="str">
        <x:v>Assumption</x:v>
      </x:c>
    </x:row>
    <x:row r="7">
      <x:c r="A7" s="44" t="str">
        <x:v>2026-07-31</x:v>
      </x:c>
      <x:c r="B7" s="44" t="str">
        <x:v>DCDS</x:v>
      </x:c>
      <x:c r="C7" s="44" t="str">
        <x:v>VHM</x:v>
      </x:c>
      <x:c r="D7" s="44" t="str">
        <x:v>Real Estate</x:v>
      </x:c>
      <x:c r="E7" s="44" t="n">
        <x:v>3.39</x:v>
      </x:c>
      <x:c r="F7" s="44" t="n">
        <x:v>3.42</x:v>
      </x:c>
      <x:c r="G7" s="44" t="n">
        <x:v>-0.03</x:v>
      </x:c>
      <x:c r="H7" s="44" t="str">
        <x:v>High</x:v>
      </x:c>
      <x:c r="I7" s="44" t="str">
        <x:v>S004</x:v>
      </x:c>
      <x:c r="J7" s="44" t="str">
        <x:v>Assumption</x:v>
      </x:c>
    </x:row>
    <x:row r="8">
      <x:c r="A8" s="44" t="str">
        <x:v>2026-07-31</x:v>
      </x:c>
      <x:c r="B8" s="44" t="str">
        <x:v>DCDS</x:v>
      </x:c>
      <x:c r="C8" s="44" t="str">
        <x:v>MBB</x:v>
      </x:c>
      <x:c r="D8" s="44" t="str">
        <x:v>Banks</x:v>
      </x:c>
      <x:c r="E8" s="44" t="n">
        <x:v>11.82</x:v>
      </x:c>
      <x:c r="F8" s="44" t="n">
        <x:v>11.12</x:v>
      </x:c>
      <x:c r="G8" s="44" t="n">
        <x:v>0.7</x:v>
      </x:c>
      <x:c r="H8" s="44" t="str">
        <x:v>High</x:v>
      </x:c>
      <x:c r="I8" s="44" t="str">
        <x:v>S004</x:v>
      </x:c>
      <x:c r="J8" s="44" t="str">
        <x:v>Assumption</x:v>
      </x:c>
    </x:row>
    <x:row r="9">
      <x:c r="A9" s="44" t="str">
        <x:v>2026-07-31</x:v>
      </x:c>
      <x:c r="B9" s="44" t="str">
        <x:v>DCDS</x:v>
      </x:c>
      <x:c r="C9" s="44" t="str">
        <x:v>VCB</x:v>
      </x:c>
      <x:c r="D9" s="44" t="str">
        <x:v>Banks</x:v>
      </x:c>
      <x:c r="E9" s="44" t="n">
        <x:v>4.19</x:v>
      </x:c>
      <x:c r="F9" s="44" t="n">
        <x:v>4.41</x:v>
      </x:c>
      <x:c r="G9" s="44" t="n">
        <x:v>-0.22</x:v>
      </x:c>
      <x:c r="H9" s="44" t="str">
        <x:v>Medium</x:v>
      </x:c>
      <x:c r="I9" s="44" t="str">
        <x:v>S004</x:v>
      </x:c>
      <x:c r="J9" s="44" t="str">
        <x:v>Assumption</x:v>
      </x:c>
    </x:row>
    <x:row r="10">
      <x:c r="A10" s="44" t="str">
        <x:v>2026-07-31</x:v>
      </x:c>
      <x:c r="B10" s="44" t="str">
        <x:v>DCDS</x:v>
      </x:c>
      <x:c r="C10" s="44" t="str">
        <x:v>SSI</x:v>
      </x:c>
      <x:c r="D10" s="44" t="str">
        <x:v>Securities</x:v>
      </x:c>
      <x:c r="E10" s="44" t="n">
        <x:v>2.63</x:v>
      </x:c>
      <x:c r="F10" s="44" t="n">
        <x:v>2.31</x:v>
      </x:c>
      <x:c r="G10" s="44" t="n">
        <x:v>0.32</x:v>
      </x:c>
      <x:c r="H10" s="44" t="str">
        <x:v>High</x:v>
      </x:c>
      <x:c r="I10" s="44" t="str">
        <x:v>S004</x:v>
      </x:c>
      <x:c r="J10" s="44" t="str">
        <x:v>Assumption</x:v>
      </x:c>
    </x:row>
    <x:row r="11">
      <x:c r="A11" s="44" t="str">
        <x:v>2026-07-31</x:v>
      </x:c>
      <x:c r="B11" s="44" t="str">
        <x:v>DCDS</x:v>
      </x:c>
      <x:c r="C11" s="44" t="str">
        <x:v>ACB</x:v>
      </x:c>
      <x:c r="D11" s="44" t="str">
        <x:v>Banks</x:v>
      </x:c>
      <x:c r="E11" s="44" t="n">
        <x:v>6.83</x:v>
      </x:c>
      <x:c r="F11" s="44" t="n">
        <x:v>7.54</x:v>
      </x:c>
      <x:c r="G11" s="44" t="n">
        <x:v>-0.71</x:v>
      </x:c>
      <x:c r="H11" s="44" t="str">
        <x:v>Medium</x:v>
      </x:c>
      <x:c r="I11" s="44" t="str">
        <x:v>S004</x:v>
      </x:c>
      <x:c r="J11" s="44" t="str">
        <x:v>Assumption</x:v>
      </x:c>
    </x:row>
    <x:row r="12">
      <x:c r="A12" s="44" t="str">
        <x:v>2026-07-31</x:v>
      </x:c>
      <x:c r="B12" s="44" t="str">
        <x:v>DCDS</x:v>
      </x:c>
      <x:c r="C12" s="44" t="str">
        <x:v>VNM</x:v>
      </x:c>
      <x:c r="D12" s="44" t="str">
        <x:v>Consumer</x:v>
      </x:c>
      <x:c r="E12" s="44" t="n">
        <x:v>7.74</x:v>
      </x:c>
      <x:c r="F12" s="44" t="n">
        <x:v>8.2</x:v>
      </x:c>
      <x:c r="G12" s="44" t="n">
        <x:v>-0.46</x:v>
      </x:c>
      <x:c r="H12" s="44" t="str">
        <x:v>High</x:v>
      </x:c>
      <x:c r="I12" s="44" t="str">
        <x:v>S004</x:v>
      </x:c>
      <x:c r="J12" s="44" t="str">
        <x:v>Assumption</x:v>
      </x:c>
    </x:row>
    <x:row r="13">
      <x:c r="A13" s="44" t="str">
        <x:v>2026-07-31</x:v>
      </x:c>
      <x:c r="B13" s="44" t="str">
        <x:v>DCDS</x:v>
      </x:c>
      <x:c r="C13" s="44" t="str">
        <x:v>CTG</x:v>
      </x:c>
      <x:c r="D13" s="44" t="str">
        <x:v>Banks</x:v>
      </x:c>
      <x:c r="E13" s="44" t="n">
        <x:v>10.82</x:v>
      </x:c>
      <x:c r="F13" s="44" t="n">
        <x:v>10.44</x:v>
      </x:c>
      <x:c r="G13" s="44" t="n">
        <x:v>0.38</x:v>
      </x:c>
      <x:c r="H13" s="44" t="str">
        <x:v>High</x:v>
      </x:c>
      <x:c r="I13" s="44" t="str">
        <x:v>S004</x:v>
      </x:c>
      <x:c r="J13" s="44" t="str">
        <x:v>Assumption</x:v>
      </x:c>
    </x:row>
    <x:row r="14">
      <x:c r="A14" s="44" t="str">
        <x:v>2026-07-31</x:v>
      </x:c>
      <x:c r="B14" s="44" t="str">
        <x:v>DCDS</x:v>
      </x:c>
      <x:c r="C14" s="44" t="str">
        <x:v>CASH</x:v>
      </x:c>
      <x:c r="D14" s="44" t="str">
        <x:v>Cash</x:v>
      </x:c>
      <x:c r="E14" s="44" t="n">
        <x:v>8</x:v>
      </x:c>
      <x:c r="F14" s="44" t="n">
        <x:v>0</x:v>
      </x:c>
      <x:c r="G14" s="44" t="n">
        <x:v>8</x:v>
      </x:c>
      <x:c r="H14" s="44" t="str">
        <x:v>High</x:v>
      </x:c>
      <x:c r="I14" s="44" t="str">
        <x:v>S004</x:v>
      </x:c>
      <x:c r="J14" s="44" t="str">
        <x:v>Assumption</x:v>
      </x:c>
    </x:row>
    <x:row r="15">
      <x:c r="A15" s="44" t="str">
        <x:v>2026-07-31</x:v>
      </x:c>
      <x:c r="B15" s="44" t="str">
        <x:v>DCDE</x:v>
      </x:c>
      <x:c r="C15" s="44" t="str">
        <x:v>SSI</x:v>
      </x:c>
      <x:c r="D15" s="44" t="str">
        <x:v>Securities</x:v>
      </x:c>
      <x:c r="E15" s="44" t="n">
        <x:v>9.61</x:v>
      </x:c>
      <x:c r="F15" s="44" t="n">
        <x:v>8.2</x:v>
      </x:c>
      <x:c r="G15" s="44" t="n">
        <x:v>1.41</x:v>
      </x:c>
      <x:c r="H15" s="44" t="str">
        <x:v>High</x:v>
      </x:c>
      <x:c r="I15" s="44" t="str">
        <x:v>S004</x:v>
      </x:c>
      <x:c r="J15" s="44" t="str">
        <x:v>Assumption</x:v>
      </x:c>
    </x:row>
    <x:row r="16">
      <x:c r="A16" s="44" t="str">
        <x:v>2026-07-31</x:v>
      </x:c>
      <x:c r="B16" s="44" t="str">
        <x:v>DCDE</x:v>
      </x:c>
      <x:c r="C16" s="44" t="str">
        <x:v>REE</x:v>
      </x:c>
      <x:c r="D16" s="44" t="str">
        <x:v>Industrials</x:v>
      </x:c>
      <x:c r="E16" s="44" t="n">
        <x:v>11.22</x:v>
      </x:c>
      <x:c r="F16" s="44" t="n">
        <x:v>10.2</x:v>
      </x:c>
      <x:c r="G16" s="44" t="n">
        <x:v>1.02</x:v>
      </x:c>
      <x:c r="H16" s="44" t="str">
        <x:v>High</x:v>
      </x:c>
      <x:c r="I16" s="44" t="str">
        <x:v>S004</x:v>
      </x:c>
      <x:c r="J16" s="44" t="str">
        <x:v>Assumption</x:v>
      </x:c>
    </x:row>
    <x:row r="17">
      <x:c r="A17" s="44" t="str">
        <x:v>2026-07-31</x:v>
      </x:c>
      <x:c r="B17" s="44" t="str">
        <x:v>DCDE</x:v>
      </x:c>
      <x:c r="C17" s="44" t="str">
        <x:v>HPG</x:v>
      </x:c>
      <x:c r="D17" s="44" t="str">
        <x:v>Materials</x:v>
      </x:c>
      <x:c r="E17" s="44" t="n">
        <x:v>9.05</x:v>
      </x:c>
      <x:c r="F17" s="44" t="n">
        <x:v>9.5</x:v>
      </x:c>
      <x:c r="G17" s="44" t="n">
        <x:v>-0.45</x:v>
      </x:c>
      <x:c r="H17" s="44" t="str">
        <x:v>High</x:v>
      </x:c>
      <x:c r="I17" s="44" t="str">
        <x:v>S004</x:v>
      </x:c>
      <x:c r="J17" s="44" t="str">
        <x:v>Assumption</x:v>
      </x:c>
    </x:row>
    <x:row r="18">
      <x:c r="A18" s="44" t="str">
        <x:v>2026-07-31</x:v>
      </x:c>
      <x:c r="B18" s="44" t="str">
        <x:v>DCDE</x:v>
      </x:c>
      <x:c r="C18" s="44" t="str">
        <x:v>ACB</x:v>
      </x:c>
      <x:c r="D18" s="44" t="str">
        <x:v>Banks</x:v>
      </x:c>
      <x:c r="E18" s="44" t="n">
        <x:v>8.31</x:v>
      </x:c>
      <x:c r="F18" s="44" t="n">
        <x:v>8.13</x:v>
      </x:c>
      <x:c r="G18" s="44" t="n">
        <x:v>0.18</x:v>
      </x:c>
      <x:c r="H18" s="44" t="str">
        <x:v>Medium</x:v>
      </x:c>
      <x:c r="I18" s="44" t="str">
        <x:v>S004</x:v>
      </x:c>
      <x:c r="J18" s="44" t="str">
        <x:v>Assumption</x:v>
      </x:c>
    </x:row>
    <x:row r="19">
      <x:c r="A19" s="44" t="str">
        <x:v>2026-07-31</x:v>
      </x:c>
      <x:c r="B19" s="44" t="str">
        <x:v>DCDE</x:v>
      </x:c>
      <x:c r="C19" s="44" t="str">
        <x:v>VND</x:v>
      </x:c>
      <x:c r="D19" s="44" t="str">
        <x:v>Securities</x:v>
      </x:c>
      <x:c r="E19" s="44" t="n">
        <x:v>4.68</x:v>
      </x:c>
      <x:c r="F19" s="44" t="n">
        <x:v>5.55</x:v>
      </x:c>
      <x:c r="G19" s="44" t="n">
        <x:v>-0.87</x:v>
      </x:c>
      <x:c r="H19" s="44" t="str">
        <x:v>High</x:v>
      </x:c>
      <x:c r="I19" s="44" t="str">
        <x:v>S004</x:v>
      </x:c>
      <x:c r="J19" s="44" t="str">
        <x:v>Assumption</x:v>
      </x:c>
    </x:row>
    <x:row r="20">
      <x:c r="A20" s="44" t="str">
        <x:v>2026-07-31</x:v>
      </x:c>
      <x:c r="B20" s="44" t="str">
        <x:v>DCDE</x:v>
      </x:c>
      <x:c r="C20" s="44" t="str">
        <x:v>MWG</x:v>
      </x:c>
      <x:c r="D20" s="44" t="str">
        <x:v>Retail</x:v>
      </x:c>
      <x:c r="E20" s="44" t="n">
        <x:v>8.35</x:v>
      </x:c>
      <x:c r="F20" s="44" t="n">
        <x:v>8.33</x:v>
      </x:c>
      <x:c r="G20" s="44" t="n">
        <x:v>0.02</x:v>
      </x:c>
      <x:c r="H20" s="44" t="str">
        <x:v>Medium</x:v>
      </x:c>
      <x:c r="I20" s="44" t="str">
        <x:v>S004</x:v>
      </x:c>
      <x:c r="J20" s="44" t="str">
        <x:v>Assumption</x:v>
      </x:c>
    </x:row>
    <x:row r="21">
      <x:c r="A21" s="44" t="str">
        <x:v>2026-07-31</x:v>
      </x:c>
      <x:c r="B21" s="44" t="str">
        <x:v>DCDE</x:v>
      </x:c>
      <x:c r="C21" s="44" t="str">
        <x:v>CTG</x:v>
      </x:c>
      <x:c r="D21" s="44" t="str">
        <x:v>Banks</x:v>
      </x:c>
      <x:c r="E21" s="44" t="n">
        <x:v>7.92</x:v>
      </x:c>
      <x:c r="F21" s="44" t="n">
        <x:v>6.51</x:v>
      </x:c>
      <x:c r="G21" s="44" t="n">
        <x:v>1.41</x:v>
      </x:c>
      <x:c r="H21" s="44" t="str">
        <x:v>High</x:v>
      </x:c>
      <x:c r="I21" s="44" t="str">
        <x:v>S004</x:v>
      </x:c>
      <x:c r="J21" s="44" t="str">
        <x:v>Assumption</x:v>
      </x:c>
    </x:row>
    <x:row r="22">
      <x:c r="A22" s="44" t="str">
        <x:v>2026-07-31</x:v>
      </x:c>
      <x:c r="B22" s="44" t="str">
        <x:v>DCDE</x:v>
      </x:c>
      <x:c r="C22" s="44" t="str">
        <x:v>MSN</x:v>
      </x:c>
      <x:c r="D22" s="44" t="str">
        <x:v>Consumer</x:v>
      </x:c>
      <x:c r="E22" s="44" t="n">
        <x:v>2.84</x:v>
      </x:c>
      <x:c r="F22" s="44" t="n">
        <x:v>4.41</x:v>
      </x:c>
      <x:c r="G22" s="44" t="n">
        <x:v>-1.57</x:v>
      </x:c>
      <x:c r="H22" s="44" t="str">
        <x:v>High</x:v>
      </x:c>
      <x:c r="I22" s="44" t="str">
        <x:v>S004</x:v>
      </x:c>
      <x:c r="J22" s="44" t="str">
        <x:v>Assumption</x:v>
      </x:c>
    </x:row>
    <x:row r="23">
      <x:c r="A23" s="44" t="str">
        <x:v>2026-07-31</x:v>
      </x:c>
      <x:c r="B23" s="44" t="str">
        <x:v>DCDE</x:v>
      </x:c>
      <x:c r="C23" s="44" t="str">
        <x:v>VNM</x:v>
      </x:c>
      <x:c r="D23" s="44" t="str">
        <x:v>Consumer</x:v>
      </x:c>
      <x:c r="E23" s="44" t="n">
        <x:v>11.14</x:v>
      </x:c>
      <x:c r="F23" s="44" t="n">
        <x:v>12.26</x:v>
      </x:c>
      <x:c r="G23" s="44" t="n">
        <x:v>-1.11</x:v>
      </x:c>
      <x:c r="H23" s="44" t="str">
        <x:v>Medium</x:v>
      </x:c>
      <x:c r="I23" s="44" t="str">
        <x:v>S004</x:v>
      </x:c>
      <x:c r="J23" s="44" t="str">
        <x:v>Assumption</x:v>
      </x:c>
    </x:row>
    <x:row r="24">
      <x:c r="A24" s="44" t="str">
        <x:v>2026-07-31</x:v>
      </x:c>
      <x:c r="B24" s="44" t="str">
        <x:v>DCDE</x:v>
      </x:c>
      <x:c r="C24" s="44" t="str">
        <x:v>TCB</x:v>
      </x:c>
      <x:c r="D24" s="44" t="str">
        <x:v>Banks</x:v>
      </x:c>
      <x:c r="E24" s="44" t="n">
        <x:v>4.21</x:v>
      </x:c>
      <x:c r="F24" s="44" t="n">
        <x:v>2.91</x:v>
      </x:c>
      <x:c r="G24" s="44" t="n">
        <x:v>1.3</x:v>
      </x:c>
      <x:c r="H24" s="44" t="str">
        <x:v>High</x:v>
      </x:c>
      <x:c r="I24" s="44" t="str">
        <x:v>S004</x:v>
      </x:c>
      <x:c r="J24" s="44" t="str">
        <x:v>Assumption</x:v>
      </x:c>
    </x:row>
    <x:row r="25">
      <x:c r="A25" s="44" t="str">
        <x:v>2026-07-31</x:v>
      </x:c>
      <x:c r="B25" s="44" t="str">
        <x:v>DCDE</x:v>
      </x:c>
      <x:c r="C25" s="44" t="str">
        <x:v>STB</x:v>
      </x:c>
      <x:c r="D25" s="44" t="str">
        <x:v>Banks</x:v>
      </x:c>
      <x:c r="E25" s="44" t="n">
        <x:v>4.94</x:v>
      </x:c>
      <x:c r="F25" s="44" t="n">
        <x:v>3.14</x:v>
      </x:c>
      <x:c r="G25" s="44" t="n">
        <x:v>1.8</x:v>
      </x:c>
      <x:c r="H25" s="44" t="str">
        <x:v>Medium</x:v>
      </x:c>
      <x:c r="I25" s="44" t="str">
        <x:v>S004</x:v>
      </x:c>
      <x:c r="J25" s="44" t="str">
        <x:v>Assumption</x:v>
      </x:c>
    </x:row>
    <x:row r="26">
      <x:c r="A26" s="44" t="str">
        <x:v>2026-07-31</x:v>
      </x:c>
      <x:c r="B26" s="44" t="str">
        <x:v>DCDE</x:v>
      </x:c>
      <x:c r="C26" s="44" t="str">
        <x:v>PLX</x:v>
      </x:c>
      <x:c r="D26" s="44" t="str">
        <x:v>Energy</x:v>
      </x:c>
      <x:c r="E26" s="44" t="n">
        <x:v>9.73</x:v>
      </x:c>
      <x:c r="F26" s="44" t="n">
        <x:v>11.4</x:v>
      </x:c>
      <x:c r="G26" s="44" t="n">
        <x:v>-1.67</x:v>
      </x:c>
      <x:c r="H26" s="44" t="str">
        <x:v>High</x:v>
      </x:c>
      <x:c r="I26" s="44" t="str">
        <x:v>S004</x:v>
      </x:c>
      <x:c r="J26" s="44" t="str">
        <x:v>Assumption</x:v>
      </x:c>
    </x:row>
    <x:row r="27">
      <x:c r="A27" s="44" t="str">
        <x:v>2026-07-31</x:v>
      </x:c>
      <x:c r="B27" s="44" t="str">
        <x:v>DCDE</x:v>
      </x:c>
      <x:c r="C27" s="44" t="str">
        <x:v>CASH</x:v>
      </x:c>
      <x:c r="D27" s="44" t="str">
        <x:v>Cash</x:v>
      </x:c>
      <x:c r="E27" s="44" t="n">
        <x:v>8</x:v>
      </x:c>
      <x:c r="F27" s="44" t="n">
        <x:v>0</x:v>
      </x:c>
      <x:c r="G27" s="44" t="n">
        <x:v>8</x:v>
      </x:c>
      <x:c r="H27" s="44" t="str">
        <x:v>High</x:v>
      </x:c>
      <x:c r="I27" s="44" t="str">
        <x:v>S004</x:v>
      </x:c>
      <x:c r="J27" s="44" t="str">
        <x:v>Assumption</x:v>
      </x:c>
    </x:row>
    <x:row r="28">
      <x:c r="A28" s="44" t="str">
        <x:v>2026-07-31</x:v>
      </x:c>
      <x:c r="B28" s="44" t="str">
        <x:v>E1VFVN30</x:v>
      </x:c>
      <x:c r="C28" s="44" t="str">
        <x:v>CTG</x:v>
      </x:c>
      <x:c r="D28" s="44" t="str">
        <x:v>Banks</x:v>
      </x:c>
      <x:c r="E28" s="44" t="n">
        <x:v>6.72</x:v>
      </x:c>
      <x:c r="F28" s="44" t="n">
        <x:v>5.66</x:v>
      </x:c>
      <x:c r="G28" s="44" t="n">
        <x:v>1.06</x:v>
      </x:c>
      <x:c r="H28" s="44" t="str">
        <x:v>High</x:v>
      </x:c>
      <x:c r="I28" s="44" t="str">
        <x:v>S004</x:v>
      </x:c>
      <x:c r="J28" s="44" t="str">
        <x:v>Assumption</x:v>
      </x:c>
    </x:row>
    <x:row r="29">
      <x:c r="A29" s="44" t="str">
        <x:v>2026-07-31</x:v>
      </x:c>
      <x:c r="B29" s="44" t="str">
        <x:v>E1VFVN30</x:v>
      </x:c>
      <x:c r="C29" s="44" t="str">
        <x:v>MBB</x:v>
      </x:c>
      <x:c r="D29" s="44" t="str">
        <x:v>Banks</x:v>
      </x:c>
      <x:c r="E29" s="44" t="n">
        <x:v>3.74</x:v>
      </x:c>
      <x:c r="F29" s="44" t="n">
        <x:v>3.02</x:v>
      </x:c>
      <x:c r="G29" s="44" t="n">
        <x:v>0.72</x:v>
      </x:c>
      <x:c r="H29" s="44" t="str">
        <x:v>High</x:v>
      </x:c>
      <x:c r="I29" s="44" t="str">
        <x:v>S004</x:v>
      </x:c>
      <x:c r="J29" s="44" t="str">
        <x:v>Assumption</x:v>
      </x:c>
    </x:row>
    <x:row r="30">
      <x:c r="A30" s="44" t="str">
        <x:v>2026-07-31</x:v>
      </x:c>
      <x:c r="B30" s="44" t="str">
        <x:v>E1VFVN30</x:v>
      </x:c>
      <x:c r="C30" s="44" t="str">
        <x:v>REE</x:v>
      </x:c>
      <x:c r="D30" s="44" t="str">
        <x:v>Industrials</x:v>
      </x:c>
      <x:c r="E30" s="44" t="n">
        <x:v>11.05</x:v>
      </x:c>
      <x:c r="F30" s="44" t="n">
        <x:v>9.6</x:v>
      </x:c>
      <x:c r="G30" s="44" t="n">
        <x:v>1.45</x:v>
      </x:c>
      <x:c r="H30" s="44" t="str">
        <x:v>Medium</x:v>
      </x:c>
      <x:c r="I30" s="44" t="str">
        <x:v>S004</x:v>
      </x:c>
      <x:c r="J30" s="44" t="str">
        <x:v>Assumption</x:v>
      </x:c>
    </x:row>
    <x:row r="31">
      <x:c r="A31" s="44" t="str">
        <x:v>2026-07-31</x:v>
      </x:c>
      <x:c r="B31" s="44" t="str">
        <x:v>E1VFVN30</x:v>
      </x:c>
      <x:c r="C31" s="44" t="str">
        <x:v>MSN</x:v>
      </x:c>
      <x:c r="D31" s="44" t="str">
        <x:v>Consumer</x:v>
      </x:c>
      <x:c r="E31" s="44" t="n">
        <x:v>6.77</x:v>
      </x:c>
      <x:c r="F31" s="44" t="n">
        <x:v>6.3</x:v>
      </x:c>
      <x:c r="G31" s="44" t="n">
        <x:v>0.47</x:v>
      </x:c>
      <x:c r="H31" s="44" t="str">
        <x:v>Medium</x:v>
      </x:c>
      <x:c r="I31" s="44" t="str">
        <x:v>S004</x:v>
      </x:c>
      <x:c r="J31" s="44" t="str">
        <x:v>Assumption</x:v>
      </x:c>
    </x:row>
    <x:row r="32">
      <x:c r="A32" s="44" t="str">
        <x:v>2026-07-31</x:v>
      </x:c>
      <x:c r="B32" s="44" t="str">
        <x:v>E1VFVN30</x:v>
      </x:c>
      <x:c r="C32" s="44" t="str">
        <x:v>VND</x:v>
      </x:c>
      <x:c r="D32" s="44" t="str">
        <x:v>Securities</x:v>
      </x:c>
      <x:c r="E32" s="44" t="n">
        <x:v>9.9</x:v>
      </x:c>
      <x:c r="F32" s="44" t="n">
        <x:v>10.73</x:v>
      </x:c>
      <x:c r="G32" s="44" t="n">
        <x:v>-0.83</x:v>
      </x:c>
      <x:c r="H32" s="44" t="str">
        <x:v>High</x:v>
      </x:c>
      <x:c r="I32" s="44" t="str">
        <x:v>S004</x:v>
      </x:c>
      <x:c r="J32" s="44" t="str">
        <x:v>Assumption</x:v>
      </x:c>
    </x:row>
    <x:row r="33">
      <x:c r="A33" s="44" t="str">
        <x:v>2026-07-31</x:v>
      </x:c>
      <x:c r="B33" s="44" t="str">
        <x:v>E1VFVN30</x:v>
      </x:c>
      <x:c r="C33" s="44" t="str">
        <x:v>PLX</x:v>
      </x:c>
      <x:c r="D33" s="44" t="str">
        <x:v>Energy</x:v>
      </x:c>
      <x:c r="E33" s="44" t="n">
        <x:v>10.82</x:v>
      </x:c>
      <x:c r="F33" s="44" t="n">
        <x:v>10.48</x:v>
      </x:c>
      <x:c r="G33" s="44" t="n">
        <x:v>0.34</x:v>
      </x:c>
      <x:c r="H33" s="44" t="str">
        <x:v>High</x:v>
      </x:c>
      <x:c r="I33" s="44" t="str">
        <x:v>S004</x:v>
      </x:c>
      <x:c r="J33" s="44" t="str">
        <x:v>Assumption</x:v>
      </x:c>
    </x:row>
    <x:row r="34">
      <x:c r="A34" s="44" t="str">
        <x:v>2026-07-31</x:v>
      </x:c>
      <x:c r="B34" s="44" t="str">
        <x:v>E1VFVN30</x:v>
      </x:c>
      <x:c r="C34" s="44" t="str">
        <x:v>MWG</x:v>
      </x:c>
      <x:c r="D34" s="44" t="str">
        <x:v>Retail</x:v>
      </x:c>
      <x:c r="E34" s="44" t="n">
        <x:v>4.97</x:v>
      </x:c>
      <x:c r="F34" s="44" t="n">
        <x:v>5.14</x:v>
      </x:c>
      <x:c r="G34" s="44" t="n">
        <x:v>-0.17</x:v>
      </x:c>
      <x:c r="H34" s="44" t="str">
        <x:v>High</x:v>
      </x:c>
      <x:c r="I34" s="44" t="str">
        <x:v>S004</x:v>
      </x:c>
      <x:c r="J34" s="44" t="str">
        <x:v>Assumption</x:v>
      </x:c>
    </x:row>
    <x:row r="35">
      <x:c r="A35" s="44" t="str">
        <x:v>2026-07-31</x:v>
      </x:c>
      <x:c r="B35" s="44" t="str">
        <x:v>E1VFVN30</x:v>
      </x:c>
      <x:c r="C35" s="44" t="str">
        <x:v>SSI</x:v>
      </x:c>
      <x:c r="D35" s="44" t="str">
        <x:v>Securities</x:v>
      </x:c>
      <x:c r="E35" s="44" t="n">
        <x:v>10.17</x:v>
      </x:c>
      <x:c r="F35" s="44" t="n">
        <x:v>8.42</x:v>
      </x:c>
      <x:c r="G35" s="44" t="n">
        <x:v>1.75</x:v>
      </x:c>
      <x:c r="H35" s="44" t="str">
        <x:v>High</x:v>
      </x:c>
      <x:c r="I35" s="44" t="str">
        <x:v>S004</x:v>
      </x:c>
      <x:c r="J35" s="44" t="str">
        <x:v>Assumption</x:v>
      </x:c>
    </x:row>
    <x:row r="36">
      <x:c r="A36" s="44" t="str">
        <x:v>2026-07-31</x:v>
      </x:c>
      <x:c r="B36" s="44" t="str">
        <x:v>E1VFVN30</x:v>
      </x:c>
      <x:c r="C36" s="44" t="str">
        <x:v>GAS</x:v>
      </x:c>
      <x:c r="D36" s="44" t="str">
        <x:v>Energy</x:v>
      </x:c>
      <x:c r="E36" s="44" t="n">
        <x:v>7.12</x:v>
      </x:c>
      <x:c r="F36" s="44" t="n">
        <x:v>6.68</x:v>
      </x:c>
      <x:c r="G36" s="44" t="n">
        <x:v>0.44</x:v>
      </x:c>
      <x:c r="H36" s="44" t="str">
        <x:v>High</x:v>
      </x:c>
      <x:c r="I36" s="44" t="str">
        <x:v>S004</x:v>
      </x:c>
      <x:c r="J36" s="44" t="str">
        <x:v>Assumption</x:v>
      </x:c>
    </x:row>
    <x:row r="37">
      <x:c r="A37" s="44" t="str">
        <x:v>2026-07-31</x:v>
      </x:c>
      <x:c r="B37" s="44" t="str">
        <x:v>E1VFVN30</x:v>
      </x:c>
      <x:c r="C37" s="44" t="str">
        <x:v>STB</x:v>
      </x:c>
      <x:c r="D37" s="44" t="str">
        <x:v>Banks</x:v>
      </x:c>
      <x:c r="E37" s="44" t="n">
        <x:v>4.57</x:v>
      </x:c>
      <x:c r="F37" s="44" t="n">
        <x:v>6</x:v>
      </x:c>
      <x:c r="G37" s="44" t="n">
        <x:v>-1.43</x:v>
      </x:c>
      <x:c r="H37" s="44" t="str">
        <x:v>High</x:v>
      </x:c>
      <x:c r="I37" s="44" t="str">
        <x:v>S004</x:v>
      </x:c>
      <x:c r="J37" s="44" t="str">
        <x:v>Assumption</x:v>
      </x:c>
    </x:row>
    <x:row r="38">
      <x:c r="A38" s="44" t="str">
        <x:v>2026-07-31</x:v>
      </x:c>
      <x:c r="B38" s="44" t="str">
        <x:v>E1VFVN30</x:v>
      </x:c>
      <x:c r="C38" s="44" t="str">
        <x:v>HPG</x:v>
      </x:c>
      <x:c r="D38" s="44" t="str">
        <x:v>Materials</x:v>
      </x:c>
      <x:c r="E38" s="44" t="n">
        <x:v>6.66</x:v>
      </x:c>
      <x:c r="F38" s="44" t="n">
        <x:v>6.57</x:v>
      </x:c>
      <x:c r="G38" s="44" t="n">
        <x:v>0.09</x:v>
      </x:c>
      <x:c r="H38" s="44" t="str">
        <x:v>High</x:v>
      </x:c>
      <x:c r="I38" s="44" t="str">
        <x:v>S004</x:v>
      </x:c>
      <x:c r="J38" s="44" t="str">
        <x:v>Assumption</x:v>
      </x:c>
    </x:row>
    <x:row r="39">
      <x:c r="A39" s="44" t="str">
        <x:v>2026-07-31</x:v>
      </x:c>
      <x:c r="B39" s="44" t="str">
        <x:v>E1VFVN30</x:v>
      </x:c>
      <x:c r="C39" s="44" t="str">
        <x:v>VNM</x:v>
      </x:c>
      <x:c r="D39" s="44" t="str">
        <x:v>Consumer</x:v>
      </x:c>
      <x:c r="E39" s="44" t="n">
        <x:v>9.51</x:v>
      </x:c>
      <x:c r="F39" s="44" t="n">
        <x:v>8.7</x:v>
      </x:c>
      <x:c r="G39" s="44" t="n">
        <x:v>0.81</x:v>
      </x:c>
      <x:c r="H39" s="44" t="str">
        <x:v>High</x:v>
      </x:c>
      <x:c r="I39" s="44" t="str">
        <x:v>S004</x:v>
      </x:c>
      <x:c r="J39" s="44" t="str">
        <x:v>Assumption</x:v>
      </x:c>
    </x:row>
    <x:row r="40">
      <x:c r="A40" s="44" t="str">
        <x:v>2026-07-31</x:v>
      </x:c>
      <x:c r="B40" s="44" t="str">
        <x:v>E1VFVN30</x:v>
      </x:c>
      <x:c r="C40" s="44" t="str">
        <x:v>CASH</x:v>
      </x:c>
      <x:c r="D40" s="44" t="str">
        <x:v>Cash</x:v>
      </x:c>
      <x:c r="E40" s="44" t="n">
        <x:v>8</x:v>
      </x:c>
      <x:c r="F40" s="44" t="n">
        <x:v>0</x:v>
      </x:c>
      <x:c r="G40" s="44" t="n">
        <x:v>8</x:v>
      </x:c>
      <x:c r="H40" s="44" t="str">
        <x:v>High</x:v>
      </x:c>
      <x:c r="I40" s="44" t="str">
        <x:v>S004</x:v>
      </x:c>
      <x:c r="J40" s="44" t="str">
        <x:v>Assumption</x:v>
      </x:c>
    </x:row>
    <x:row r="41">
      <x:c r="A41" s="44" t="str">
        <x:v>2026-07-31</x:v>
      </x:c>
      <x:c r="B41" s="44" t="str">
        <x:v>FUEVFVND</x:v>
      </x:c>
      <x:c r="C41" s="44" t="str">
        <x:v>ACB</x:v>
      </x:c>
      <x:c r="D41" s="44" t="str">
        <x:v>Banks</x:v>
      </x:c>
      <x:c r="E41" s="44" t="n">
        <x:v>7.58</x:v>
      </x:c>
      <x:c r="F41" s="44" t="n">
        <x:v>9.05</x:v>
      </x:c>
      <x:c r="G41" s="44" t="n">
        <x:v>-1.47</x:v>
      </x:c>
      <x:c r="H41" s="44" t="str">
        <x:v>Medium</x:v>
      </x:c>
      <x:c r="I41" s="44" t="str">
        <x:v>S004</x:v>
      </x:c>
      <x:c r="J41" s="44" t="str">
        <x:v>Assumption</x:v>
      </x:c>
    </x:row>
    <x:row r="42">
      <x:c r="A42" s="44" t="str">
        <x:v>2026-07-31</x:v>
      </x:c>
      <x:c r="B42" s="44" t="str">
        <x:v>FUEVFVND</x:v>
      </x:c>
      <x:c r="C42" s="44" t="str">
        <x:v>GMD</x:v>
      </x:c>
      <x:c r="D42" s="44" t="str">
        <x:v>Logistics</x:v>
      </x:c>
      <x:c r="E42" s="44" t="n">
        <x:v>8.71</x:v>
      </x:c>
      <x:c r="F42" s="44" t="n">
        <x:v>6.91</x:v>
      </x:c>
      <x:c r="G42" s="44" t="n">
        <x:v>1.8</x:v>
      </x:c>
      <x:c r="H42" s="44" t="str">
        <x:v>High</x:v>
      </x:c>
      <x:c r="I42" s="44" t="str">
        <x:v>S004</x:v>
      </x:c>
      <x:c r="J42" s="44" t="str">
        <x:v>Assumption</x:v>
      </x:c>
    </x:row>
    <x:row r="43">
      <x:c r="A43" s="44" t="str">
        <x:v>2026-07-31</x:v>
      </x:c>
      <x:c r="B43" s="44" t="str">
        <x:v>FUEVFVND</x:v>
      </x:c>
      <x:c r="C43" s="44" t="str">
        <x:v>KDH</x:v>
      </x:c>
      <x:c r="D43" s="44" t="str">
        <x:v>Real Estate</x:v>
      </x:c>
      <x:c r="E43" s="44" t="n">
        <x:v>8.07</x:v>
      </x:c>
      <x:c r="F43" s="44" t="n">
        <x:v>7.38</x:v>
      </x:c>
      <x:c r="G43" s="44" t="n">
        <x:v>0.69</x:v>
      </x:c>
      <x:c r="H43" s="44" t="str">
        <x:v>High</x:v>
      </x:c>
      <x:c r="I43" s="44" t="str">
        <x:v>S004</x:v>
      </x:c>
      <x:c r="J43" s="44" t="str">
        <x:v>Assumption</x:v>
      </x:c>
    </x:row>
    <x:row r="44">
      <x:c r="A44" s="44" t="str">
        <x:v>2026-07-31</x:v>
      </x:c>
      <x:c r="B44" s="44" t="str">
        <x:v>FUEVFVND</x:v>
      </x:c>
      <x:c r="C44" s="44" t="str">
        <x:v>MWG</x:v>
      </x:c>
      <x:c r="D44" s="44" t="str">
        <x:v>Retail</x:v>
      </x:c>
      <x:c r="E44" s="44" t="n">
        <x:v>9.08</x:v>
      </x:c>
      <x:c r="F44" s="44" t="n">
        <x:v>8.39</x:v>
      </x:c>
      <x:c r="G44" s="44" t="n">
        <x:v>0.69</x:v>
      </x:c>
      <x:c r="H44" s="44" t="str">
        <x:v>High</x:v>
      </x:c>
      <x:c r="I44" s="44" t="str">
        <x:v>S004</x:v>
      </x:c>
      <x:c r="J44" s="44" t="str">
        <x:v>Assumption</x:v>
      </x:c>
    </x:row>
    <x:row r="45">
      <x:c r="A45" s="44" t="str">
        <x:v>2026-07-31</x:v>
      </x:c>
      <x:c r="B45" s="44" t="str">
        <x:v>FUEVFVND</x:v>
      </x:c>
      <x:c r="C45" s="44" t="str">
        <x:v>VNM</x:v>
      </x:c>
      <x:c r="D45" s="44" t="str">
        <x:v>Consumer</x:v>
      </x:c>
      <x:c r="E45" s="44" t="n">
        <x:v>9.77</x:v>
      </x:c>
      <x:c r="F45" s="44" t="n">
        <x:v>8.88</x:v>
      </x:c>
      <x:c r="G45" s="44" t="n">
        <x:v>0.89</x:v>
      </x:c>
      <x:c r="H45" s="44" t="str">
        <x:v>High</x:v>
      </x:c>
      <x:c r="I45" s="44" t="str">
        <x:v>S004</x:v>
      </x:c>
      <x:c r="J45" s="44" t="str">
        <x:v>Assumption</x:v>
      </x:c>
    </x:row>
    <x:row r="46">
      <x:c r="A46" s="44" t="str">
        <x:v>2026-07-31</x:v>
      </x:c>
      <x:c r="B46" s="44" t="str">
        <x:v>FUEVFVND</x:v>
      </x:c>
      <x:c r="C46" s="44" t="str">
        <x:v>TCB</x:v>
      </x:c>
      <x:c r="D46" s="44" t="str">
        <x:v>Banks</x:v>
      </x:c>
      <x:c r="E46" s="44" t="n">
        <x:v>10.31</x:v>
      </x:c>
      <x:c r="F46" s="44" t="n">
        <x:v>9.31</x:v>
      </x:c>
      <x:c r="G46" s="44" t="n">
        <x:v>0.99</x:v>
      </x:c>
      <x:c r="H46" s="44" t="str">
        <x:v>High</x:v>
      </x:c>
      <x:c r="I46" s="44" t="str">
        <x:v>S004</x:v>
      </x:c>
      <x:c r="J46" s="44" t="str">
        <x:v>Assumption</x:v>
      </x:c>
    </x:row>
    <x:row r="47">
      <x:c r="A47" s="44" t="str">
        <x:v>2026-07-31</x:v>
      </x:c>
      <x:c r="B47" s="44" t="str">
        <x:v>FUEVFVND</x:v>
      </x:c>
      <x:c r="C47" s="44" t="str">
        <x:v>MBB</x:v>
      </x:c>
      <x:c r="D47" s="44" t="str">
        <x:v>Banks</x:v>
      </x:c>
      <x:c r="E47" s="44" t="n">
        <x:v>6.41</x:v>
      </x:c>
      <x:c r="F47" s="44" t="n">
        <x:v>6.29</x:v>
      </x:c>
      <x:c r="G47" s="44" t="n">
        <x:v>0.12</x:v>
      </x:c>
      <x:c r="H47" s="44" t="str">
        <x:v>High</x:v>
      </x:c>
      <x:c r="I47" s="44" t="str">
        <x:v>S004</x:v>
      </x:c>
      <x:c r="J47" s="44" t="str">
        <x:v>Assumption</x:v>
      </x:c>
    </x:row>
    <x:row r="48">
      <x:c r="A48" s="44" t="str">
        <x:v>2026-07-31</x:v>
      </x:c>
      <x:c r="B48" s="44" t="str">
        <x:v>FUEVFVND</x:v>
      </x:c>
      <x:c r="C48" s="44" t="str">
        <x:v>HPG</x:v>
      </x:c>
      <x:c r="D48" s="44" t="str">
        <x:v>Materials</x:v>
      </x:c>
      <x:c r="E48" s="44" t="n">
        <x:v>9.66</x:v>
      </x:c>
      <x:c r="F48" s="44" t="n">
        <x:v>11.66</x:v>
      </x:c>
      <x:c r="G48" s="44" t="n">
        <x:v>-2</x:v>
      </x:c>
      <x:c r="H48" s="44" t="str">
        <x:v>High</x:v>
      </x:c>
      <x:c r="I48" s="44" t="str">
        <x:v>S004</x:v>
      </x:c>
      <x:c r="J48" s="44" t="str">
        <x:v>Assumption</x:v>
      </x:c>
    </x:row>
    <x:row r="49">
      <x:c r="A49" s="44" t="str">
        <x:v>2026-07-31</x:v>
      </x:c>
      <x:c r="B49" s="44" t="str">
        <x:v>FUEVFVND</x:v>
      </x:c>
      <x:c r="C49" s="44" t="str">
        <x:v>MSN</x:v>
      </x:c>
      <x:c r="D49" s="44" t="str">
        <x:v>Consumer</x:v>
      </x:c>
      <x:c r="E49" s="44" t="n">
        <x:v>6.91</x:v>
      </x:c>
      <x:c r="F49" s="44" t="n">
        <x:v>5.81</x:v>
      </x:c>
      <x:c r="G49" s="44" t="n">
        <x:v>1.1</x:v>
      </x:c>
      <x:c r="H49" s="44" t="str">
        <x:v>High</x:v>
      </x:c>
      <x:c r="I49" s="44" t="str">
        <x:v>S004</x:v>
      </x:c>
      <x:c r="J49" s="44" t="str">
        <x:v>Assumption</x:v>
      </x:c>
    </x:row>
    <x:row r="50">
      <x:c r="A50" s="44" t="str">
        <x:v>2026-07-31</x:v>
      </x:c>
      <x:c r="B50" s="44" t="str">
        <x:v>FUEVFVND</x:v>
      </x:c>
      <x:c r="C50" s="44" t="str">
        <x:v>VIC</x:v>
      </x:c>
      <x:c r="D50" s="44" t="str">
        <x:v>Real Estate</x:v>
      </x:c>
      <x:c r="E50" s="44" t="n">
        <x:v>7.53</x:v>
      </x:c>
      <x:c r="F50" s="44" t="n">
        <x:v>8.66</x:v>
      </x:c>
      <x:c r="G50" s="44" t="n">
        <x:v>-1.12</x:v>
      </x:c>
      <x:c r="H50" s="44" t="str">
        <x:v>High</x:v>
      </x:c>
      <x:c r="I50" s="44" t="str">
        <x:v>S004</x:v>
      </x:c>
      <x:c r="J50" s="44" t="str">
        <x:v>Assumption</x:v>
      </x:c>
    </x:row>
    <x:row r="51">
      <x:c r="A51" s="44" t="str">
        <x:v>2026-07-31</x:v>
      </x:c>
      <x:c r="B51" s="44" t="str">
        <x:v>FUEVFVND</x:v>
      </x:c>
      <x:c r="C51" s="44" t="str">
        <x:v>PLX</x:v>
      </x:c>
      <x:c r="D51" s="44" t="str">
        <x:v>Energy</x:v>
      </x:c>
      <x:c r="E51" s="44" t="n">
        <x:v>2.48</x:v>
      </x:c>
      <x:c r="F51" s="44" t="n">
        <x:v>3.5</x:v>
      </x:c>
      <x:c r="G51" s="44" t="n">
        <x:v>-1.02</x:v>
      </x:c>
      <x:c r="H51" s="44" t="str">
        <x:v>Medium</x:v>
      </x:c>
      <x:c r="I51" s="44" t="str">
        <x:v>S004</x:v>
      </x:c>
      <x:c r="J51" s="44" t="str">
        <x:v>Assumption</x:v>
      </x:c>
    </x:row>
    <x:row r="52">
      <x:c r="A52" s="44" t="str">
        <x:v>2026-07-31</x:v>
      </x:c>
      <x:c r="B52" s="44" t="str">
        <x:v>FUEVFVND</x:v>
      </x:c>
      <x:c r="C52" s="44" t="str">
        <x:v>FPT</x:v>
      </x:c>
      <x:c r="D52" s="44" t="str">
        <x:v>Technology</x:v>
      </x:c>
      <x:c r="E52" s="44" t="n">
        <x:v>5.49</x:v>
      </x:c>
      <x:c r="F52" s="44" t="n">
        <x:v>4.28</x:v>
      </x:c>
      <x:c r="G52" s="44" t="n">
        <x:v>1.2</x:v>
      </x:c>
      <x:c r="H52" s="44" t="str">
        <x:v>High</x:v>
      </x:c>
      <x:c r="I52" s="44" t="str">
        <x:v>S004</x:v>
      </x:c>
      <x:c r="J52" s="44" t="str">
        <x:v>Assumption</x:v>
      </x:c>
    </x:row>
    <x:row r="53">
      <x:c r="A53" s="44" t="str">
        <x:v>2026-07-31</x:v>
      </x:c>
      <x:c r="B53" s="44" t="str">
        <x:v>FUEVFVND</x:v>
      </x:c>
      <x:c r="C53" s="44" t="str">
        <x:v>CASH</x:v>
      </x:c>
      <x:c r="D53" s="44" t="str">
        <x:v>Cash</x:v>
      </x:c>
      <x:c r="E53" s="44" t="n">
        <x:v>8</x:v>
      </x:c>
      <x:c r="F53" s="44" t="n">
        <x:v>0</x:v>
      </x:c>
      <x:c r="G53" s="44" t="n">
        <x:v>8</x:v>
      </x:c>
      <x:c r="H53" s="44" t="str">
        <x:v>High</x:v>
      </x:c>
      <x:c r="I53" s="44" t="str">
        <x:v>S004</x:v>
      </x:c>
      <x:c r="J53" s="44" t="str">
        <x:v>Assumption</x:v>
      </x:c>
    </x:row>
    <x:row r="54">
      <x:c r="A54" s="44" t="str">
        <x:v>2026-07-31</x:v>
      </x:c>
      <x:c r="B54" s="44" t="str">
        <x:v>VEF_LOCAL</x:v>
      </x:c>
      <x:c r="C54" s="44" t="str">
        <x:v>REE</x:v>
      </x:c>
      <x:c r="D54" s="44" t="str">
        <x:v>Industrials</x:v>
      </x:c>
      <x:c r="E54" s="44" t="n">
        <x:v>4.08</x:v>
      </x:c>
      <x:c r="F54" s="44" t="n">
        <x:v>4.94</x:v>
      </x:c>
      <x:c r="G54" s="44" t="n">
        <x:v>-0.86</x:v>
      </x:c>
      <x:c r="H54" s="44" t="str">
        <x:v>High</x:v>
      </x:c>
      <x:c r="I54" s="44" t="str">
        <x:v>S004</x:v>
      </x:c>
      <x:c r="J54" s="44" t="str">
        <x:v>Assumption</x:v>
      </x:c>
    </x:row>
    <x:row r="55">
      <x:c r="A55" s="44" t="str">
        <x:v>2026-07-31</x:v>
      </x:c>
      <x:c r="B55" s="44" t="str">
        <x:v>VEF_LOCAL</x:v>
      </x:c>
      <x:c r="C55" s="44" t="str">
        <x:v>MBB</x:v>
      </x:c>
      <x:c r="D55" s="44" t="str">
        <x:v>Banks</x:v>
      </x:c>
      <x:c r="E55" s="44" t="n">
        <x:v>8.95</x:v>
      </x:c>
      <x:c r="F55" s="44" t="n">
        <x:v>9.32</x:v>
      </x:c>
      <x:c r="G55" s="44" t="n">
        <x:v>-0.37</x:v>
      </x:c>
      <x:c r="H55" s="44" t="str">
        <x:v>Medium</x:v>
      </x:c>
      <x:c r="I55" s="44" t="str">
        <x:v>S004</x:v>
      </x:c>
      <x:c r="J55" s="44" t="str">
        <x:v>Assumption</x:v>
      </x:c>
    </x:row>
    <x:row r="56">
      <x:c r="A56" s="44" t="str">
        <x:v>2026-07-31</x:v>
      </x:c>
      <x:c r="B56" s="44" t="str">
        <x:v>VEF_LOCAL</x:v>
      </x:c>
      <x:c r="C56" s="44" t="str">
        <x:v>MWG</x:v>
      </x:c>
      <x:c r="D56" s="44" t="str">
        <x:v>Retail</x:v>
      </x:c>
      <x:c r="E56" s="44" t="n">
        <x:v>10.51</x:v>
      </x:c>
      <x:c r="F56" s="44" t="n">
        <x:v>8.92</x:v>
      </x:c>
      <x:c r="G56" s="44" t="n">
        <x:v>1.59</x:v>
      </x:c>
      <x:c r="H56" s="44" t="str">
        <x:v>High</x:v>
      </x:c>
      <x:c r="I56" s="44" t="str">
        <x:v>S004</x:v>
      </x:c>
      <x:c r="J56" s="44" t="str">
        <x:v>Assumption</x:v>
      </x:c>
    </x:row>
    <x:row r="57">
      <x:c r="A57" s="44" t="str">
        <x:v>2026-07-31</x:v>
      </x:c>
      <x:c r="B57" s="44" t="str">
        <x:v>VEF_LOCAL</x:v>
      </x:c>
      <x:c r="C57" s="44" t="str">
        <x:v>KDH</x:v>
      </x:c>
      <x:c r="D57" s="44" t="str">
        <x:v>Real Estate</x:v>
      </x:c>
      <x:c r="E57" s="44" t="n">
        <x:v>3.49</x:v>
      </x:c>
      <x:c r="F57" s="44" t="n">
        <x:v>4.89</x:v>
      </x:c>
      <x:c r="G57" s="44" t="n">
        <x:v>-1.4</x:v>
      </x:c>
      <x:c r="H57" s="44" t="str">
        <x:v>High</x:v>
      </x:c>
      <x:c r="I57" s="44" t="str">
        <x:v>S004</x:v>
      </x:c>
      <x:c r="J57" s="44" t="str">
        <x:v>Assumption</x:v>
      </x:c>
    </x:row>
    <x:row r="58">
      <x:c r="A58" s="44" t="str">
        <x:v>2026-07-31</x:v>
      </x:c>
      <x:c r="B58" s="44" t="str">
        <x:v>VEF_LOCAL</x:v>
      </x:c>
      <x:c r="C58" s="44" t="str">
        <x:v>VNM</x:v>
      </x:c>
      <x:c r="D58" s="44" t="str">
        <x:v>Consumer</x:v>
      </x:c>
      <x:c r="E58" s="44" t="n">
        <x:v>11.3</x:v>
      </x:c>
      <x:c r="F58" s="44" t="n">
        <x:v>12.48</x:v>
      </x:c>
      <x:c r="G58" s="44" t="n">
        <x:v>-1.18</x:v>
      </x:c>
      <x:c r="H58" s="44" t="str">
        <x:v>High</x:v>
      </x:c>
      <x:c r="I58" s="44" t="str">
        <x:v>S004</x:v>
      </x:c>
      <x:c r="J58" s="44" t="str">
        <x:v>Assumption</x:v>
      </x:c>
    </x:row>
    <x:row r="59">
      <x:c r="A59" s="44" t="str">
        <x:v>2026-07-31</x:v>
      </x:c>
      <x:c r="B59" s="44" t="str">
        <x:v>VEF_LOCAL</x:v>
      </x:c>
      <x:c r="C59" s="44" t="str">
        <x:v>VND</x:v>
      </x:c>
      <x:c r="D59" s="44" t="str">
        <x:v>Securities</x:v>
      </x:c>
      <x:c r="E59" s="44" t="n">
        <x:v>12.91</x:v>
      </x:c>
      <x:c r="F59" s="44" t="n">
        <x:v>12.3</x:v>
      </x:c>
      <x:c r="G59" s="44" t="n">
        <x:v>0.61</x:v>
      </x:c>
      <x:c r="H59" s="44" t="str">
        <x:v>High</x:v>
      </x:c>
      <x:c r="I59" s="44" t="str">
        <x:v>S004</x:v>
      </x:c>
      <x:c r="J59" s="44" t="str">
        <x:v>Assumption</x:v>
      </x:c>
    </x:row>
    <x:row r="60">
      <x:c r="A60" s="44" t="str">
        <x:v>2026-07-31</x:v>
      </x:c>
      <x:c r="B60" s="44" t="str">
        <x:v>VEF_LOCAL</x:v>
      </x:c>
      <x:c r="C60" s="44" t="str">
        <x:v>VHM</x:v>
      </x:c>
      <x:c r="D60" s="44" t="str">
        <x:v>Real Estate</x:v>
      </x:c>
      <x:c r="E60" s="44" t="n">
        <x:v>3.42</x:v>
      </x:c>
      <x:c r="F60" s="44" t="n">
        <x:v>4.06</x:v>
      </x:c>
      <x:c r="G60" s="44" t="n">
        <x:v>-0.65</x:v>
      </x:c>
      <x:c r="H60" s="44" t="str">
        <x:v>High</x:v>
      </x:c>
      <x:c r="I60" s="44" t="str">
        <x:v>S004</x:v>
      </x:c>
      <x:c r="J60" s="44" t="str">
        <x:v>Assumption</x:v>
      </x:c>
    </x:row>
    <x:row r="61">
      <x:c r="A61" s="44" t="str">
        <x:v>2026-07-31</x:v>
      </x:c>
      <x:c r="B61" s="44" t="str">
        <x:v>VEF_LOCAL</x:v>
      </x:c>
      <x:c r="C61" s="44" t="str">
        <x:v>SSI</x:v>
      </x:c>
      <x:c r="D61" s="44" t="str">
        <x:v>Securities</x:v>
      </x:c>
      <x:c r="E61" s="44" t="n">
        <x:v>2.5</x:v>
      </x:c>
      <x:c r="F61" s="44" t="n">
        <x:v>2.53</x:v>
      </x:c>
      <x:c r="G61" s="44" t="n">
        <x:v>-0.02</x:v>
      </x:c>
      <x:c r="H61" s="44" t="str">
        <x:v>High</x:v>
      </x:c>
      <x:c r="I61" s="44" t="str">
        <x:v>S004</x:v>
      </x:c>
      <x:c r="J61" s="44" t="str">
        <x:v>Assumption</x:v>
      </x:c>
    </x:row>
    <x:row r="62">
      <x:c r="A62" s="44" t="str">
        <x:v>2026-07-31</x:v>
      </x:c>
      <x:c r="B62" s="44" t="str">
        <x:v>VEF_LOCAL</x:v>
      </x:c>
      <x:c r="C62" s="44" t="str">
        <x:v>TCB</x:v>
      </x:c>
      <x:c r="D62" s="44" t="str">
        <x:v>Banks</x:v>
      </x:c>
      <x:c r="E62" s="44" t="n">
        <x:v>5.68</x:v>
      </x:c>
      <x:c r="F62" s="44" t="n">
        <x:v>3.73</x:v>
      </x:c>
      <x:c r="G62" s="44" t="n">
        <x:v>1.95</x:v>
      </x:c>
      <x:c r="H62" s="44" t="str">
        <x:v>High</x:v>
      </x:c>
      <x:c r="I62" s="44" t="str">
        <x:v>S004</x:v>
      </x:c>
      <x:c r="J62" s="44" t="str">
        <x:v>Assumption</x:v>
      </x:c>
    </x:row>
    <x:row r="63">
      <x:c r="A63" s="44" t="str">
        <x:v>2026-07-31</x:v>
      </x:c>
      <x:c r="B63" s="44" t="str">
        <x:v>VEF_LOCAL</x:v>
      </x:c>
      <x:c r="C63" s="44" t="str">
        <x:v>GMD</x:v>
      </x:c>
      <x:c r="D63" s="44" t="str">
        <x:v>Logistics</x:v>
      </x:c>
      <x:c r="E63" s="44" t="n">
        <x:v>9.73</x:v>
      </x:c>
      <x:c r="F63" s="44" t="n">
        <x:v>11.01</x:v>
      </x:c>
      <x:c r="G63" s="44" t="n">
        <x:v>-1.29</x:v>
      </x:c>
      <x:c r="H63" s="44" t="str">
        <x:v>High</x:v>
      </x:c>
      <x:c r="I63" s="44" t="str">
        <x:v>S004</x:v>
      </x:c>
      <x:c r="J63" s="44" t="str">
        <x:v>Assumption</x:v>
      </x:c>
    </x:row>
    <x:row r="64">
      <x:c r="A64" s="44" t="str">
        <x:v>2026-07-31</x:v>
      </x:c>
      <x:c r="B64" s="44" t="str">
        <x:v>VEF_LOCAL</x:v>
      </x:c>
      <x:c r="C64" s="44" t="str">
        <x:v>MSN</x:v>
      </x:c>
      <x:c r="D64" s="44" t="str">
        <x:v>Consumer</x:v>
      </x:c>
      <x:c r="E64" s="44" t="n">
        <x:v>12.84</x:v>
      </x:c>
      <x:c r="F64" s="44" t="n">
        <x:v>12.57</x:v>
      </x:c>
      <x:c r="G64" s="44" t="n">
        <x:v>0.27</x:v>
      </x:c>
      <x:c r="H64" s="44" t="str">
        <x:v>High</x:v>
      </x:c>
      <x:c r="I64" s="44" t="str">
        <x:v>S004</x:v>
      </x:c>
      <x:c r="J64" s="44" t="str">
        <x:v>Assumption</x:v>
      </x:c>
    </x:row>
    <x:row r="65">
      <x:c r="A65" s="44" t="str">
        <x:v>2026-07-31</x:v>
      </x:c>
      <x:c r="B65" s="44" t="str">
        <x:v>VEF_LOCAL</x:v>
      </x:c>
      <x:c r="C65" s="44" t="str">
        <x:v>FPT</x:v>
      </x:c>
      <x:c r="D65" s="44" t="str">
        <x:v>Technology</x:v>
      </x:c>
      <x:c r="E65" s="44" t="n">
        <x:v>6.61</x:v>
      </x:c>
      <x:c r="F65" s="44" t="n">
        <x:v>7.16</x:v>
      </x:c>
      <x:c r="G65" s="44" t="n">
        <x:v>-0.54</x:v>
      </x:c>
      <x:c r="H65" s="44" t="str">
        <x:v>High</x:v>
      </x:c>
      <x:c r="I65" s="44" t="str">
        <x:v>S004</x:v>
      </x:c>
      <x:c r="J65" s="44" t="str">
        <x:v>Assumption</x:v>
      </x:c>
    </x:row>
    <x:row r="66">
      <x:c r="A66" s="44" t="str">
        <x:v>2026-07-31</x:v>
      </x:c>
      <x:c r="B66" s="44" t="str">
        <x:v>VEF_LOCAL</x:v>
      </x:c>
      <x:c r="C66" s="44" t="str">
        <x:v>CASH</x:v>
      </x:c>
      <x:c r="D66" s="44" t="str">
        <x:v>Cash</x:v>
      </x:c>
      <x:c r="E66" s="44" t="n">
        <x:v>8</x:v>
      </x:c>
      <x:c r="F66" s="44" t="n">
        <x:v>0</x:v>
      </x:c>
      <x:c r="G66" s="44" t="n">
        <x:v>8</x:v>
      </x:c>
      <x:c r="H66" s="44" t="str">
        <x:v>High</x:v>
      </x:c>
      <x:c r="I66" s="44" t="str">
        <x:v>S004</x:v>
      </x:c>
      <x:c r="J66" s="44" t="str">
        <x:v>Assumption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.7799999713897705" hidden="0" customWidth="1"/>
    <x:col min="2" max="2" width="13.220000267028809" hidden="0" customWidth="1"/>
    <x:col min="3" max="3" width="14.220000267028809" hidden="0" customWidth="1"/>
    <x:col min="4" max="4" width="15.5600004196167" hidden="0" customWidth="1"/>
    <x:col min="5" max="5" width="10" hidden="0" customWidth="1"/>
    <x:col min="6" max="6" width="14.4399995803833" hidden="0" customWidth="1"/>
    <x:col min="7" max="7" width="11.109999656677246" hidden="0" customWidth="1"/>
    <x:col min="8" max="8" width="14.109999656677246" hidden="0" customWidth="1"/>
    <x:col min="9" max="9" width="7.78000020980835" hidden="0" customWidth="1"/>
    <x:col min="10" max="10" width="18.219999313354492" hidden="0" customWidth="1"/>
  </x:cols>
  <x:sheetData>
    <x:row r="1">
      <x:c r="A1" s="86" t="str">
        <x:v>Year</x:v>
      </x:c>
      <x:c r="B1" s="86" t="str">
        <x:v>Revenue_VND_bn</x:v>
      </x:c>
      <x:c r="C1" s="86" t="str">
        <x:v>Personnel_VND_bn</x:v>
      </x:c>
      <x:c r="D1" s="86" t="str">
        <x:v>Other_Opex_VND_bn</x:v>
      </x:c>
      <x:c r="E1" s="86" t="str">
        <x:v>PBT_VND_bn</x:v>
      </x:c>
      <x:c r="F1" s="86" t="str">
        <x:v>Tax_Other_VND_bn</x:v>
      </x:c>
      <x:c r="G1" s="86" t="str">
        <x:v>NPAT_VND_bn</x:v>
      </x:c>
      <x:c r="H1" s="86" t="str">
        <x:v>Avg_AUM_VND_bn</x:v>
      </x:c>
      <x:c r="I1" s="86" t="str">
        <x:v>Source_ID</x:v>
      </x:c>
      <x:c r="J1" s="86" t="str">
        <x:v>Status</x:v>
      </x:c>
      <x:c r="K1" s="88"/>
      <x:c r="L1" s="88"/>
      <x:c r="M1" s="88"/>
      <x:c r="N1" s="88"/>
      <x:c r="O1" s="88"/>
      <x:c r="P1" s="88"/>
      <x:c r="Q1" s="88"/>
      <x:c r="R1" s="88"/>
      <x:c r="S1" s="88"/>
      <x:c r="T1" s="88"/>
      <x:c r="U1" s="88"/>
      <x:c r="V1" s="88"/>
      <x:c r="W1" s="88"/>
      <x:c r="X1" s="88"/>
      <x:c r="Y1" s="88"/>
      <x:c r="Z1" s="88"/>
    </x:row>
    <x:row r="2">
      <x:c r="A2" s="81" t="n">
        <x:v>2023</x:v>
      </x:c>
      <x:c r="B2" s="89" t="n">
        <x:v>820</x:v>
      </x:c>
      <x:c r="C2" s="89" t="n">
        <x:v>310</x:v>
      </x:c>
      <x:c r="D2" s="89" t="n">
        <x:v>510</x:v>
      </x:c>
      <x:c r="E2" s="89" t="n">
        <x:v>285</x:v>
      </x:c>
      <x:c r="F2" s="89" t="n">
        <x:v>225</x:v>
      </x:c>
      <x:c r="G2" s="89" t="n">
        <x:v>170</x:v>
      </x:c>
      <x:c r="H2" s="89" t="n">
        <x:v>118000</x:v>
      </x:c>
      <x:c r="I2" s="81" t="str">
        <x:v>S004</x:v>
      </x:c>
      <x:c r="J2" s="81" t="str">
        <x:v>Assumption</x:v>
      </x:c>
      <x:c r="K2" s="81"/>
      <x:c r="L2" s="81"/>
      <x:c r="M2" s="81"/>
      <x:c r="N2" s="81"/>
      <x:c r="O2" s="81"/>
      <x:c r="P2" s="81"/>
      <x:c r="Q2" s="81"/>
      <x:c r="R2" s="81"/>
      <x:c r="S2" s="81"/>
      <x:c r="T2" s="81"/>
      <x:c r="U2" s="81"/>
      <x:c r="V2" s="81"/>
      <x:c r="W2" s="81"/>
      <x:c r="X2" s="81"/>
      <x:c r="Y2" s="81"/>
      <x:c r="Z2" s="81"/>
    </x:row>
    <x:row r="3">
      <x:c r="A3" s="81" t="n">
        <x:v>2024</x:v>
      </x:c>
      <x:c r="B3" s="89" t="n">
        <x:v>970</x:v>
      </x:c>
      <x:c r="C3" s="89" t="n">
        <x:v>350</x:v>
      </x:c>
      <x:c r="D3" s="89" t="n">
        <x:v>620</x:v>
      </x:c>
      <x:c r="E3" s="89" t="n">
        <x:v>335</x:v>
      </x:c>
      <x:c r="F3" s="89" t="n">
        <x:v>285</x:v>
      </x:c>
      <x:c r="G3" s="89" t="n">
        <x:v>218</x:v>
      </x:c>
      <x:c r="H3" s="89" t="n">
        <x:v>126000</x:v>
      </x:c>
      <x:c r="I3" s="81" t="str">
        <x:v>S004</x:v>
      </x:c>
      <x:c r="J3" s="81" t="str">
        <x:v>Assumption</x:v>
      </x:c>
      <x:c r="K3" s="81"/>
      <x:c r="L3" s="81"/>
      <x:c r="M3" s="81"/>
      <x:c r="N3" s="81"/>
      <x:c r="O3" s="81"/>
      <x:c r="P3" s="81"/>
      <x:c r="Q3" s="81"/>
      <x:c r="R3" s="81"/>
      <x:c r="S3" s="81"/>
      <x:c r="T3" s="81"/>
      <x:c r="U3" s="81"/>
      <x:c r="V3" s="81"/>
      <x:c r="W3" s="81"/>
      <x:c r="X3" s="81"/>
      <x:c r="Y3" s="81"/>
      <x:c r="Z3" s="81"/>
    </x:row>
    <x:row r="4">
      <x:c r="A4" s="81" t="n">
        <x:v>2025</x:v>
      </x:c>
      <x:c r="B4" s="89" t="n">
        <x:v>1240</x:v>
      </x:c>
      <x:c r="C4" s="89" t="n">
        <x:v>410</x:v>
      </x:c>
      <x:c r="D4" s="89" t="n">
        <x:v>830</x:v>
      </x:c>
      <x:c r="E4" s="89" t="n">
        <x:v>405</x:v>
      </x:c>
      <x:c r="F4" s="89" t="n">
        <x:v>425</x:v>
      </x:c>
      <x:c r="G4" s="89" t="n">
        <x:v>330</x:v>
      </x:c>
      <x:c r="H4" s="89" t="n">
        <x:v>140000</x:v>
      </x:c>
      <x:c r="I4" s="81" t="str">
        <x:v>S004</x:v>
      </x:c>
      <x:c r="J4" s="81" t="str">
        <x:v>Assumption</x:v>
      </x:c>
      <x:c r="K4" s="81"/>
      <x:c r="L4" s="81"/>
      <x:c r="M4" s="81"/>
      <x:c r="N4" s="81"/>
      <x:c r="O4" s="81"/>
      <x:c r="P4" s="81"/>
      <x:c r="Q4" s="81"/>
      <x:c r="R4" s="81"/>
      <x:c r="S4" s="81"/>
      <x:c r="T4" s="81"/>
      <x:c r="U4" s="81"/>
      <x:c r="V4" s="81"/>
      <x:c r="W4" s="81"/>
      <x:c r="X4" s="81"/>
      <x:c r="Y4" s="81"/>
      <x:c r="Z4" s="81"/>
    </x:row>
    <x:row r="5">
      <x:c r="A5" s="81" t="n">
        <x:v>2026</x:v>
      </x:c>
      <x:c r="B5" s="89" t="n">
        <x:v>1360</x:v>
      </x:c>
      <x:c r="C5" s="89" t="n">
        <x:v>455</x:v>
      </x:c>
      <x:c r="D5" s="89" t="n">
        <x:v>905</x:v>
      </x:c>
      <x:c r="E5" s="89" t="n">
        <x:v>430</x:v>
      </x:c>
      <x:c r="F5" s="89" t="n">
        <x:v>475</x:v>
      </x:c>
      <x:c r="G5" s="89" t="n">
        <x:v>370</x:v>
      </x:c>
      <x:c r="H5" s="89" t="n">
        <x:v>151000</x:v>
      </x:c>
      <x:c r="I5" s="81" t="str">
        <x:v>S004</x:v>
      </x:c>
      <x:c r="J5" s="81" t="str">
        <x:v>Assumption - FY projection</x:v>
      </x:c>
      <x:c r="K5" s="81"/>
      <x:c r="L5" s="81"/>
      <x:c r="M5" s="81"/>
      <x:c r="N5" s="81"/>
      <x:c r="O5" s="81"/>
      <x:c r="P5" s="81"/>
      <x:c r="Q5" s="81"/>
      <x:c r="R5" s="81"/>
      <x:c r="S5" s="81"/>
      <x:c r="T5" s="81"/>
      <x:c r="U5" s="81"/>
      <x:c r="V5" s="81"/>
      <x:c r="W5" s="81"/>
      <x:c r="X5" s="81"/>
      <x:c r="Y5" s="81"/>
      <x:c r="Z5" s="81"/>
    </x:row>
    <x:row r="6">
      <x:c r="A6" s="81"/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</x:row>
    <x:row r="7">
      <x:c r="A7" s="81"/>
      <x:c r="B7" s="81"/>
      <x:c r="C7" s="81"/>
      <x:c r="D7" s="81"/>
      <x:c r="E7" s="81"/>
      <x:c r="F7" s="81"/>
      <x:c r="G7" s="81"/>
      <x:c r="H7" s="81"/>
      <x:c r="I7" s="81"/>
      <x:c r="J7" s="81"/>
      <x:c r="K7" s="81"/>
      <x:c r="L7" s="81"/>
      <x:c r="M7" s="81"/>
      <x:c r="N7" s="81"/>
      <x:c r="O7" s="81"/>
      <x:c r="P7" s="81"/>
      <x:c r="Q7" s="81"/>
      <x:c r="R7" s="81"/>
      <x:c r="S7" s="81"/>
      <x:c r="T7" s="81"/>
      <x:c r="U7" s="81"/>
      <x:c r="V7" s="81"/>
      <x:c r="W7" s="81"/>
      <x:c r="X7" s="81"/>
      <x:c r="Y7" s="81"/>
      <x:c r="Z7" s="81"/>
    </x:row>
    <x:row r="8">
      <x:c r="A8" s="81"/>
      <x:c r="B8" s="81"/>
      <x:c r="C8" s="81"/>
      <x:c r="D8" s="81"/>
      <x:c r="E8" s="81"/>
      <x:c r="F8" s="81"/>
      <x:c r="G8" s="81"/>
      <x:c r="H8" s="81"/>
      <x:c r="I8" s="81"/>
      <x:c r="J8" s="81"/>
      <x:c r="K8" s="81"/>
      <x:c r="L8" s="81"/>
      <x:c r="M8" s="81"/>
      <x:c r="N8" s="81"/>
      <x:c r="O8" s="81"/>
      <x:c r="P8" s="81"/>
      <x:c r="Q8" s="81"/>
      <x:c r="R8" s="81"/>
      <x:c r="S8" s="81"/>
      <x:c r="T8" s="81"/>
      <x:c r="U8" s="81"/>
      <x:c r="V8" s="81"/>
      <x:c r="W8" s="81"/>
      <x:c r="X8" s="81"/>
      <x:c r="Y8" s="81"/>
      <x:c r="Z8" s="81"/>
    </x:row>
    <x:row r="9">
      <x:c r="A9" s="81"/>
      <x:c r="B9" s="81"/>
      <x:c r="C9" s="81"/>
      <x:c r="D9" s="81"/>
      <x:c r="E9" s="81"/>
      <x:c r="F9" s="81"/>
      <x:c r="G9" s="81"/>
      <x:c r="H9" s="81"/>
      <x:c r="I9" s="81"/>
      <x:c r="J9" s="81"/>
      <x:c r="K9" s="81"/>
      <x:c r="L9" s="81"/>
      <x:c r="M9" s="81"/>
      <x:c r="N9" s="81"/>
      <x:c r="O9" s="81"/>
      <x:c r="P9" s="81"/>
      <x:c r="Q9" s="81"/>
      <x:c r="R9" s="81"/>
      <x:c r="S9" s="81"/>
      <x:c r="T9" s="81"/>
      <x:c r="U9" s="81"/>
      <x:c r="V9" s="81"/>
      <x:c r="W9" s="81"/>
      <x:c r="X9" s="81"/>
      <x:c r="Y9" s="81"/>
      <x:c r="Z9" s="81"/>
    </x:row>
    <x:row r="10">
      <x:c r="A10" s="81"/>
      <x:c r="B10" s="81"/>
      <x:c r="C10" s="81"/>
      <x:c r="D10" s="81"/>
      <x:c r="E10" s="81"/>
      <x:c r="F10" s="81"/>
      <x:c r="G10" s="81"/>
      <x:c r="H10" s="81"/>
      <x:c r="I10" s="81"/>
      <x:c r="J10" s="81"/>
      <x:c r="K10" s="81"/>
      <x:c r="L10" s="81"/>
      <x:c r="M10" s="81"/>
      <x:c r="N10" s="81"/>
      <x:c r="O10" s="81"/>
      <x:c r="P10" s="81"/>
      <x:c r="Q10" s="81"/>
      <x:c r="R10" s="81"/>
      <x:c r="S10" s="81"/>
      <x:c r="T10" s="81"/>
      <x:c r="U10" s="81"/>
      <x:c r="V10" s="81"/>
      <x:c r="W10" s="81"/>
      <x:c r="X10" s="81"/>
      <x:c r="Y10" s="81"/>
      <x:c r="Z10" s="81"/>
    </x:row>
    <x:row r="11">
      <x:c r="A11" s="81"/>
      <x:c r="B11" s="81"/>
      <x:c r="C11" s="81"/>
      <x:c r="D11" s="81"/>
      <x:c r="E11" s="81"/>
      <x:c r="F11" s="81"/>
      <x:c r="G11" s="81"/>
      <x:c r="H11" s="81"/>
      <x:c r="I11" s="81"/>
      <x:c r="J11" s="81"/>
      <x:c r="K11" s="81"/>
      <x:c r="L11" s="81"/>
      <x:c r="M11" s="81"/>
      <x:c r="N11" s="81"/>
      <x:c r="O11" s="81"/>
      <x:c r="P11" s="81"/>
      <x:c r="Q11" s="81"/>
      <x:c r="R11" s="81"/>
      <x:c r="S11" s="81"/>
      <x:c r="T11" s="81"/>
      <x:c r="U11" s="81"/>
      <x:c r="V11" s="81"/>
      <x:c r="W11" s="81"/>
      <x:c r="X11" s="81"/>
      <x:c r="Y11" s="81"/>
      <x:c r="Z11" s="81"/>
    </x:row>
    <x:row r="12">
      <x:c r="A12" s="81"/>
      <x:c r="B12" s="81"/>
      <x:c r="C12" s="81"/>
      <x:c r="D12" s="81"/>
      <x:c r="E12" s="81"/>
      <x:c r="F12" s="81"/>
      <x:c r="G12" s="81"/>
      <x:c r="H12" s="81"/>
      <x:c r="I12" s="81"/>
      <x:c r="J12" s="81"/>
      <x:c r="K12" s="81"/>
      <x:c r="L12" s="81"/>
      <x:c r="M12" s="81"/>
      <x:c r="N12" s="81"/>
      <x:c r="O12" s="81"/>
      <x:c r="P12" s="81"/>
      <x:c r="Q12" s="81"/>
      <x:c r="R12" s="81"/>
      <x:c r="S12" s="81"/>
      <x:c r="T12" s="81"/>
      <x:c r="U12" s="81"/>
      <x:c r="V12" s="81"/>
      <x:c r="W12" s="81"/>
      <x:c r="X12" s="81"/>
      <x:c r="Y12" s="81"/>
      <x:c r="Z12" s="81"/>
    </x:row>
    <x:row r="13">
      <x:c r="A13" s="81"/>
      <x:c r="B13" s="81"/>
      <x:c r="C13" s="81"/>
      <x:c r="D13" s="81"/>
      <x:c r="E13" s="81"/>
      <x:c r="F13" s="81"/>
      <x:c r="G13" s="81"/>
      <x:c r="H13" s="81"/>
      <x:c r="I13" s="81"/>
      <x:c r="J13" s="81"/>
      <x:c r="K13" s="81"/>
      <x:c r="L13" s="81"/>
      <x:c r="M13" s="81"/>
      <x:c r="N13" s="81"/>
      <x:c r="O13" s="81"/>
      <x:c r="P13" s="81"/>
      <x:c r="Q13" s="81"/>
      <x:c r="R13" s="81"/>
      <x:c r="S13" s="81"/>
      <x:c r="T13" s="81"/>
      <x:c r="U13" s="81"/>
      <x:c r="V13" s="81"/>
      <x:c r="W13" s="81"/>
      <x:c r="X13" s="81"/>
      <x:c r="Y13" s="81"/>
      <x:c r="Z13" s="81"/>
    </x:row>
    <x:row r="14">
      <x:c r="A14" s="81"/>
      <x:c r="B14" s="81"/>
      <x:c r="C14" s="81"/>
      <x:c r="D14" s="81"/>
      <x:c r="E14" s="81"/>
      <x:c r="F14" s="81"/>
      <x:c r="G14" s="81"/>
      <x:c r="H14" s="81"/>
      <x:c r="I14" s="81"/>
      <x:c r="J14" s="81"/>
      <x:c r="K14" s="81"/>
      <x:c r="L14" s="81"/>
      <x:c r="M14" s="81"/>
      <x:c r="N14" s="81"/>
      <x:c r="O14" s="81"/>
      <x:c r="P14" s="81"/>
      <x:c r="Q14" s="81"/>
      <x:c r="R14" s="81"/>
      <x:c r="S14" s="81"/>
      <x:c r="T14" s="81"/>
      <x:c r="U14" s="81"/>
      <x:c r="V14" s="81"/>
      <x:c r="W14" s="81"/>
      <x:c r="X14" s="81"/>
      <x:c r="Y14" s="81"/>
      <x:c r="Z14" s="81"/>
    </x:row>
    <x:row r="15">
      <x:c r="A15" s="81"/>
      <x:c r="B15" s="81"/>
      <x:c r="C15" s="81"/>
      <x:c r="D15" s="81"/>
      <x:c r="E15" s="81"/>
      <x:c r="F15" s="81"/>
      <x:c r="G15" s="81"/>
      <x:c r="H15" s="81"/>
      <x:c r="I15" s="81"/>
      <x:c r="J15" s="81"/>
      <x:c r="K15" s="81"/>
      <x:c r="L15" s="81"/>
      <x:c r="M15" s="81"/>
      <x:c r="N15" s="81"/>
      <x:c r="O15" s="81"/>
      <x:c r="P15" s="81"/>
      <x:c r="Q15" s="81"/>
      <x:c r="R15" s="81"/>
      <x:c r="S15" s="81"/>
      <x:c r="T15" s="81"/>
      <x:c r="U15" s="81"/>
      <x:c r="V15" s="81"/>
      <x:c r="W15" s="81"/>
      <x:c r="X15" s="81"/>
      <x:c r="Y15" s="81"/>
      <x:c r="Z15" s="81"/>
    </x:row>
    <x:row r="16">
      <x:c r="A16" s="81"/>
      <x:c r="B16" s="81"/>
      <x:c r="C16" s="81"/>
      <x:c r="D16" s="81"/>
      <x:c r="E16" s="81"/>
      <x:c r="F16" s="81"/>
      <x:c r="G16" s="81"/>
      <x:c r="H16" s="81"/>
      <x:c r="I16" s="81"/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81"/>
      <x:c r="W16" s="81"/>
      <x:c r="X16" s="81"/>
      <x:c r="Y16" s="81"/>
      <x:c r="Z16" s="81"/>
    </x:row>
    <x:row r="17">
      <x:c r="A17" s="81"/>
      <x:c r="B17" s="81"/>
      <x:c r="C17" s="81"/>
      <x:c r="D17" s="81"/>
      <x:c r="E17" s="81"/>
      <x:c r="F17" s="81"/>
      <x:c r="G17" s="81"/>
      <x:c r="H17" s="81"/>
      <x:c r="I17" s="81"/>
      <x:c r="J17" s="81"/>
      <x:c r="K17" s="81"/>
      <x:c r="L17" s="81"/>
      <x:c r="M17" s="81"/>
      <x:c r="N17" s="81"/>
      <x:c r="O17" s="81"/>
      <x:c r="P17" s="81"/>
      <x:c r="Q17" s="81"/>
      <x:c r="R17" s="81"/>
      <x:c r="S17" s="81"/>
      <x:c r="T17" s="81"/>
      <x:c r="U17" s="81"/>
      <x:c r="V17" s="81"/>
      <x:c r="W17" s="81"/>
      <x:c r="X17" s="81"/>
      <x:c r="Y17" s="81"/>
      <x:c r="Z17" s="81"/>
    </x:row>
    <x:row r="18">
      <x:c r="A18" s="81"/>
      <x:c r="B18" s="81"/>
      <x:c r="C18" s="81"/>
      <x:c r="D18" s="81"/>
      <x:c r="E18" s="81"/>
      <x:c r="F18" s="81"/>
      <x:c r="G18" s="81"/>
      <x:c r="H18" s="81"/>
      <x:c r="I18" s="81"/>
      <x:c r="J18" s="81"/>
      <x:c r="K18" s="81"/>
      <x:c r="L18" s="81"/>
      <x:c r="M18" s="81"/>
      <x:c r="N18" s="81"/>
      <x:c r="O18" s="81"/>
      <x:c r="P18" s="81"/>
      <x:c r="Q18" s="81"/>
      <x:c r="R18" s="81"/>
      <x:c r="S18" s="81"/>
      <x:c r="T18" s="81"/>
      <x:c r="U18" s="81"/>
      <x:c r="V18" s="81"/>
      <x:c r="W18" s="81"/>
      <x:c r="X18" s="81"/>
      <x:c r="Y18" s="81"/>
      <x:c r="Z18" s="81"/>
    </x:row>
    <x:row r="19">
      <x:c r="A19" s="81"/>
      <x:c r="B19" s="81"/>
      <x:c r="C19" s="81"/>
      <x:c r="D19" s="81"/>
      <x:c r="E19" s="81"/>
      <x:c r="F19" s="81"/>
      <x:c r="G19" s="81"/>
      <x:c r="H19" s="81"/>
      <x:c r="I19" s="81"/>
      <x:c r="J19" s="81"/>
      <x:c r="K19" s="81"/>
      <x:c r="L19" s="81"/>
      <x:c r="M19" s="81"/>
      <x:c r="N19" s="81"/>
      <x:c r="O19" s="81"/>
      <x:c r="P19" s="81"/>
      <x:c r="Q19" s="81"/>
      <x:c r="R19" s="81"/>
      <x:c r="S19" s="81"/>
      <x:c r="T19" s="81"/>
      <x:c r="U19" s="81"/>
      <x:c r="V19" s="81"/>
      <x:c r="W19" s="81"/>
      <x:c r="X19" s="81"/>
      <x:c r="Y19" s="81"/>
      <x:c r="Z19" s="81"/>
    </x:row>
    <x:row r="20">
      <x:c r="A20" s="81"/>
      <x:c r="B20" s="81"/>
      <x:c r="C20" s="81"/>
      <x:c r="D20" s="81"/>
      <x:c r="E20" s="81"/>
      <x:c r="F20" s="81"/>
      <x:c r="G20" s="81"/>
      <x:c r="H20" s="81"/>
      <x:c r="I20" s="81"/>
      <x:c r="J20" s="81"/>
      <x:c r="K20" s="81"/>
      <x:c r="L20" s="81"/>
      <x:c r="M20" s="81"/>
      <x:c r="N20" s="81"/>
      <x:c r="O20" s="81"/>
      <x:c r="P20" s="81"/>
      <x:c r="Q20" s="81"/>
      <x:c r="R20" s="81"/>
      <x:c r="S20" s="81"/>
      <x:c r="T20" s="81"/>
      <x:c r="U20" s="81"/>
      <x:c r="V20" s="81"/>
      <x:c r="W20" s="81"/>
      <x:c r="X20" s="81"/>
      <x:c r="Y20" s="81"/>
      <x:c r="Z20" s="81"/>
    </x:row>
    <x:row r="21">
      <x:c r="A21" s="81"/>
      <x:c r="B21" s="81"/>
      <x:c r="C21" s="81"/>
      <x:c r="D21" s="81"/>
      <x:c r="E21" s="81"/>
      <x:c r="F21" s="81"/>
      <x:c r="G21" s="81"/>
      <x:c r="H21" s="81"/>
      <x:c r="I21" s="81"/>
      <x:c r="J21" s="81"/>
      <x:c r="K21" s="81"/>
      <x:c r="L21" s="81"/>
      <x:c r="M21" s="81"/>
      <x:c r="N21" s="81"/>
      <x:c r="O21" s="81"/>
      <x:c r="P21" s="81"/>
      <x:c r="Q21" s="81"/>
      <x:c r="R21" s="81"/>
      <x:c r="S21" s="81"/>
      <x:c r="T21" s="81"/>
      <x:c r="U21" s="81"/>
      <x:c r="V21" s="81"/>
      <x:c r="W21" s="81"/>
      <x:c r="X21" s="81"/>
      <x:c r="Y21" s="81"/>
      <x:c r="Z21" s="81"/>
    </x:row>
    <x:row r="22">
      <x:c r="A22" s="81"/>
      <x:c r="B22" s="81"/>
      <x:c r="C22" s="81"/>
      <x:c r="D22" s="81"/>
      <x:c r="E22" s="81"/>
      <x:c r="F22" s="81"/>
      <x:c r="G22" s="81"/>
      <x:c r="H22" s="81"/>
      <x:c r="I22" s="81"/>
      <x:c r="J22" s="81"/>
      <x:c r="K22" s="81"/>
      <x:c r="L22" s="81"/>
      <x:c r="M22" s="81"/>
      <x:c r="N22" s="81"/>
      <x:c r="O22" s="81"/>
      <x:c r="P22" s="81"/>
      <x:c r="Q22" s="81"/>
      <x:c r="R22" s="81"/>
      <x:c r="S22" s="81"/>
      <x:c r="T22" s="81"/>
      <x:c r="U22" s="81"/>
      <x:c r="V22" s="81"/>
      <x:c r="W22" s="81"/>
      <x:c r="X22" s="81"/>
      <x:c r="Y22" s="81"/>
      <x:c r="Z22" s="81"/>
    </x:row>
    <x:row r="23">
      <x:c r="A23" s="81"/>
      <x:c r="B23" s="81"/>
      <x:c r="C23" s="81"/>
      <x:c r="D23" s="81"/>
      <x:c r="E23" s="81"/>
      <x:c r="F23" s="81"/>
      <x:c r="G23" s="81"/>
      <x:c r="H23" s="81"/>
      <x:c r="I23" s="81"/>
      <x:c r="J23" s="81"/>
      <x:c r="K23" s="81"/>
      <x:c r="L23" s="81"/>
      <x:c r="M23" s="81"/>
      <x:c r="N23" s="81"/>
      <x:c r="O23" s="81"/>
      <x:c r="P23" s="81"/>
      <x:c r="Q23" s="81"/>
      <x:c r="R23" s="81"/>
      <x:c r="S23" s="81"/>
      <x:c r="T23" s="81"/>
      <x:c r="U23" s="81"/>
      <x:c r="V23" s="81"/>
      <x:c r="W23" s="81"/>
      <x:c r="X23" s="81"/>
      <x:c r="Y23" s="81"/>
      <x:c r="Z23" s="81"/>
    </x:row>
    <x:row r="24">
      <x:c r="A24" s="81"/>
      <x:c r="B24" s="81"/>
      <x:c r="C24" s="81"/>
      <x:c r="D24" s="81"/>
      <x:c r="E24" s="81"/>
      <x:c r="F24" s="81"/>
      <x:c r="G24" s="81"/>
      <x:c r="H24" s="81"/>
      <x:c r="I24" s="81"/>
      <x:c r="J24" s="81"/>
      <x:c r="K24" s="81"/>
      <x:c r="L24" s="81"/>
      <x:c r="M24" s="81"/>
      <x:c r="N24" s="81"/>
      <x:c r="O24" s="81"/>
      <x:c r="P24" s="81"/>
      <x:c r="Q24" s="81"/>
      <x:c r="R24" s="81"/>
      <x:c r="S24" s="81"/>
      <x:c r="T24" s="81"/>
      <x:c r="U24" s="81"/>
      <x:c r="V24" s="81"/>
      <x:c r="W24" s="81"/>
      <x:c r="X24" s="81"/>
      <x:c r="Y24" s="81"/>
      <x:c r="Z24" s="81"/>
    </x:row>
    <x:row r="25">
      <x:c r="A25" s="81"/>
      <x:c r="B25" s="81"/>
      <x:c r="C25" s="81"/>
      <x:c r="D25" s="81"/>
      <x:c r="E25" s="81"/>
      <x:c r="F25" s="81"/>
      <x:c r="G25" s="81"/>
      <x:c r="H25" s="81"/>
      <x:c r="I25" s="81"/>
      <x:c r="J25" s="81"/>
      <x:c r="K25" s="81"/>
      <x:c r="L25" s="81"/>
      <x:c r="M25" s="81"/>
      <x:c r="N25" s="81"/>
      <x:c r="O25" s="81"/>
      <x:c r="P25" s="81"/>
      <x:c r="Q25" s="81"/>
      <x:c r="R25" s="81"/>
      <x:c r="S25" s="81"/>
      <x:c r="T25" s="81"/>
      <x:c r="U25" s="81"/>
      <x:c r="V25" s="81"/>
      <x:c r="W25" s="81"/>
      <x:c r="X25" s="81"/>
      <x:c r="Y25" s="81"/>
      <x:c r="Z25" s="81"/>
    </x:row>
    <x:row r="26">
      <x:c r="A26" s="81"/>
      <x:c r="B26" s="81"/>
      <x:c r="C26" s="81"/>
      <x:c r="D26" s="81"/>
      <x:c r="E26" s="81"/>
      <x:c r="F26" s="81"/>
      <x:c r="G26" s="81"/>
      <x:c r="H26" s="81"/>
      <x:c r="I26" s="81"/>
      <x:c r="J26" s="81"/>
      <x:c r="K26" s="81"/>
      <x:c r="L26" s="81"/>
      <x:c r="M26" s="81"/>
      <x:c r="N26" s="81"/>
      <x:c r="O26" s="81"/>
      <x:c r="P26" s="81"/>
      <x:c r="Q26" s="81"/>
      <x:c r="R26" s="81"/>
      <x:c r="S26" s="81"/>
      <x:c r="T26" s="81"/>
      <x:c r="U26" s="81"/>
      <x:c r="V26" s="81"/>
      <x:c r="W26" s="81"/>
      <x:c r="X26" s="81"/>
      <x:c r="Y26" s="81"/>
      <x:c r="Z26" s="81"/>
    </x:row>
    <x:row r="27">
      <x:c r="A27" s="81"/>
      <x:c r="B27" s="81"/>
      <x:c r="C27" s="81"/>
      <x:c r="D27" s="81"/>
      <x:c r="E27" s="81"/>
      <x:c r="F27" s="81"/>
      <x:c r="G27" s="81"/>
      <x:c r="H27" s="81"/>
      <x:c r="I27" s="81"/>
      <x:c r="J27" s="81"/>
      <x:c r="K27" s="81"/>
      <x:c r="L27" s="81"/>
      <x:c r="M27" s="81"/>
      <x:c r="N27" s="81"/>
      <x:c r="O27" s="81"/>
      <x:c r="P27" s="81"/>
      <x:c r="Q27" s="81"/>
      <x:c r="R27" s="81"/>
      <x:c r="S27" s="81"/>
      <x:c r="T27" s="81"/>
      <x:c r="U27" s="81"/>
      <x:c r="V27" s="81"/>
      <x:c r="W27" s="81"/>
      <x:c r="X27" s="81"/>
      <x:c r="Y27" s="81"/>
      <x:c r="Z27" s="81"/>
    </x:row>
    <x:row r="28">
      <x:c r="A28" s="81"/>
      <x:c r="B28" s="81"/>
      <x:c r="C28" s="81"/>
      <x:c r="D28" s="81"/>
      <x:c r="E28" s="81"/>
      <x:c r="F28" s="81"/>
      <x:c r="G28" s="81"/>
      <x:c r="H28" s="81"/>
      <x:c r="I28" s="81"/>
      <x:c r="J28" s="81"/>
      <x:c r="K28" s="81"/>
      <x:c r="L28" s="81"/>
      <x:c r="M28" s="81"/>
      <x:c r="N28" s="81"/>
      <x:c r="O28" s="81"/>
      <x:c r="P28" s="81"/>
      <x:c r="Q28" s="81"/>
      <x:c r="R28" s="81"/>
      <x:c r="S28" s="81"/>
      <x:c r="T28" s="81"/>
      <x:c r="U28" s="81"/>
      <x:c r="V28" s="81"/>
      <x:c r="W28" s="81"/>
      <x:c r="X28" s="81"/>
      <x:c r="Y28" s="81"/>
      <x:c r="Z28" s="81"/>
    </x:row>
    <x:row r="29">
      <x:c r="A29" s="81"/>
      <x:c r="B29" s="81"/>
      <x:c r="C29" s="81"/>
      <x:c r="D29" s="81"/>
      <x:c r="E29" s="81"/>
      <x:c r="F29" s="81"/>
      <x:c r="G29" s="81"/>
      <x:c r="H29" s="81"/>
      <x:c r="I29" s="81"/>
      <x:c r="J29" s="81"/>
      <x:c r="K29" s="81"/>
      <x:c r="L29" s="81"/>
      <x:c r="M29" s="81"/>
      <x:c r="N29" s="81"/>
      <x:c r="O29" s="81"/>
      <x:c r="P29" s="81"/>
      <x:c r="Q29" s="81"/>
      <x:c r="R29" s="81"/>
      <x:c r="S29" s="81"/>
      <x:c r="T29" s="81"/>
      <x:c r="U29" s="81"/>
      <x:c r="V29" s="81"/>
      <x:c r="W29" s="81"/>
      <x:c r="X29" s="81"/>
      <x:c r="Y29" s="81"/>
      <x:c r="Z29" s="81"/>
    </x:row>
    <x:row r="30">
      <x:c r="A30" s="81"/>
      <x:c r="B30" s="81"/>
      <x:c r="C30" s="81"/>
      <x:c r="D30" s="81"/>
      <x:c r="E30" s="81"/>
      <x:c r="F30" s="81"/>
      <x:c r="G30" s="81"/>
      <x:c r="H30" s="81"/>
      <x:c r="I30" s="81"/>
      <x:c r="J30" s="81"/>
      <x:c r="K30" s="81"/>
      <x:c r="L30" s="81"/>
      <x:c r="M30" s="81"/>
      <x:c r="N30" s="81"/>
      <x:c r="O30" s="81"/>
      <x:c r="P30" s="81"/>
      <x:c r="Q30" s="81"/>
      <x:c r="R30" s="81"/>
      <x:c r="S30" s="81"/>
      <x:c r="T30" s="81"/>
      <x:c r="U30" s="81"/>
      <x:c r="V30" s="81"/>
      <x:c r="W30" s="81"/>
      <x:c r="X30" s="81"/>
      <x:c r="Y30" s="81"/>
      <x:c r="Z30" s="81"/>
    </x:row>
    <x:row r="31">
      <x:c r="A31" s="81"/>
      <x:c r="B31" s="81"/>
      <x:c r="C31" s="81"/>
      <x:c r="D31" s="81"/>
      <x:c r="E31" s="81"/>
      <x:c r="F31" s="81"/>
      <x:c r="G31" s="81"/>
      <x:c r="H31" s="81"/>
      <x:c r="I31" s="81"/>
      <x:c r="J31" s="81"/>
      <x:c r="K31" s="81"/>
      <x:c r="L31" s="81"/>
      <x:c r="M31" s="81"/>
      <x:c r="N31" s="81"/>
      <x:c r="O31" s="81"/>
      <x:c r="P31" s="81"/>
      <x:c r="Q31" s="81"/>
      <x:c r="R31" s="81"/>
      <x:c r="S31" s="81"/>
      <x:c r="T31" s="81"/>
      <x:c r="U31" s="81"/>
      <x:c r="V31" s="81"/>
      <x:c r="W31" s="81"/>
      <x:c r="X31" s="81"/>
      <x:c r="Y31" s="81"/>
      <x:c r="Z31" s="81"/>
    </x:row>
    <x:row r="32">
      <x:c r="A32" s="81"/>
      <x:c r="B32" s="81"/>
      <x:c r="C32" s="81"/>
      <x:c r="D32" s="81"/>
      <x:c r="E32" s="81"/>
      <x:c r="F32" s="81"/>
      <x:c r="G32" s="81"/>
      <x:c r="H32" s="81"/>
      <x:c r="I32" s="81"/>
      <x:c r="J32" s="81"/>
      <x:c r="K32" s="81"/>
      <x:c r="L32" s="81"/>
      <x:c r="M32" s="81"/>
      <x:c r="N32" s="81"/>
      <x:c r="O32" s="81"/>
      <x:c r="P32" s="81"/>
      <x:c r="Q32" s="81"/>
      <x:c r="R32" s="81"/>
      <x:c r="S32" s="81"/>
      <x:c r="T32" s="81"/>
      <x:c r="U32" s="81"/>
      <x:c r="V32" s="81"/>
      <x:c r="W32" s="81"/>
      <x:c r="X32" s="81"/>
      <x:c r="Y32" s="81"/>
      <x:c r="Z32" s="81"/>
    </x:row>
    <x:row r="33">
      <x:c r="A33" s="81"/>
      <x:c r="B33" s="81"/>
      <x:c r="C33" s="81"/>
      <x:c r="D33" s="81"/>
      <x:c r="E33" s="81"/>
      <x:c r="F33" s="81"/>
      <x:c r="G33" s="81"/>
      <x:c r="H33" s="81"/>
      <x:c r="I33" s="81"/>
      <x:c r="J33" s="81"/>
      <x:c r="K33" s="81"/>
      <x:c r="L33" s="81"/>
      <x:c r="M33" s="81"/>
      <x:c r="N33" s="81"/>
      <x:c r="O33" s="81"/>
      <x:c r="P33" s="81"/>
      <x:c r="Q33" s="81"/>
      <x:c r="R33" s="81"/>
      <x:c r="S33" s="81"/>
      <x:c r="T33" s="81"/>
      <x:c r="U33" s="81"/>
      <x:c r="V33" s="81"/>
      <x:c r="W33" s="81"/>
      <x:c r="X33" s="81"/>
      <x:c r="Y33" s="81"/>
      <x:c r="Z33" s="81"/>
    </x:row>
    <x:row r="34">
      <x:c r="A34" s="81"/>
      <x:c r="B34" s="81"/>
      <x:c r="C34" s="81"/>
      <x:c r="D34" s="81"/>
      <x:c r="E34" s="81"/>
      <x:c r="F34" s="81"/>
      <x:c r="G34" s="81"/>
      <x:c r="H34" s="81"/>
      <x:c r="I34" s="81"/>
      <x:c r="J34" s="81"/>
      <x:c r="K34" s="81"/>
      <x:c r="L34" s="81"/>
      <x:c r="M34" s="81"/>
      <x:c r="N34" s="81"/>
      <x:c r="O34" s="81"/>
      <x:c r="P34" s="81"/>
      <x:c r="Q34" s="81"/>
      <x:c r="R34" s="81"/>
      <x:c r="S34" s="81"/>
      <x:c r="T34" s="81"/>
      <x:c r="U34" s="81"/>
      <x:c r="V34" s="81"/>
      <x:c r="W34" s="81"/>
      <x:c r="X34" s="81"/>
      <x:c r="Y34" s="81"/>
      <x:c r="Z34" s="81"/>
    </x:row>
    <x:row r="35">
      <x:c r="A35" s="81"/>
      <x:c r="B35" s="81"/>
      <x:c r="C35" s="81"/>
      <x:c r="D35" s="81"/>
      <x:c r="E35" s="81"/>
      <x:c r="F35" s="81"/>
      <x:c r="G35" s="81"/>
      <x:c r="H35" s="81"/>
      <x:c r="I35" s="81"/>
      <x:c r="J35" s="81"/>
      <x:c r="K35" s="81"/>
      <x:c r="L35" s="81"/>
      <x:c r="M35" s="81"/>
      <x:c r="N35" s="81"/>
      <x:c r="O35" s="81"/>
      <x:c r="P35" s="81"/>
      <x:c r="Q35" s="81"/>
      <x:c r="R35" s="81"/>
      <x:c r="S35" s="81"/>
      <x:c r="T35" s="81"/>
      <x:c r="U35" s="81"/>
      <x:c r="V35" s="81"/>
      <x:c r="W35" s="81"/>
      <x:c r="X35" s="81"/>
      <x:c r="Y35" s="81"/>
      <x:c r="Z35" s="81"/>
    </x:row>
    <x:row r="36">
      <x:c r="A36" s="81"/>
      <x:c r="B36" s="81"/>
      <x:c r="C36" s="81"/>
      <x:c r="D36" s="81"/>
      <x:c r="E36" s="81"/>
      <x:c r="F36" s="81"/>
      <x:c r="G36" s="81"/>
      <x:c r="H36" s="81"/>
      <x:c r="I36" s="81"/>
      <x:c r="J36" s="81"/>
      <x:c r="K36" s="81"/>
      <x:c r="L36" s="81"/>
      <x:c r="M36" s="81"/>
      <x:c r="N36" s="81"/>
      <x:c r="O36" s="81"/>
      <x:c r="P36" s="81"/>
      <x:c r="Q36" s="81"/>
      <x:c r="R36" s="81"/>
      <x:c r="S36" s="81"/>
      <x:c r="T36" s="81"/>
      <x:c r="U36" s="81"/>
      <x:c r="V36" s="81"/>
      <x:c r="W36" s="81"/>
      <x:c r="X36" s="81"/>
      <x:c r="Y36" s="81"/>
      <x:c r="Z36" s="81"/>
    </x:row>
    <x:row r="37">
      <x:c r="A37" s="81"/>
      <x:c r="B37" s="81"/>
      <x:c r="C37" s="81"/>
      <x:c r="D37" s="81"/>
      <x:c r="E37" s="81"/>
      <x:c r="F37" s="81"/>
      <x:c r="G37" s="81"/>
      <x:c r="H37" s="81"/>
      <x:c r="I37" s="81"/>
      <x:c r="J37" s="81"/>
      <x:c r="K37" s="81"/>
      <x:c r="L37" s="81"/>
      <x:c r="M37" s="81"/>
      <x:c r="N37" s="81"/>
      <x:c r="O37" s="81"/>
      <x:c r="P37" s="81"/>
      <x:c r="Q37" s="81"/>
      <x:c r="R37" s="81"/>
      <x:c r="S37" s="81"/>
      <x:c r="T37" s="81"/>
      <x:c r="U37" s="81"/>
      <x:c r="V37" s="81"/>
      <x:c r="W37" s="81"/>
      <x:c r="X37" s="81"/>
      <x:c r="Y37" s="81"/>
      <x:c r="Z37" s="81"/>
    </x:row>
    <x:row r="38">
      <x:c r="A38" s="81"/>
      <x:c r="B38" s="81"/>
      <x:c r="C38" s="81"/>
      <x:c r="D38" s="81"/>
      <x:c r="E38" s="81"/>
      <x:c r="F38" s="81"/>
      <x:c r="G38" s="81"/>
      <x:c r="H38" s="81"/>
      <x:c r="I38" s="81"/>
      <x:c r="J38" s="81"/>
      <x:c r="K38" s="81"/>
      <x:c r="L38" s="81"/>
      <x:c r="M38" s="81"/>
      <x:c r="N38" s="81"/>
      <x:c r="O38" s="81"/>
      <x:c r="P38" s="81"/>
      <x:c r="Q38" s="81"/>
      <x:c r="R38" s="81"/>
      <x:c r="S38" s="81"/>
      <x:c r="T38" s="81"/>
      <x:c r="U38" s="81"/>
      <x:c r="V38" s="81"/>
      <x:c r="W38" s="81"/>
      <x:c r="X38" s="81"/>
      <x:c r="Y38" s="81"/>
      <x:c r="Z38" s="81"/>
    </x:row>
    <x:row r="39">
      <x:c r="A39" s="81"/>
      <x:c r="B39" s="81"/>
      <x:c r="C39" s="81"/>
      <x:c r="D39" s="81"/>
      <x:c r="E39" s="81"/>
      <x:c r="F39" s="81"/>
      <x:c r="G39" s="81"/>
      <x:c r="H39" s="81"/>
      <x:c r="I39" s="81"/>
      <x:c r="J39" s="81"/>
      <x:c r="K39" s="81"/>
      <x:c r="L39" s="81"/>
      <x:c r="M39" s="81"/>
      <x:c r="N39" s="81"/>
      <x:c r="O39" s="81"/>
      <x:c r="P39" s="81"/>
      <x:c r="Q39" s="81"/>
      <x:c r="R39" s="81"/>
      <x:c r="S39" s="81"/>
      <x:c r="T39" s="81"/>
      <x:c r="U39" s="81"/>
      <x:c r="V39" s="81"/>
      <x:c r="W39" s="81"/>
      <x:c r="X39" s="81"/>
      <x:c r="Y39" s="81"/>
      <x:c r="Z39" s="81"/>
    </x:row>
    <x:row r="40">
      <x:c r="A40" s="81"/>
      <x:c r="B40" s="81"/>
      <x:c r="C40" s="81"/>
      <x:c r="D40" s="81"/>
      <x:c r="E40" s="81"/>
      <x:c r="F40" s="81"/>
      <x:c r="G40" s="81"/>
      <x:c r="H40" s="81"/>
      <x:c r="I40" s="81"/>
      <x:c r="J40" s="81"/>
      <x:c r="K40" s="81"/>
      <x:c r="L40" s="81"/>
      <x:c r="M40" s="81"/>
      <x:c r="N40" s="81"/>
      <x:c r="O40" s="81"/>
      <x:c r="P40" s="81"/>
      <x:c r="Q40" s="81"/>
      <x:c r="R40" s="81"/>
      <x:c r="S40" s="81"/>
      <x:c r="T40" s="81"/>
      <x:c r="U40" s="81"/>
      <x:c r="V40" s="81"/>
      <x:c r="W40" s="81"/>
      <x:c r="X40" s="81"/>
      <x:c r="Y40" s="81"/>
      <x:c r="Z40" s="81"/>
    </x:row>
    <x:row r="41">
      <x:c r="A41" s="81"/>
      <x:c r="B41" s="81"/>
      <x:c r="C41" s="81"/>
      <x:c r="D41" s="81"/>
      <x:c r="E41" s="81"/>
      <x:c r="F41" s="81"/>
      <x:c r="G41" s="81"/>
      <x:c r="H41" s="81"/>
      <x:c r="I41" s="81"/>
      <x:c r="J41" s="81"/>
      <x:c r="K41" s="81"/>
      <x:c r="L41" s="81"/>
      <x:c r="M41" s="81"/>
      <x:c r="N41" s="81"/>
      <x:c r="O41" s="81"/>
      <x:c r="P41" s="81"/>
      <x:c r="Q41" s="81"/>
      <x:c r="R41" s="81"/>
      <x:c r="S41" s="81"/>
      <x:c r="T41" s="81"/>
      <x:c r="U41" s="81"/>
      <x:c r="V41" s="81"/>
      <x:c r="W41" s="81"/>
      <x:c r="X41" s="81"/>
      <x:c r="Y41" s="81"/>
      <x:c r="Z41" s="81"/>
    </x:row>
    <x:row r="42">
      <x:c r="A42" s="81"/>
      <x:c r="B42" s="81"/>
      <x:c r="C42" s="81"/>
      <x:c r="D42" s="81"/>
      <x:c r="E42" s="81"/>
      <x:c r="F42" s="81"/>
      <x:c r="G42" s="81"/>
      <x:c r="H42" s="81"/>
      <x:c r="I42" s="81"/>
      <x:c r="J42" s="81"/>
      <x:c r="K42" s="81"/>
      <x:c r="L42" s="81"/>
      <x:c r="M42" s="81"/>
      <x:c r="N42" s="81"/>
      <x:c r="O42" s="81"/>
      <x:c r="P42" s="81"/>
      <x:c r="Q42" s="81"/>
      <x:c r="R42" s="81"/>
      <x:c r="S42" s="81"/>
      <x:c r="T42" s="81"/>
      <x:c r="U42" s="81"/>
      <x:c r="V42" s="81"/>
      <x:c r="W42" s="81"/>
      <x:c r="X42" s="81"/>
      <x:c r="Y42" s="81"/>
      <x:c r="Z42" s="81"/>
    </x:row>
    <x:row r="43">
      <x:c r="A43" s="81"/>
      <x:c r="B43" s="81"/>
      <x:c r="C43" s="81"/>
      <x:c r="D43" s="81"/>
      <x:c r="E43" s="81"/>
      <x:c r="F43" s="81"/>
      <x:c r="G43" s="81"/>
      <x:c r="H43" s="81"/>
      <x:c r="I43" s="81"/>
      <x:c r="J43" s="81"/>
      <x:c r="K43" s="81"/>
      <x:c r="L43" s="81"/>
      <x:c r="M43" s="81"/>
      <x:c r="N43" s="81"/>
      <x:c r="O43" s="81"/>
      <x:c r="P43" s="81"/>
      <x:c r="Q43" s="81"/>
      <x:c r="R43" s="81"/>
      <x:c r="S43" s="81"/>
      <x:c r="T43" s="81"/>
      <x:c r="U43" s="81"/>
      <x:c r="V43" s="81"/>
      <x:c r="W43" s="81"/>
      <x:c r="X43" s="81"/>
      <x:c r="Y43" s="81"/>
      <x:c r="Z43" s="81"/>
    </x:row>
    <x:row r="44">
      <x:c r="A44" s="81"/>
      <x:c r="B44" s="81"/>
      <x:c r="C44" s="81"/>
      <x:c r="D44" s="81"/>
      <x:c r="E44" s="81"/>
      <x:c r="F44" s="81"/>
      <x:c r="G44" s="81"/>
      <x:c r="H44" s="81"/>
      <x:c r="I44" s="81"/>
      <x:c r="J44" s="81"/>
      <x:c r="K44" s="81"/>
      <x:c r="L44" s="81"/>
      <x:c r="M44" s="81"/>
      <x:c r="N44" s="81"/>
      <x:c r="O44" s="81"/>
      <x:c r="P44" s="81"/>
      <x:c r="Q44" s="81"/>
      <x:c r="R44" s="81"/>
      <x:c r="S44" s="81"/>
      <x:c r="T44" s="81"/>
      <x:c r="U44" s="81"/>
      <x:c r="V44" s="81"/>
      <x:c r="W44" s="81"/>
      <x:c r="X44" s="81"/>
      <x:c r="Y44" s="81"/>
      <x:c r="Z44" s="81"/>
    </x:row>
    <x:row r="45">
      <x:c r="A45" s="81"/>
      <x:c r="B45" s="81"/>
      <x:c r="C45" s="81"/>
      <x:c r="D45" s="81"/>
      <x:c r="E45" s="81"/>
      <x:c r="F45" s="81"/>
      <x:c r="G45" s="81"/>
      <x:c r="H45" s="81"/>
      <x:c r="I45" s="81"/>
      <x:c r="J45" s="81"/>
      <x:c r="K45" s="81"/>
      <x:c r="L45" s="81"/>
      <x:c r="M45" s="81"/>
      <x:c r="N45" s="81"/>
      <x:c r="O45" s="81"/>
      <x:c r="P45" s="81"/>
      <x:c r="Q45" s="81"/>
      <x:c r="R45" s="81"/>
      <x:c r="S45" s="81"/>
      <x:c r="T45" s="81"/>
      <x:c r="U45" s="81"/>
      <x:c r="V45" s="81"/>
      <x:c r="W45" s="81"/>
      <x:c r="X45" s="81"/>
      <x:c r="Y45" s="81"/>
      <x:c r="Z45" s="81"/>
    </x:row>
    <x:row r="46">
      <x:c r="A46" s="81"/>
      <x:c r="B46" s="81"/>
      <x:c r="C46" s="81"/>
      <x:c r="D46" s="81"/>
      <x:c r="E46" s="81"/>
      <x:c r="F46" s="81"/>
      <x:c r="G46" s="81"/>
      <x:c r="H46" s="81"/>
      <x:c r="I46" s="81"/>
      <x:c r="J46" s="81"/>
      <x:c r="K46" s="81"/>
      <x:c r="L46" s="81"/>
      <x:c r="M46" s="81"/>
      <x:c r="N46" s="81"/>
      <x:c r="O46" s="81"/>
      <x:c r="P46" s="81"/>
      <x:c r="Q46" s="81"/>
      <x:c r="R46" s="81"/>
      <x:c r="S46" s="81"/>
      <x:c r="T46" s="81"/>
      <x:c r="U46" s="81"/>
      <x:c r="V46" s="81"/>
      <x:c r="W46" s="81"/>
      <x:c r="X46" s="81"/>
      <x:c r="Y46" s="81"/>
      <x:c r="Z46" s="81"/>
    </x:row>
    <x:row r="47">
      <x:c r="A47" s="81"/>
      <x:c r="B47" s="81"/>
      <x:c r="C47" s="81"/>
      <x:c r="D47" s="81"/>
      <x:c r="E47" s="81"/>
      <x:c r="F47" s="81"/>
      <x:c r="G47" s="81"/>
      <x:c r="H47" s="81"/>
      <x:c r="I47" s="81"/>
      <x:c r="J47" s="81"/>
      <x:c r="K47" s="81"/>
      <x:c r="L47" s="81"/>
      <x:c r="M47" s="81"/>
      <x:c r="N47" s="81"/>
      <x:c r="O47" s="81"/>
      <x:c r="P47" s="81"/>
      <x:c r="Q47" s="81"/>
      <x:c r="R47" s="81"/>
      <x:c r="S47" s="81"/>
      <x:c r="T47" s="81"/>
      <x:c r="U47" s="81"/>
      <x:c r="V47" s="81"/>
      <x:c r="W47" s="81"/>
      <x:c r="X47" s="81"/>
      <x:c r="Y47" s="81"/>
      <x:c r="Z47" s="81"/>
    </x:row>
    <x:row r="48">
      <x:c r="A48" s="81"/>
      <x:c r="B48" s="81"/>
      <x:c r="C48" s="81"/>
      <x:c r="D48" s="81"/>
      <x:c r="E48" s="81"/>
      <x:c r="F48" s="81"/>
      <x:c r="G48" s="81"/>
      <x:c r="H48" s="81"/>
      <x:c r="I48" s="81"/>
      <x:c r="J48" s="81"/>
      <x:c r="K48" s="81"/>
      <x:c r="L48" s="81"/>
      <x:c r="M48" s="81"/>
      <x:c r="N48" s="81"/>
      <x:c r="O48" s="81"/>
      <x:c r="P48" s="81"/>
      <x:c r="Q48" s="81"/>
      <x:c r="R48" s="81"/>
      <x:c r="S48" s="81"/>
      <x:c r="T48" s="81"/>
      <x:c r="U48" s="81"/>
      <x:c r="V48" s="81"/>
      <x:c r="W48" s="81"/>
      <x:c r="X48" s="81"/>
      <x:c r="Y48" s="81"/>
      <x:c r="Z48" s="81"/>
    </x:row>
    <x:row r="49">
      <x:c r="A49" s="81"/>
      <x:c r="B49" s="81"/>
      <x:c r="C49" s="81"/>
      <x:c r="D49" s="81"/>
      <x:c r="E49" s="81"/>
      <x:c r="F49" s="81"/>
      <x:c r="G49" s="81"/>
      <x:c r="H49" s="81"/>
      <x:c r="I49" s="81"/>
      <x:c r="J49" s="81"/>
      <x:c r="K49" s="81"/>
      <x:c r="L49" s="81"/>
      <x:c r="M49" s="81"/>
      <x:c r="N49" s="81"/>
      <x:c r="O49" s="81"/>
      <x:c r="P49" s="81"/>
      <x:c r="Q49" s="81"/>
      <x:c r="R49" s="81"/>
      <x:c r="S49" s="81"/>
      <x:c r="T49" s="81"/>
      <x:c r="U49" s="81"/>
      <x:c r="V49" s="81"/>
      <x:c r="W49" s="81"/>
      <x:c r="X49" s="81"/>
      <x:c r="Y49" s="81"/>
      <x:c r="Z49" s="81"/>
    </x:row>
    <x:row r="50">
      <x:c r="A50" s="81"/>
      <x:c r="B50" s="81"/>
      <x:c r="C50" s="81"/>
      <x:c r="D50" s="81"/>
      <x:c r="E50" s="81"/>
      <x:c r="F50" s="81"/>
      <x:c r="G50" s="81"/>
      <x:c r="H50" s="81"/>
      <x:c r="I50" s="81"/>
      <x:c r="J50" s="81"/>
      <x:c r="K50" s="81"/>
      <x:c r="L50" s="81"/>
      <x:c r="M50" s="81"/>
      <x:c r="N50" s="81"/>
      <x:c r="O50" s="81"/>
      <x:c r="P50" s="81"/>
      <x:c r="Q50" s="81"/>
      <x:c r="R50" s="81"/>
      <x:c r="S50" s="81"/>
      <x:c r="T50" s="81"/>
      <x:c r="U50" s="81"/>
      <x:c r="V50" s="81"/>
      <x:c r="W50" s="81"/>
      <x:c r="X50" s="81"/>
      <x:c r="Y50" s="81"/>
      <x:c r="Z50" s="81"/>
    </x:row>
    <x:row r="51">
      <x:c r="A51" s="81"/>
      <x:c r="B51" s="81"/>
      <x:c r="C51" s="81"/>
      <x:c r="D51" s="81"/>
      <x:c r="E51" s="81"/>
      <x:c r="F51" s="81"/>
      <x:c r="G51" s="81"/>
      <x:c r="H51" s="81"/>
      <x:c r="I51" s="81"/>
      <x:c r="J51" s="81"/>
      <x:c r="K51" s="81"/>
      <x:c r="L51" s="81"/>
      <x:c r="M51" s="81"/>
      <x:c r="N51" s="81"/>
      <x:c r="O51" s="81"/>
      <x:c r="P51" s="81"/>
      <x:c r="Q51" s="81"/>
      <x:c r="R51" s="81"/>
      <x:c r="S51" s="81"/>
      <x:c r="T51" s="81"/>
      <x:c r="U51" s="81"/>
      <x:c r="V51" s="81"/>
      <x:c r="W51" s="81"/>
      <x:c r="X51" s="81"/>
      <x:c r="Y51" s="81"/>
      <x:c r="Z51" s="81"/>
    </x:row>
    <x:row r="52">
      <x:c r="A52" s="81"/>
      <x:c r="B52" s="81"/>
      <x:c r="C52" s="81"/>
      <x:c r="D52" s="81"/>
      <x:c r="E52" s="81"/>
      <x:c r="F52" s="81"/>
      <x:c r="G52" s="81"/>
      <x:c r="H52" s="81"/>
      <x:c r="I52" s="81"/>
      <x:c r="J52" s="81"/>
      <x:c r="K52" s="81"/>
      <x:c r="L52" s="81"/>
      <x:c r="M52" s="81"/>
      <x:c r="N52" s="81"/>
      <x:c r="O52" s="81"/>
      <x:c r="P52" s="81"/>
      <x:c r="Q52" s="81"/>
      <x:c r="R52" s="81"/>
      <x:c r="S52" s="81"/>
      <x:c r="T52" s="81"/>
      <x:c r="U52" s="81"/>
      <x:c r="V52" s="81"/>
      <x:c r="W52" s="81"/>
      <x:c r="X52" s="81"/>
      <x:c r="Y52" s="81"/>
      <x:c r="Z52" s="81"/>
    </x:row>
    <x:row r="53">
      <x:c r="A53" s="81"/>
      <x:c r="B53" s="81"/>
      <x:c r="C53" s="81"/>
      <x:c r="D53" s="81"/>
      <x:c r="E53" s="81"/>
      <x:c r="F53" s="81"/>
      <x:c r="G53" s="81"/>
      <x:c r="H53" s="81"/>
      <x:c r="I53" s="81"/>
      <x:c r="J53" s="81"/>
      <x:c r="K53" s="81"/>
      <x:c r="L53" s="81"/>
      <x:c r="M53" s="81"/>
      <x:c r="N53" s="81"/>
      <x:c r="O53" s="81"/>
      <x:c r="P53" s="81"/>
      <x:c r="Q53" s="81"/>
      <x:c r="R53" s="81"/>
      <x:c r="S53" s="81"/>
      <x:c r="T53" s="81"/>
      <x:c r="U53" s="81"/>
      <x:c r="V53" s="81"/>
      <x:c r="W53" s="81"/>
      <x:c r="X53" s="81"/>
      <x:c r="Y53" s="81"/>
      <x:c r="Z53" s="81"/>
    </x:row>
    <x:row r="54">
      <x:c r="A54" s="81"/>
      <x:c r="B54" s="81"/>
      <x:c r="C54" s="81"/>
      <x:c r="D54" s="81"/>
      <x:c r="E54" s="81"/>
      <x:c r="F54" s="81"/>
      <x:c r="G54" s="81"/>
      <x:c r="H54" s="81"/>
      <x:c r="I54" s="81"/>
      <x:c r="J54" s="81"/>
      <x:c r="K54" s="81"/>
      <x:c r="L54" s="81"/>
      <x:c r="M54" s="81"/>
      <x:c r="N54" s="81"/>
      <x:c r="O54" s="81"/>
      <x:c r="P54" s="81"/>
      <x:c r="Q54" s="81"/>
      <x:c r="R54" s="81"/>
      <x:c r="S54" s="81"/>
      <x:c r="T54" s="81"/>
      <x:c r="U54" s="81"/>
      <x:c r="V54" s="81"/>
      <x:c r="W54" s="81"/>
      <x:c r="X54" s="81"/>
      <x:c r="Y54" s="81"/>
      <x:c r="Z54" s="81"/>
    </x:row>
    <x:row r="55">
      <x:c r="A55" s="81"/>
      <x:c r="B55" s="81"/>
      <x:c r="C55" s="81"/>
      <x:c r="D55" s="81"/>
      <x:c r="E55" s="81"/>
      <x:c r="F55" s="81"/>
      <x:c r="G55" s="81"/>
      <x:c r="H55" s="81"/>
      <x:c r="I55" s="81"/>
      <x:c r="J55" s="81"/>
      <x:c r="K55" s="81"/>
      <x:c r="L55" s="81"/>
      <x:c r="M55" s="81"/>
      <x:c r="N55" s="81"/>
      <x:c r="O55" s="81"/>
      <x:c r="P55" s="81"/>
      <x:c r="Q55" s="81"/>
      <x:c r="R55" s="81"/>
      <x:c r="S55" s="81"/>
      <x:c r="T55" s="81"/>
      <x:c r="U55" s="81"/>
      <x:c r="V55" s="81"/>
      <x:c r="W55" s="81"/>
      <x:c r="X55" s="81"/>
      <x:c r="Y55" s="81"/>
      <x:c r="Z55" s="81"/>
    </x:row>
    <x:row r="56">
      <x:c r="A56" s="81"/>
      <x:c r="B56" s="81"/>
      <x:c r="C56" s="81"/>
      <x:c r="D56" s="81"/>
      <x:c r="E56" s="81"/>
      <x:c r="F56" s="81"/>
      <x:c r="G56" s="81"/>
      <x:c r="H56" s="81"/>
      <x:c r="I56" s="81"/>
      <x:c r="J56" s="81"/>
      <x:c r="K56" s="81"/>
      <x:c r="L56" s="81"/>
      <x:c r="M56" s="81"/>
      <x:c r="N56" s="81"/>
      <x:c r="O56" s="81"/>
      <x:c r="P56" s="81"/>
      <x:c r="Q56" s="81"/>
      <x:c r="R56" s="81"/>
      <x:c r="S56" s="81"/>
      <x:c r="T56" s="81"/>
      <x:c r="U56" s="81"/>
      <x:c r="V56" s="81"/>
      <x:c r="W56" s="81"/>
      <x:c r="X56" s="81"/>
      <x:c r="Y56" s="81"/>
      <x:c r="Z56" s="81"/>
    </x:row>
    <x:row r="57">
      <x:c r="A57" s="81"/>
      <x:c r="B57" s="81"/>
      <x:c r="C57" s="81"/>
      <x:c r="D57" s="81"/>
      <x:c r="E57" s="81"/>
      <x:c r="F57" s="81"/>
      <x:c r="G57" s="81"/>
      <x:c r="H57" s="81"/>
      <x:c r="I57" s="81"/>
      <x:c r="J57" s="81"/>
      <x:c r="K57" s="81"/>
      <x:c r="L57" s="81"/>
      <x:c r="M57" s="81"/>
      <x:c r="N57" s="81"/>
      <x:c r="O57" s="81"/>
      <x:c r="P57" s="81"/>
      <x:c r="Q57" s="81"/>
      <x:c r="R57" s="81"/>
      <x:c r="S57" s="81"/>
      <x:c r="T57" s="81"/>
      <x:c r="U57" s="81"/>
      <x:c r="V57" s="81"/>
      <x:c r="W57" s="81"/>
      <x:c r="X57" s="81"/>
      <x:c r="Y57" s="81"/>
      <x:c r="Z57" s="81"/>
    </x:row>
    <x:row r="58">
      <x:c r="A58" s="81"/>
      <x:c r="B58" s="81"/>
      <x:c r="C58" s="81"/>
      <x:c r="D58" s="81"/>
      <x:c r="E58" s="81"/>
      <x:c r="F58" s="81"/>
      <x:c r="G58" s="81"/>
      <x:c r="H58" s="81"/>
      <x:c r="I58" s="81"/>
      <x:c r="J58" s="81"/>
      <x:c r="K58" s="81"/>
      <x:c r="L58" s="81"/>
      <x:c r="M58" s="81"/>
      <x:c r="N58" s="81"/>
      <x:c r="O58" s="81"/>
      <x:c r="P58" s="81"/>
      <x:c r="Q58" s="81"/>
      <x:c r="R58" s="81"/>
      <x:c r="S58" s="81"/>
      <x:c r="T58" s="81"/>
      <x:c r="U58" s="81"/>
      <x:c r="V58" s="81"/>
      <x:c r="W58" s="81"/>
      <x:c r="X58" s="81"/>
      <x:c r="Y58" s="81"/>
      <x:c r="Z58" s="81"/>
    </x:row>
    <x:row r="59">
      <x:c r="A59" s="81"/>
      <x:c r="B59" s="81"/>
      <x:c r="C59" s="81"/>
      <x:c r="D59" s="81"/>
      <x:c r="E59" s="81"/>
      <x:c r="F59" s="81"/>
      <x:c r="G59" s="81"/>
      <x:c r="H59" s="81"/>
      <x:c r="I59" s="81"/>
      <x:c r="J59" s="81"/>
      <x:c r="K59" s="81"/>
      <x:c r="L59" s="81"/>
      <x:c r="M59" s="81"/>
      <x:c r="N59" s="81"/>
      <x:c r="O59" s="81"/>
      <x:c r="P59" s="81"/>
      <x:c r="Q59" s="81"/>
      <x:c r="R59" s="81"/>
      <x:c r="S59" s="81"/>
      <x:c r="T59" s="81"/>
      <x:c r="U59" s="81"/>
      <x:c r="V59" s="81"/>
      <x:c r="W59" s="81"/>
      <x:c r="X59" s="81"/>
      <x:c r="Y59" s="81"/>
      <x:c r="Z59" s="81"/>
    </x:row>
    <x:row r="60">
      <x:c r="A60" s="81"/>
      <x:c r="B60" s="81"/>
      <x:c r="C60" s="81"/>
      <x:c r="D60" s="81"/>
      <x:c r="E60" s="81"/>
      <x:c r="F60" s="81"/>
      <x:c r="G60" s="81"/>
      <x:c r="H60" s="81"/>
      <x:c r="I60" s="81"/>
      <x:c r="J60" s="81"/>
      <x:c r="K60" s="81"/>
      <x:c r="L60" s="81"/>
      <x:c r="M60" s="81"/>
      <x:c r="N60" s="81"/>
      <x:c r="O60" s="81"/>
      <x:c r="P60" s="81"/>
      <x:c r="Q60" s="81"/>
      <x:c r="R60" s="81"/>
      <x:c r="S60" s="81"/>
      <x:c r="T60" s="81"/>
      <x:c r="U60" s="81"/>
      <x:c r="V60" s="81"/>
      <x:c r="W60" s="81"/>
      <x:c r="X60" s="81"/>
      <x:c r="Y60" s="81"/>
      <x:c r="Z60" s="81"/>
    </x:row>
    <x:row r="61">
      <x:c r="A61" s="81"/>
      <x:c r="B61" s="81"/>
      <x:c r="C61" s="81"/>
      <x:c r="D61" s="81"/>
      <x:c r="E61" s="81"/>
      <x:c r="F61" s="81"/>
      <x:c r="G61" s="81"/>
      <x:c r="H61" s="81"/>
      <x:c r="I61" s="81"/>
      <x:c r="J61" s="81"/>
      <x:c r="K61" s="81"/>
      <x:c r="L61" s="81"/>
      <x:c r="M61" s="81"/>
      <x:c r="N61" s="81"/>
      <x:c r="O61" s="81"/>
      <x:c r="P61" s="81"/>
      <x:c r="Q61" s="81"/>
      <x:c r="R61" s="81"/>
      <x:c r="S61" s="81"/>
      <x:c r="T61" s="81"/>
      <x:c r="U61" s="81"/>
      <x:c r="V61" s="81"/>
      <x:c r="W61" s="81"/>
      <x:c r="X61" s="81"/>
      <x:c r="Y61" s="81"/>
      <x:c r="Z61" s="81"/>
    </x:row>
    <x:row r="62">
      <x:c r="A62" s="81"/>
      <x:c r="B62" s="81"/>
      <x:c r="C62" s="81"/>
      <x:c r="D62" s="81"/>
      <x:c r="E62" s="81"/>
      <x:c r="F62" s="81"/>
      <x:c r="G62" s="81"/>
      <x:c r="H62" s="81"/>
      <x:c r="I62" s="81"/>
      <x:c r="J62" s="81"/>
      <x:c r="K62" s="81"/>
      <x:c r="L62" s="81"/>
      <x:c r="M62" s="81"/>
      <x:c r="N62" s="81"/>
      <x:c r="O62" s="81"/>
      <x:c r="P62" s="81"/>
      <x:c r="Q62" s="81"/>
      <x:c r="R62" s="81"/>
      <x:c r="S62" s="81"/>
      <x:c r="T62" s="81"/>
      <x:c r="U62" s="81"/>
      <x:c r="V62" s="81"/>
      <x:c r="W62" s="81"/>
      <x:c r="X62" s="81"/>
      <x:c r="Y62" s="81"/>
      <x:c r="Z62" s="81"/>
    </x:row>
    <x:row r="63">
      <x:c r="A63" s="81"/>
      <x:c r="B63" s="81"/>
      <x:c r="C63" s="81"/>
      <x:c r="D63" s="81"/>
      <x:c r="E63" s="81"/>
      <x:c r="F63" s="81"/>
      <x:c r="G63" s="81"/>
      <x:c r="H63" s="81"/>
      <x:c r="I63" s="81"/>
      <x:c r="J63" s="81"/>
      <x:c r="K63" s="81"/>
      <x:c r="L63" s="81"/>
      <x:c r="M63" s="81"/>
      <x:c r="N63" s="81"/>
      <x:c r="O63" s="81"/>
      <x:c r="P63" s="81"/>
      <x:c r="Q63" s="81"/>
      <x:c r="R63" s="81"/>
      <x:c r="S63" s="81"/>
      <x:c r="T63" s="81"/>
      <x:c r="U63" s="81"/>
      <x:c r="V63" s="81"/>
      <x:c r="W63" s="81"/>
      <x:c r="X63" s="81"/>
      <x:c r="Y63" s="81"/>
      <x:c r="Z63" s="81"/>
    </x:row>
    <x:row r="64">
      <x:c r="A64" s="81"/>
      <x:c r="B64" s="81"/>
      <x:c r="C64" s="81"/>
      <x:c r="D64" s="81"/>
      <x:c r="E64" s="81"/>
      <x:c r="F64" s="81"/>
      <x:c r="G64" s="81"/>
      <x:c r="H64" s="81"/>
      <x:c r="I64" s="81"/>
      <x:c r="J64" s="81"/>
      <x:c r="K64" s="81"/>
      <x:c r="L64" s="81"/>
      <x:c r="M64" s="81"/>
      <x:c r="N64" s="81"/>
      <x:c r="O64" s="81"/>
      <x:c r="P64" s="81"/>
      <x:c r="Q64" s="81"/>
      <x:c r="R64" s="81"/>
      <x:c r="S64" s="81"/>
      <x:c r="T64" s="81"/>
      <x:c r="U64" s="81"/>
      <x:c r="V64" s="81"/>
      <x:c r="W64" s="81"/>
      <x:c r="X64" s="81"/>
      <x:c r="Y64" s="81"/>
      <x:c r="Z64" s="81"/>
    </x:row>
    <x:row r="65">
      <x:c r="A65" s="81"/>
      <x:c r="B65" s="81"/>
      <x:c r="C65" s="81"/>
      <x:c r="D65" s="81"/>
      <x:c r="E65" s="81"/>
      <x:c r="F65" s="81"/>
      <x:c r="G65" s="81"/>
      <x:c r="H65" s="81"/>
      <x:c r="I65" s="81"/>
      <x:c r="J65" s="81"/>
      <x:c r="K65" s="81"/>
      <x:c r="L65" s="81"/>
      <x:c r="M65" s="81"/>
      <x:c r="N65" s="81"/>
      <x:c r="O65" s="81"/>
      <x:c r="P65" s="81"/>
      <x:c r="Q65" s="81"/>
      <x:c r="R65" s="81"/>
      <x:c r="S65" s="81"/>
      <x:c r="T65" s="81"/>
      <x:c r="U65" s="81"/>
      <x:c r="V65" s="81"/>
      <x:c r="W65" s="81"/>
      <x:c r="X65" s="81"/>
      <x:c r="Y65" s="81"/>
      <x:c r="Z65" s="81"/>
    </x:row>
    <x:row r="66">
      <x:c r="A66" s="81"/>
      <x:c r="B66" s="81"/>
      <x:c r="C66" s="81"/>
      <x:c r="D66" s="81"/>
      <x:c r="E66" s="81"/>
      <x:c r="F66" s="81"/>
      <x:c r="G66" s="81"/>
      <x:c r="H66" s="81"/>
      <x:c r="I66" s="81"/>
      <x:c r="J66" s="81"/>
      <x:c r="K66" s="81"/>
      <x:c r="L66" s="81"/>
      <x:c r="M66" s="81"/>
      <x:c r="N66" s="81"/>
      <x:c r="O66" s="81"/>
      <x:c r="P66" s="81"/>
      <x:c r="Q66" s="81"/>
      <x:c r="R66" s="81"/>
      <x:c r="S66" s="81"/>
      <x:c r="T66" s="81"/>
      <x:c r="U66" s="81"/>
      <x:c r="V66" s="81"/>
      <x:c r="W66" s="81"/>
      <x:c r="X66" s="81"/>
      <x:c r="Y66" s="81"/>
      <x:c r="Z66" s="81"/>
    </x:row>
    <x:row r="67">
      <x:c r="A67" s="81"/>
      <x:c r="B67" s="81"/>
      <x:c r="C67" s="81"/>
      <x:c r="D67" s="81"/>
      <x:c r="E67" s="81"/>
      <x:c r="F67" s="81"/>
      <x:c r="G67" s="81"/>
      <x:c r="H67" s="81"/>
      <x:c r="I67" s="81"/>
      <x:c r="J67" s="81"/>
      <x:c r="K67" s="81"/>
      <x:c r="L67" s="81"/>
      <x:c r="M67" s="81"/>
      <x:c r="N67" s="81"/>
      <x:c r="O67" s="81"/>
      <x:c r="P67" s="81"/>
      <x:c r="Q67" s="81"/>
      <x:c r="R67" s="81"/>
      <x:c r="S67" s="81"/>
      <x:c r="T67" s="81"/>
      <x:c r="U67" s="81"/>
      <x:c r="V67" s="81"/>
      <x:c r="W67" s="81"/>
      <x:c r="X67" s="81"/>
      <x:c r="Y67" s="81"/>
      <x:c r="Z67" s="81"/>
    </x:row>
    <x:row r="68">
      <x:c r="A68" s="81"/>
      <x:c r="B68" s="81"/>
      <x:c r="C68" s="81"/>
      <x:c r="D68" s="81"/>
      <x:c r="E68" s="81"/>
      <x:c r="F68" s="81"/>
      <x:c r="G68" s="81"/>
      <x:c r="H68" s="81"/>
      <x:c r="I68" s="81"/>
      <x:c r="J68" s="81"/>
      <x:c r="K68" s="81"/>
      <x:c r="L68" s="81"/>
      <x:c r="M68" s="81"/>
      <x:c r="N68" s="81"/>
      <x:c r="O68" s="81"/>
      <x:c r="P68" s="81"/>
      <x:c r="Q68" s="81"/>
      <x:c r="R68" s="81"/>
      <x:c r="S68" s="81"/>
      <x:c r="T68" s="81"/>
      <x:c r="U68" s="81"/>
      <x:c r="V68" s="81"/>
      <x:c r="W68" s="81"/>
      <x:c r="X68" s="81"/>
      <x:c r="Y68" s="81"/>
      <x:c r="Z68" s="81"/>
    </x:row>
    <x:row r="69">
      <x:c r="A69" s="81"/>
      <x:c r="B69" s="81"/>
      <x:c r="C69" s="81"/>
      <x:c r="D69" s="81"/>
      <x:c r="E69" s="81"/>
      <x:c r="F69" s="81"/>
      <x:c r="G69" s="81"/>
      <x:c r="H69" s="81"/>
      <x:c r="I69" s="81"/>
      <x:c r="J69" s="81"/>
      <x:c r="K69" s="81"/>
      <x:c r="L69" s="81"/>
      <x:c r="M69" s="81"/>
      <x:c r="N69" s="81"/>
      <x:c r="O69" s="81"/>
      <x:c r="P69" s="81"/>
      <x:c r="Q69" s="81"/>
      <x:c r="R69" s="81"/>
      <x:c r="S69" s="81"/>
      <x:c r="T69" s="81"/>
      <x:c r="U69" s="81"/>
      <x:c r="V69" s="81"/>
      <x:c r="W69" s="81"/>
      <x:c r="X69" s="81"/>
      <x:c r="Y69" s="81"/>
      <x:c r="Z69" s="81"/>
    </x:row>
    <x:row r="70">
      <x:c r="A70" s="81"/>
      <x:c r="B70" s="81"/>
      <x:c r="C70" s="81"/>
      <x:c r="D70" s="81"/>
      <x:c r="E70" s="81"/>
      <x:c r="F70" s="81"/>
      <x:c r="G70" s="81"/>
      <x:c r="H70" s="81"/>
      <x:c r="I70" s="81"/>
      <x:c r="J70" s="81"/>
      <x:c r="K70" s="81"/>
      <x:c r="L70" s="81"/>
      <x:c r="M70" s="81"/>
      <x:c r="N70" s="81"/>
      <x:c r="O70" s="81"/>
      <x:c r="P70" s="81"/>
      <x:c r="Q70" s="81"/>
      <x:c r="R70" s="81"/>
      <x:c r="S70" s="81"/>
      <x:c r="T70" s="81"/>
      <x:c r="U70" s="81"/>
      <x:c r="V70" s="81"/>
      <x:c r="W70" s="81"/>
      <x:c r="X70" s="81"/>
      <x:c r="Y70" s="81"/>
      <x:c r="Z70" s="81"/>
    </x:row>
    <x:row r="71">
      <x:c r="A71" s="81"/>
      <x:c r="B71" s="81"/>
      <x:c r="C71" s="81"/>
      <x:c r="D71" s="81"/>
      <x:c r="E71" s="81"/>
      <x:c r="F71" s="81"/>
      <x:c r="G71" s="81"/>
      <x:c r="H71" s="81"/>
      <x:c r="I71" s="81"/>
      <x:c r="J71" s="81"/>
      <x:c r="K71" s="81"/>
      <x:c r="L71" s="81"/>
      <x:c r="M71" s="81"/>
      <x:c r="N71" s="81"/>
      <x:c r="O71" s="81"/>
      <x:c r="P71" s="81"/>
      <x:c r="Q71" s="81"/>
      <x:c r="R71" s="81"/>
      <x:c r="S71" s="81"/>
      <x:c r="T71" s="81"/>
      <x:c r="U71" s="81"/>
      <x:c r="V71" s="81"/>
      <x:c r="W71" s="81"/>
      <x:c r="X71" s="81"/>
      <x:c r="Y71" s="81"/>
      <x:c r="Z71" s="81"/>
    </x:row>
    <x:row r="72">
      <x:c r="A72" s="81"/>
      <x:c r="B72" s="81"/>
      <x:c r="C72" s="81"/>
      <x:c r="D72" s="81"/>
      <x:c r="E72" s="81"/>
      <x:c r="F72" s="81"/>
      <x:c r="G72" s="81"/>
      <x:c r="H72" s="81"/>
      <x:c r="I72" s="81"/>
      <x:c r="J72" s="81"/>
      <x:c r="K72" s="81"/>
      <x:c r="L72" s="81"/>
      <x:c r="M72" s="81"/>
      <x:c r="N72" s="81"/>
      <x:c r="O72" s="81"/>
      <x:c r="P72" s="81"/>
      <x:c r="Q72" s="81"/>
      <x:c r="R72" s="81"/>
      <x:c r="S72" s="81"/>
      <x:c r="T72" s="81"/>
      <x:c r="U72" s="81"/>
      <x:c r="V72" s="81"/>
      <x:c r="W72" s="81"/>
      <x:c r="X72" s="81"/>
      <x:c r="Y72" s="81"/>
      <x:c r="Z72" s="81"/>
    </x:row>
    <x:row r="73">
      <x:c r="A73" s="81"/>
      <x:c r="B73" s="81"/>
      <x:c r="C73" s="81"/>
      <x:c r="D73" s="81"/>
      <x:c r="E73" s="81"/>
      <x:c r="F73" s="81"/>
      <x:c r="G73" s="81"/>
      <x:c r="H73" s="81"/>
      <x:c r="I73" s="81"/>
      <x:c r="J73" s="81"/>
      <x:c r="K73" s="81"/>
      <x:c r="L73" s="81"/>
      <x:c r="M73" s="81"/>
      <x:c r="N73" s="81"/>
      <x:c r="O73" s="81"/>
      <x:c r="P73" s="81"/>
      <x:c r="Q73" s="81"/>
      <x:c r="R73" s="81"/>
      <x:c r="S73" s="81"/>
      <x:c r="T73" s="81"/>
      <x:c r="U73" s="81"/>
      <x:c r="V73" s="81"/>
      <x:c r="W73" s="81"/>
      <x:c r="X73" s="81"/>
      <x:c r="Y73" s="81"/>
      <x:c r="Z73" s="81"/>
    </x:row>
    <x:row r="74">
      <x:c r="A74" s="81"/>
      <x:c r="B74" s="81"/>
      <x:c r="C74" s="81"/>
      <x:c r="D74" s="81"/>
      <x:c r="E74" s="81"/>
      <x:c r="F74" s="81"/>
      <x:c r="G74" s="81"/>
      <x:c r="H74" s="81"/>
      <x:c r="I74" s="81"/>
      <x:c r="J74" s="81"/>
      <x:c r="K74" s="81"/>
      <x:c r="L74" s="81"/>
      <x:c r="M74" s="81"/>
      <x:c r="N74" s="81"/>
      <x:c r="O74" s="81"/>
      <x:c r="P74" s="81"/>
      <x:c r="Q74" s="81"/>
      <x:c r="R74" s="81"/>
      <x:c r="S74" s="81"/>
      <x:c r="T74" s="81"/>
      <x:c r="U74" s="81"/>
      <x:c r="V74" s="81"/>
      <x:c r="W74" s="81"/>
      <x:c r="X74" s="81"/>
      <x:c r="Y74" s="81"/>
      <x:c r="Z74" s="81"/>
    </x:row>
    <x:row r="75">
      <x:c r="A75" s="81"/>
      <x:c r="B75" s="81"/>
      <x:c r="C75" s="81"/>
      <x:c r="D75" s="81"/>
      <x:c r="E75" s="81"/>
      <x:c r="F75" s="81"/>
      <x:c r="G75" s="81"/>
      <x:c r="H75" s="81"/>
      <x:c r="I75" s="81"/>
      <x:c r="J75" s="81"/>
      <x:c r="K75" s="81"/>
      <x:c r="L75" s="81"/>
      <x:c r="M75" s="81"/>
      <x:c r="N75" s="81"/>
      <x:c r="O75" s="81"/>
      <x:c r="P75" s="81"/>
      <x:c r="Q75" s="81"/>
      <x:c r="R75" s="81"/>
      <x:c r="S75" s="81"/>
      <x:c r="T75" s="81"/>
      <x:c r="U75" s="81"/>
      <x:c r="V75" s="81"/>
      <x:c r="W75" s="81"/>
      <x:c r="X75" s="81"/>
      <x:c r="Y75" s="81"/>
      <x:c r="Z75" s="81"/>
    </x:row>
    <x:row r="76">
      <x:c r="A76" s="81"/>
      <x:c r="B76" s="81"/>
      <x:c r="C76" s="81"/>
      <x:c r="D76" s="81"/>
      <x:c r="E76" s="81"/>
      <x:c r="F76" s="81"/>
      <x:c r="G76" s="81"/>
      <x:c r="H76" s="81"/>
      <x:c r="I76" s="81"/>
      <x:c r="J76" s="81"/>
      <x:c r="K76" s="81"/>
      <x:c r="L76" s="81"/>
      <x:c r="M76" s="81"/>
      <x:c r="N76" s="81"/>
      <x:c r="O76" s="81"/>
      <x:c r="P76" s="81"/>
      <x:c r="Q76" s="81"/>
      <x:c r="R76" s="81"/>
      <x:c r="S76" s="81"/>
      <x:c r="T76" s="81"/>
      <x:c r="U76" s="81"/>
      <x:c r="V76" s="81"/>
      <x:c r="W76" s="81"/>
      <x:c r="X76" s="81"/>
      <x:c r="Y76" s="81"/>
      <x:c r="Z76" s="81"/>
    </x:row>
    <x:row r="77">
      <x:c r="A77" s="81"/>
      <x:c r="B77" s="81"/>
      <x:c r="C77" s="81"/>
      <x:c r="D77" s="81"/>
      <x:c r="E77" s="81"/>
      <x:c r="F77" s="81"/>
      <x:c r="G77" s="81"/>
      <x:c r="H77" s="81"/>
      <x:c r="I77" s="81"/>
      <x:c r="J77" s="81"/>
      <x:c r="K77" s="81"/>
      <x:c r="L77" s="81"/>
      <x:c r="M77" s="81"/>
      <x:c r="N77" s="81"/>
      <x:c r="O77" s="81"/>
      <x:c r="P77" s="81"/>
      <x:c r="Q77" s="81"/>
      <x:c r="R77" s="81"/>
      <x:c r="S77" s="81"/>
      <x:c r="T77" s="81"/>
      <x:c r="U77" s="81"/>
      <x:c r="V77" s="81"/>
      <x:c r="W77" s="81"/>
      <x:c r="X77" s="81"/>
      <x:c r="Y77" s="81"/>
      <x:c r="Z77" s="81"/>
    </x:row>
    <x:row r="78">
      <x:c r="A78" s="81"/>
      <x:c r="B78" s="81"/>
      <x:c r="C78" s="81"/>
      <x:c r="D78" s="81"/>
      <x:c r="E78" s="81"/>
      <x:c r="F78" s="81"/>
      <x:c r="G78" s="81"/>
      <x:c r="H78" s="81"/>
      <x:c r="I78" s="81"/>
      <x:c r="J78" s="81"/>
      <x:c r="K78" s="81"/>
      <x:c r="L78" s="81"/>
      <x:c r="M78" s="81"/>
      <x:c r="N78" s="81"/>
      <x:c r="O78" s="81"/>
      <x:c r="P78" s="81"/>
      <x:c r="Q78" s="81"/>
      <x:c r="R78" s="81"/>
      <x:c r="S78" s="81"/>
      <x:c r="T78" s="81"/>
      <x:c r="U78" s="81"/>
      <x:c r="V78" s="81"/>
      <x:c r="W78" s="81"/>
      <x:c r="X78" s="81"/>
      <x:c r="Y78" s="81"/>
      <x:c r="Z78" s="81"/>
    </x:row>
    <x:row r="79">
      <x:c r="A79" s="81"/>
      <x:c r="B79" s="81"/>
      <x:c r="C79" s="81"/>
      <x:c r="D79" s="81"/>
      <x:c r="E79" s="81"/>
      <x:c r="F79" s="81"/>
      <x:c r="G79" s="81"/>
      <x:c r="H79" s="81"/>
      <x:c r="I79" s="81"/>
      <x:c r="J79" s="81"/>
      <x:c r="K79" s="81"/>
      <x:c r="L79" s="81"/>
      <x:c r="M79" s="81"/>
      <x:c r="N79" s="81"/>
      <x:c r="O79" s="81"/>
      <x:c r="P79" s="81"/>
      <x:c r="Q79" s="81"/>
      <x:c r="R79" s="81"/>
      <x:c r="S79" s="81"/>
      <x:c r="T79" s="81"/>
      <x:c r="U79" s="81"/>
      <x:c r="V79" s="81"/>
      <x:c r="W79" s="81"/>
      <x:c r="X79" s="81"/>
      <x:c r="Y79" s="81"/>
      <x:c r="Z79" s="81"/>
    </x:row>
    <x:row r="80">
      <x:c r="A80" s="81"/>
      <x:c r="B80" s="81"/>
      <x:c r="C80" s="81"/>
      <x:c r="D80" s="81"/>
      <x:c r="E80" s="81"/>
      <x:c r="F80" s="81"/>
      <x:c r="G80" s="81"/>
      <x:c r="H80" s="81"/>
      <x:c r="I80" s="81"/>
      <x:c r="J80" s="81"/>
      <x:c r="K80" s="81"/>
      <x:c r="L80" s="81"/>
      <x:c r="M80" s="81"/>
      <x:c r="N80" s="81"/>
      <x:c r="O80" s="81"/>
      <x:c r="P80" s="81"/>
      <x:c r="Q80" s="81"/>
      <x:c r="R80" s="81"/>
      <x:c r="S80" s="81"/>
      <x:c r="T80" s="81"/>
      <x:c r="U80" s="81"/>
      <x:c r="V80" s="81"/>
      <x:c r="W80" s="81"/>
      <x:c r="X80" s="81"/>
      <x:c r="Y80" s="81"/>
      <x:c r="Z80" s="81"/>
    </x:row>
    <x:row r="81">
      <x:c r="A81" s="81"/>
      <x:c r="B81" s="81"/>
      <x:c r="C81" s="81"/>
      <x:c r="D81" s="81"/>
      <x:c r="E81" s="81"/>
      <x:c r="F81" s="81"/>
      <x:c r="G81" s="81"/>
      <x:c r="H81" s="81"/>
      <x:c r="I81" s="81"/>
      <x:c r="J81" s="81"/>
      <x:c r="K81" s="81"/>
      <x:c r="L81" s="81"/>
      <x:c r="M81" s="81"/>
      <x:c r="N81" s="81"/>
      <x:c r="O81" s="81"/>
      <x:c r="P81" s="81"/>
      <x:c r="Q81" s="81"/>
      <x:c r="R81" s="81"/>
      <x:c r="S81" s="81"/>
      <x:c r="T81" s="81"/>
      <x:c r="U81" s="81"/>
      <x:c r="V81" s="81"/>
      <x:c r="W81" s="81"/>
      <x:c r="X81" s="81"/>
      <x:c r="Y81" s="81"/>
      <x:c r="Z81" s="81"/>
    </x:row>
    <x:row r="82">
      <x:c r="A82" s="81"/>
      <x:c r="B82" s="81"/>
      <x:c r="C82" s="81"/>
      <x:c r="D82" s="81"/>
      <x:c r="E82" s="81"/>
      <x:c r="F82" s="81"/>
      <x:c r="G82" s="81"/>
      <x:c r="H82" s="81"/>
      <x:c r="I82" s="81"/>
      <x:c r="J82" s="81"/>
      <x:c r="K82" s="81"/>
      <x:c r="L82" s="81"/>
      <x:c r="M82" s="81"/>
      <x:c r="N82" s="81"/>
      <x:c r="O82" s="81"/>
      <x:c r="P82" s="81"/>
      <x:c r="Q82" s="81"/>
      <x:c r="R82" s="81"/>
      <x:c r="S82" s="81"/>
      <x:c r="T82" s="81"/>
      <x:c r="U82" s="81"/>
      <x:c r="V82" s="81"/>
      <x:c r="W82" s="81"/>
      <x:c r="X82" s="81"/>
      <x:c r="Y82" s="81"/>
      <x:c r="Z82" s="81"/>
    </x:row>
    <x:row r="83">
      <x:c r="A83" s="81"/>
      <x:c r="B83" s="81"/>
      <x:c r="C83" s="81"/>
      <x:c r="D83" s="81"/>
      <x:c r="E83" s="81"/>
      <x:c r="F83" s="81"/>
      <x:c r="G83" s="81"/>
      <x:c r="H83" s="81"/>
      <x:c r="I83" s="81"/>
      <x:c r="J83" s="81"/>
      <x:c r="K83" s="81"/>
      <x:c r="L83" s="81"/>
      <x:c r="M83" s="81"/>
      <x:c r="N83" s="81"/>
      <x:c r="O83" s="81"/>
      <x:c r="P83" s="81"/>
      <x:c r="Q83" s="81"/>
      <x:c r="R83" s="81"/>
      <x:c r="S83" s="81"/>
      <x:c r="T83" s="81"/>
      <x:c r="U83" s="81"/>
      <x:c r="V83" s="81"/>
      <x:c r="W83" s="81"/>
      <x:c r="X83" s="81"/>
      <x:c r="Y83" s="81"/>
      <x:c r="Z83" s="81"/>
    </x:row>
    <x:row r="84">
      <x:c r="A84" s="81"/>
      <x:c r="B84" s="81"/>
      <x:c r="C84" s="81"/>
      <x:c r="D84" s="81"/>
      <x:c r="E84" s="81"/>
      <x:c r="F84" s="81"/>
      <x:c r="G84" s="81"/>
      <x:c r="H84" s="81"/>
      <x:c r="I84" s="81"/>
      <x:c r="J84" s="81"/>
      <x:c r="K84" s="81"/>
      <x:c r="L84" s="81"/>
      <x:c r="M84" s="81"/>
      <x:c r="N84" s="81"/>
      <x:c r="O84" s="81"/>
      <x:c r="P84" s="81"/>
      <x:c r="Q84" s="81"/>
      <x:c r="R84" s="81"/>
      <x:c r="S84" s="81"/>
      <x:c r="T84" s="81"/>
      <x:c r="U84" s="81"/>
      <x:c r="V84" s="81"/>
      <x:c r="W84" s="81"/>
      <x:c r="X84" s="81"/>
      <x:c r="Y84" s="81"/>
      <x:c r="Z84" s="81"/>
    </x:row>
    <x:row r="85">
      <x:c r="A85" s="81"/>
      <x:c r="B85" s="81"/>
      <x:c r="C85" s="81"/>
      <x:c r="D85" s="81"/>
      <x:c r="E85" s="81"/>
      <x:c r="F85" s="81"/>
      <x:c r="G85" s="81"/>
      <x:c r="H85" s="81"/>
      <x:c r="I85" s="81"/>
      <x:c r="J85" s="81"/>
      <x:c r="K85" s="81"/>
      <x:c r="L85" s="81"/>
      <x:c r="M85" s="81"/>
      <x:c r="N85" s="81"/>
      <x:c r="O85" s="81"/>
      <x:c r="P85" s="81"/>
      <x:c r="Q85" s="81"/>
      <x:c r="R85" s="81"/>
      <x:c r="S85" s="81"/>
      <x:c r="T85" s="81"/>
      <x:c r="U85" s="81"/>
      <x:c r="V85" s="81"/>
      <x:c r="W85" s="81"/>
      <x:c r="X85" s="81"/>
      <x:c r="Y85" s="81"/>
      <x:c r="Z85" s="81"/>
    </x:row>
    <x:row r="86">
      <x:c r="A86" s="81"/>
      <x:c r="B86" s="81"/>
      <x:c r="C86" s="81"/>
      <x:c r="D86" s="81"/>
      <x:c r="E86" s="81"/>
      <x:c r="F86" s="81"/>
      <x:c r="G86" s="81"/>
      <x:c r="H86" s="81"/>
      <x:c r="I86" s="81"/>
      <x:c r="J86" s="81"/>
      <x:c r="K86" s="81"/>
      <x:c r="L86" s="81"/>
      <x:c r="M86" s="81"/>
      <x:c r="N86" s="81"/>
      <x:c r="O86" s="81"/>
      <x:c r="P86" s="81"/>
      <x:c r="Q86" s="81"/>
      <x:c r="R86" s="81"/>
      <x:c r="S86" s="81"/>
      <x:c r="T86" s="81"/>
      <x:c r="U86" s="81"/>
      <x:c r="V86" s="81"/>
      <x:c r="W86" s="81"/>
      <x:c r="X86" s="81"/>
      <x:c r="Y86" s="81"/>
      <x:c r="Z86" s="81"/>
    </x:row>
    <x:row r="87">
      <x:c r="A87" s="81"/>
      <x:c r="B87" s="81"/>
      <x:c r="C87" s="81"/>
      <x:c r="D87" s="81"/>
      <x:c r="E87" s="81"/>
      <x:c r="F87" s="81"/>
      <x:c r="G87" s="81"/>
      <x:c r="H87" s="81"/>
      <x:c r="I87" s="81"/>
      <x:c r="J87" s="81"/>
      <x:c r="K87" s="81"/>
      <x:c r="L87" s="81"/>
      <x:c r="M87" s="81"/>
      <x:c r="N87" s="81"/>
      <x:c r="O87" s="81"/>
      <x:c r="P87" s="81"/>
      <x:c r="Q87" s="81"/>
      <x:c r="R87" s="81"/>
      <x:c r="S87" s="81"/>
      <x:c r="T87" s="81"/>
      <x:c r="U87" s="81"/>
      <x:c r="V87" s="81"/>
      <x:c r="W87" s="81"/>
      <x:c r="X87" s="81"/>
      <x:c r="Y87" s="81"/>
      <x:c r="Z87" s="81"/>
    </x:row>
    <x:row r="88">
      <x:c r="A88" s="81"/>
      <x:c r="B88" s="81"/>
      <x:c r="C88" s="81"/>
      <x:c r="D88" s="81"/>
      <x:c r="E88" s="81"/>
      <x:c r="F88" s="81"/>
      <x:c r="G88" s="81"/>
      <x:c r="H88" s="81"/>
      <x:c r="I88" s="81"/>
      <x:c r="J88" s="81"/>
      <x:c r="K88" s="81"/>
      <x:c r="L88" s="81"/>
      <x:c r="M88" s="81"/>
      <x:c r="N88" s="81"/>
      <x:c r="O88" s="81"/>
      <x:c r="P88" s="81"/>
      <x:c r="Q88" s="81"/>
      <x:c r="R88" s="81"/>
      <x:c r="S88" s="81"/>
      <x:c r="T88" s="81"/>
      <x:c r="U88" s="81"/>
      <x:c r="V88" s="81"/>
      <x:c r="W88" s="81"/>
      <x:c r="X88" s="81"/>
      <x:c r="Y88" s="81"/>
      <x:c r="Z88" s="81"/>
    </x:row>
    <x:row r="89">
      <x:c r="A89" s="81"/>
      <x:c r="B89" s="81"/>
      <x:c r="C89" s="81"/>
      <x:c r="D89" s="81"/>
      <x:c r="E89" s="81"/>
      <x:c r="F89" s="81"/>
      <x:c r="G89" s="81"/>
      <x:c r="H89" s="81"/>
      <x:c r="I89" s="81"/>
      <x:c r="J89" s="81"/>
      <x:c r="K89" s="81"/>
      <x:c r="L89" s="81"/>
      <x:c r="M89" s="81"/>
      <x:c r="N89" s="81"/>
      <x:c r="O89" s="81"/>
      <x:c r="P89" s="81"/>
      <x:c r="Q89" s="81"/>
      <x:c r="R89" s="81"/>
      <x:c r="S89" s="81"/>
      <x:c r="T89" s="81"/>
      <x:c r="U89" s="81"/>
      <x:c r="V89" s="81"/>
      <x:c r="W89" s="81"/>
      <x:c r="X89" s="81"/>
      <x:c r="Y89" s="81"/>
      <x:c r="Z89" s="81"/>
    </x:row>
    <x:row r="90">
      <x:c r="A90" s="81"/>
      <x:c r="B90" s="81"/>
      <x:c r="C90" s="81"/>
      <x:c r="D90" s="81"/>
      <x:c r="E90" s="81"/>
      <x:c r="F90" s="81"/>
      <x:c r="G90" s="81"/>
      <x:c r="H90" s="81"/>
      <x:c r="I90" s="81"/>
      <x:c r="J90" s="81"/>
      <x:c r="K90" s="81"/>
      <x:c r="L90" s="81"/>
      <x:c r="M90" s="81"/>
      <x:c r="N90" s="81"/>
      <x:c r="O90" s="81"/>
      <x:c r="P90" s="81"/>
      <x:c r="Q90" s="81"/>
      <x:c r="R90" s="81"/>
      <x:c r="S90" s="81"/>
      <x:c r="T90" s="81"/>
      <x:c r="U90" s="81"/>
      <x:c r="V90" s="81"/>
      <x:c r="W90" s="81"/>
      <x:c r="X90" s="81"/>
      <x:c r="Y90" s="81"/>
      <x:c r="Z90" s="81"/>
    </x:row>
    <x:row r="91">
      <x:c r="A91" s="81"/>
      <x:c r="B91" s="81"/>
      <x:c r="C91" s="81"/>
      <x:c r="D91" s="81"/>
      <x:c r="E91" s="81"/>
      <x:c r="F91" s="81"/>
      <x:c r="G91" s="81"/>
      <x:c r="H91" s="81"/>
      <x:c r="I91" s="81"/>
      <x:c r="J91" s="81"/>
      <x:c r="K91" s="81"/>
      <x:c r="L91" s="81"/>
      <x:c r="M91" s="81"/>
      <x:c r="N91" s="81"/>
      <x:c r="O91" s="81"/>
      <x:c r="P91" s="81"/>
      <x:c r="Q91" s="81"/>
      <x:c r="R91" s="81"/>
      <x:c r="S91" s="81"/>
      <x:c r="T91" s="81"/>
      <x:c r="U91" s="81"/>
      <x:c r="V91" s="81"/>
      <x:c r="W91" s="81"/>
      <x:c r="X91" s="81"/>
      <x:c r="Y91" s="81"/>
      <x:c r="Z91" s="81"/>
    </x:row>
    <x:row r="92">
      <x:c r="A92" s="81"/>
      <x:c r="B92" s="81"/>
      <x:c r="C92" s="81"/>
      <x:c r="D92" s="81"/>
      <x:c r="E92" s="81"/>
      <x:c r="F92" s="81"/>
      <x:c r="G92" s="81"/>
      <x:c r="H92" s="81"/>
      <x:c r="I92" s="81"/>
      <x:c r="J92" s="81"/>
      <x:c r="K92" s="81"/>
      <x:c r="L92" s="81"/>
      <x:c r="M92" s="81"/>
      <x:c r="N92" s="81"/>
      <x:c r="O92" s="81"/>
      <x:c r="P92" s="81"/>
      <x:c r="Q92" s="81"/>
      <x:c r="R92" s="81"/>
      <x:c r="S92" s="81"/>
      <x:c r="T92" s="81"/>
      <x:c r="U92" s="81"/>
      <x:c r="V92" s="81"/>
      <x:c r="W92" s="81"/>
      <x:c r="X92" s="81"/>
      <x:c r="Y92" s="81"/>
      <x:c r="Z92" s="81"/>
    </x:row>
    <x:row r="93">
      <x:c r="A93" s="81"/>
      <x:c r="B93" s="81"/>
      <x:c r="C93" s="81"/>
      <x:c r="D93" s="81"/>
      <x:c r="E93" s="81"/>
      <x:c r="F93" s="81"/>
      <x:c r="G93" s="81"/>
      <x:c r="H93" s="81"/>
      <x:c r="I93" s="81"/>
      <x:c r="J93" s="81"/>
      <x:c r="K93" s="81"/>
      <x:c r="L93" s="81"/>
      <x:c r="M93" s="81"/>
      <x:c r="N93" s="81"/>
      <x:c r="O93" s="81"/>
      <x:c r="P93" s="81"/>
      <x:c r="Q93" s="81"/>
      <x:c r="R93" s="81"/>
      <x:c r="S93" s="81"/>
      <x:c r="T93" s="81"/>
      <x:c r="U93" s="81"/>
      <x:c r="V93" s="81"/>
      <x:c r="W93" s="81"/>
      <x:c r="X93" s="81"/>
      <x:c r="Y93" s="81"/>
      <x:c r="Z93" s="81"/>
    </x:row>
    <x:row r="94">
      <x:c r="A94" s="81"/>
      <x:c r="B94" s="81"/>
      <x:c r="C94" s="81"/>
      <x:c r="D94" s="81"/>
      <x:c r="E94" s="81"/>
      <x:c r="F94" s="81"/>
      <x:c r="G94" s="81"/>
      <x:c r="H94" s="81"/>
      <x:c r="I94" s="81"/>
      <x:c r="J94" s="81"/>
      <x:c r="K94" s="81"/>
      <x:c r="L94" s="81"/>
      <x:c r="M94" s="81"/>
      <x:c r="N94" s="81"/>
      <x:c r="O94" s="81"/>
      <x:c r="P94" s="81"/>
      <x:c r="Q94" s="81"/>
      <x:c r="R94" s="81"/>
      <x:c r="S94" s="81"/>
      <x:c r="T94" s="81"/>
      <x:c r="U94" s="81"/>
      <x:c r="V94" s="81"/>
      <x:c r="W94" s="81"/>
      <x:c r="X94" s="81"/>
      <x:c r="Y94" s="81"/>
      <x:c r="Z94" s="81"/>
    </x:row>
    <x:row r="95">
      <x:c r="A95" s="81"/>
      <x:c r="B95" s="81"/>
      <x:c r="C95" s="81"/>
      <x:c r="D95" s="81"/>
      <x:c r="E95" s="81"/>
      <x:c r="F95" s="81"/>
      <x:c r="G95" s="81"/>
      <x:c r="H95" s="81"/>
      <x:c r="I95" s="81"/>
      <x:c r="J95" s="81"/>
      <x:c r="K95" s="81"/>
      <x:c r="L95" s="81"/>
      <x:c r="M95" s="81"/>
      <x:c r="N95" s="81"/>
      <x:c r="O95" s="81"/>
      <x:c r="P95" s="81"/>
      <x:c r="Q95" s="81"/>
      <x:c r="R95" s="81"/>
      <x:c r="S95" s="81"/>
      <x:c r="T95" s="81"/>
      <x:c r="U95" s="81"/>
      <x:c r="V95" s="81"/>
      <x:c r="W95" s="81"/>
      <x:c r="X95" s="81"/>
      <x:c r="Y95" s="81"/>
      <x:c r="Z95" s="81"/>
    </x:row>
    <x:row r="96">
      <x:c r="A96" s="81"/>
      <x:c r="B96" s="81"/>
      <x:c r="C96" s="81"/>
      <x:c r="D96" s="81"/>
      <x:c r="E96" s="81"/>
      <x:c r="F96" s="81"/>
      <x:c r="G96" s="81"/>
      <x:c r="H96" s="81"/>
      <x:c r="I96" s="81"/>
      <x:c r="J96" s="81"/>
      <x:c r="K96" s="81"/>
      <x:c r="L96" s="81"/>
      <x:c r="M96" s="81"/>
      <x:c r="N96" s="81"/>
      <x:c r="O96" s="81"/>
      <x:c r="P96" s="81"/>
      <x:c r="Q96" s="81"/>
      <x:c r="R96" s="81"/>
      <x:c r="S96" s="81"/>
      <x:c r="T96" s="81"/>
      <x:c r="U96" s="81"/>
      <x:c r="V96" s="81"/>
      <x:c r="W96" s="81"/>
      <x:c r="X96" s="81"/>
      <x:c r="Y96" s="81"/>
      <x:c r="Z96" s="81"/>
    </x:row>
    <x:row r="97">
      <x:c r="A97" s="81"/>
      <x:c r="B97" s="81"/>
      <x:c r="C97" s="81"/>
      <x:c r="D97" s="81"/>
      <x:c r="E97" s="81"/>
      <x:c r="F97" s="81"/>
      <x:c r="G97" s="81"/>
      <x:c r="H97" s="81"/>
      <x:c r="I97" s="81"/>
      <x:c r="J97" s="81"/>
      <x:c r="K97" s="81"/>
      <x:c r="L97" s="81"/>
      <x:c r="M97" s="81"/>
      <x:c r="N97" s="81"/>
      <x:c r="O97" s="81"/>
      <x:c r="P97" s="81"/>
      <x:c r="Q97" s="81"/>
      <x:c r="R97" s="81"/>
      <x:c r="S97" s="81"/>
      <x:c r="T97" s="81"/>
      <x:c r="U97" s="81"/>
      <x:c r="V97" s="81"/>
      <x:c r="W97" s="81"/>
      <x:c r="X97" s="81"/>
      <x:c r="Y97" s="81"/>
      <x:c r="Z97" s="81"/>
    </x:row>
    <x:row r="98">
      <x:c r="A98" s="81"/>
      <x:c r="B98" s="81"/>
      <x:c r="C98" s="81"/>
      <x:c r="D98" s="81"/>
      <x:c r="E98" s="81"/>
      <x:c r="F98" s="81"/>
      <x:c r="G98" s="81"/>
      <x:c r="H98" s="81"/>
      <x:c r="I98" s="81"/>
      <x:c r="J98" s="81"/>
      <x:c r="K98" s="81"/>
      <x:c r="L98" s="81"/>
      <x:c r="M98" s="81"/>
      <x:c r="N98" s="81"/>
      <x:c r="O98" s="81"/>
      <x:c r="P98" s="81"/>
      <x:c r="Q98" s="81"/>
      <x:c r="R98" s="81"/>
      <x:c r="S98" s="81"/>
      <x:c r="T98" s="81"/>
      <x:c r="U98" s="81"/>
      <x:c r="V98" s="81"/>
      <x:c r="W98" s="81"/>
      <x:c r="X98" s="81"/>
      <x:c r="Y98" s="81"/>
      <x:c r="Z98" s="81"/>
    </x:row>
    <x:row r="99">
      <x:c r="A99" s="81"/>
      <x:c r="B99" s="81"/>
      <x:c r="C99" s="81"/>
      <x:c r="D99" s="81"/>
      <x:c r="E99" s="81"/>
      <x:c r="F99" s="81"/>
      <x:c r="G99" s="81"/>
      <x:c r="H99" s="81"/>
      <x:c r="I99" s="81"/>
      <x:c r="J99" s="81"/>
      <x:c r="K99" s="81"/>
      <x:c r="L99" s="81"/>
      <x:c r="M99" s="81"/>
      <x:c r="N99" s="81"/>
      <x:c r="O99" s="81"/>
      <x:c r="P99" s="81"/>
      <x:c r="Q99" s="81"/>
      <x:c r="R99" s="81"/>
      <x:c r="S99" s="81"/>
      <x:c r="T99" s="81"/>
      <x:c r="U99" s="81"/>
      <x:c r="V99" s="81"/>
      <x:c r="W99" s="81"/>
      <x:c r="X99" s="81"/>
      <x:c r="Y99" s="81"/>
      <x:c r="Z99" s="81"/>
    </x:row>
    <x:row r="100">
      <x:c r="A100" s="81"/>
      <x:c r="B100" s="81"/>
      <x:c r="C100" s="81"/>
      <x:c r="D100" s="81"/>
      <x:c r="E100" s="81"/>
      <x:c r="F100" s="81"/>
      <x:c r="G100" s="81"/>
      <x:c r="H100" s="81"/>
      <x:c r="I100" s="81"/>
      <x:c r="J100" s="81"/>
      <x:c r="K100" s="81"/>
      <x:c r="L100" s="81"/>
      <x:c r="M100" s="81"/>
      <x:c r="N100" s="81"/>
      <x:c r="O100" s="81"/>
      <x:c r="P100" s="81"/>
      <x:c r="Q100" s="81"/>
      <x:c r="R100" s="81"/>
      <x:c r="S100" s="81"/>
      <x:c r="T100" s="81"/>
      <x:c r="U100" s="81"/>
      <x:c r="V100" s="81"/>
      <x:c r="W100" s="81"/>
      <x:c r="X100" s="81"/>
      <x:c r="Y100" s="81"/>
      <x:c r="Z100" s="81"/>
    </x:row>
    <x:row r="101">
      <x:c r="A101" s="81"/>
      <x:c r="B101" s="81"/>
      <x:c r="C101" s="81"/>
      <x:c r="D101" s="81"/>
      <x:c r="E101" s="81"/>
      <x:c r="F101" s="81"/>
      <x:c r="G101" s="81"/>
      <x:c r="H101" s="81"/>
      <x:c r="I101" s="81"/>
      <x:c r="J101" s="81"/>
      <x:c r="K101" s="81"/>
      <x:c r="L101" s="81"/>
      <x:c r="M101" s="81"/>
      <x:c r="N101" s="81"/>
      <x:c r="O101" s="81"/>
      <x:c r="P101" s="81"/>
      <x:c r="Q101" s="81"/>
      <x:c r="R101" s="81"/>
      <x:c r="S101" s="81"/>
      <x:c r="T101" s="81"/>
      <x:c r="U101" s="81"/>
      <x:c r="V101" s="81"/>
      <x:c r="W101" s="81"/>
      <x:c r="X101" s="81"/>
      <x:c r="Y101" s="81"/>
      <x:c r="Z101" s="81"/>
    </x:row>
    <x:row r="102">
      <x:c r="A102" s="81"/>
      <x:c r="B102" s="81"/>
      <x:c r="C102" s="81"/>
      <x:c r="D102" s="81"/>
      <x:c r="E102" s="81"/>
      <x:c r="F102" s="81"/>
      <x:c r="G102" s="81"/>
      <x:c r="H102" s="81"/>
      <x:c r="I102" s="81"/>
      <x:c r="J102" s="81"/>
      <x:c r="K102" s="81"/>
      <x:c r="L102" s="81"/>
      <x:c r="M102" s="81"/>
      <x:c r="N102" s="81"/>
      <x:c r="O102" s="81"/>
      <x:c r="P102" s="81"/>
      <x:c r="Q102" s="81"/>
      <x:c r="R102" s="81"/>
      <x:c r="S102" s="81"/>
      <x:c r="T102" s="81"/>
      <x:c r="U102" s="81"/>
      <x:c r="V102" s="81"/>
      <x:c r="W102" s="81"/>
      <x:c r="X102" s="81"/>
      <x:c r="Y102" s="81"/>
      <x:c r="Z102" s="81"/>
    </x:row>
    <x:row r="103">
      <x:c r="A103" s="81"/>
      <x:c r="B103" s="81"/>
      <x:c r="C103" s="81"/>
      <x:c r="D103" s="81"/>
      <x:c r="E103" s="81"/>
      <x:c r="F103" s="81"/>
      <x:c r="G103" s="81"/>
      <x:c r="H103" s="81"/>
      <x:c r="I103" s="81"/>
      <x:c r="J103" s="81"/>
      <x:c r="K103" s="81"/>
      <x:c r="L103" s="81"/>
      <x:c r="M103" s="81"/>
      <x:c r="N103" s="81"/>
      <x:c r="O103" s="81"/>
      <x:c r="P103" s="81"/>
      <x:c r="Q103" s="81"/>
      <x:c r="R103" s="81"/>
      <x:c r="S103" s="81"/>
      <x:c r="T103" s="81"/>
      <x:c r="U103" s="81"/>
      <x:c r="V103" s="81"/>
      <x:c r="W103" s="81"/>
      <x:c r="X103" s="81"/>
      <x:c r="Y103" s="81"/>
      <x:c r="Z103" s="81"/>
    </x:row>
    <x:row r="104">
      <x:c r="A104" s="81"/>
      <x:c r="B104" s="81"/>
      <x:c r="C104" s="81"/>
      <x:c r="D104" s="81"/>
      <x:c r="E104" s="81"/>
      <x:c r="F104" s="81"/>
      <x:c r="G104" s="81"/>
      <x:c r="H104" s="81"/>
      <x:c r="I104" s="81"/>
      <x:c r="J104" s="81"/>
      <x:c r="K104" s="81"/>
      <x:c r="L104" s="81"/>
      <x:c r="M104" s="81"/>
      <x:c r="N104" s="81"/>
      <x:c r="O104" s="81"/>
      <x:c r="P104" s="81"/>
      <x:c r="Q104" s="81"/>
      <x:c r="R104" s="81"/>
      <x:c r="S104" s="81"/>
      <x:c r="T104" s="81"/>
      <x:c r="U104" s="81"/>
      <x:c r="V104" s="81"/>
      <x:c r="W104" s="81"/>
      <x:c r="X104" s="81"/>
      <x:c r="Y104" s="81"/>
      <x:c r="Z104" s="81"/>
    </x:row>
    <x:row r="105">
      <x:c r="A105" s="81"/>
      <x:c r="B105" s="81"/>
      <x:c r="C105" s="81"/>
      <x:c r="D105" s="81"/>
      <x:c r="E105" s="81"/>
      <x:c r="F105" s="81"/>
      <x:c r="G105" s="81"/>
      <x:c r="H105" s="81"/>
      <x:c r="I105" s="81"/>
      <x:c r="J105" s="81"/>
      <x:c r="K105" s="81"/>
      <x:c r="L105" s="81"/>
      <x:c r="M105" s="81"/>
      <x:c r="N105" s="81"/>
      <x:c r="O105" s="81"/>
      <x:c r="P105" s="81"/>
      <x:c r="Q105" s="81"/>
      <x:c r="R105" s="81"/>
      <x:c r="S105" s="81"/>
      <x:c r="T105" s="81"/>
      <x:c r="U105" s="81"/>
      <x:c r="V105" s="81"/>
      <x:c r="W105" s="81"/>
      <x:c r="X105" s="81"/>
      <x:c r="Y105" s="81"/>
      <x:c r="Z105" s="81"/>
    </x:row>
    <x:row r="106">
      <x:c r="A106" s="81"/>
      <x:c r="B106" s="81"/>
      <x:c r="C106" s="81"/>
      <x:c r="D106" s="81"/>
      <x:c r="E106" s="81"/>
      <x:c r="F106" s="81"/>
      <x:c r="G106" s="81"/>
      <x:c r="H106" s="81"/>
      <x:c r="I106" s="81"/>
      <x:c r="J106" s="81"/>
      <x:c r="K106" s="81"/>
      <x:c r="L106" s="81"/>
      <x:c r="M106" s="81"/>
      <x:c r="N106" s="81"/>
      <x:c r="O106" s="81"/>
      <x:c r="P106" s="81"/>
      <x:c r="Q106" s="81"/>
      <x:c r="R106" s="81"/>
      <x:c r="S106" s="81"/>
      <x:c r="T106" s="81"/>
      <x:c r="U106" s="81"/>
      <x:c r="V106" s="81"/>
      <x:c r="W106" s="81"/>
      <x:c r="X106" s="81"/>
      <x:c r="Y106" s="81"/>
      <x:c r="Z106" s="81"/>
    </x:row>
    <x:row r="107">
      <x:c r="A107" s="81"/>
      <x:c r="B107" s="81"/>
      <x:c r="C107" s="81"/>
      <x:c r="D107" s="81"/>
      <x:c r="E107" s="81"/>
      <x:c r="F107" s="81"/>
      <x:c r="G107" s="81"/>
      <x:c r="H107" s="81"/>
      <x:c r="I107" s="81"/>
      <x:c r="J107" s="81"/>
      <x:c r="K107" s="81"/>
      <x:c r="L107" s="81"/>
      <x:c r="M107" s="81"/>
      <x:c r="N107" s="81"/>
      <x:c r="O107" s="81"/>
      <x:c r="P107" s="81"/>
      <x:c r="Q107" s="81"/>
      <x:c r="R107" s="81"/>
      <x:c r="S107" s="81"/>
      <x:c r="T107" s="81"/>
      <x:c r="U107" s="81"/>
      <x:c r="V107" s="81"/>
      <x:c r="W107" s="81"/>
      <x:c r="X107" s="81"/>
      <x:c r="Y107" s="81"/>
      <x:c r="Z107" s="81"/>
    </x:row>
    <x:row r="108">
      <x:c r="A108" s="81"/>
      <x:c r="B108" s="81"/>
      <x:c r="C108" s="81"/>
      <x:c r="D108" s="81"/>
      <x:c r="E108" s="81"/>
      <x:c r="F108" s="81"/>
      <x:c r="G108" s="81"/>
      <x:c r="H108" s="81"/>
      <x:c r="I108" s="81"/>
      <x:c r="J108" s="81"/>
      <x:c r="K108" s="81"/>
      <x:c r="L108" s="81"/>
      <x:c r="M108" s="81"/>
      <x:c r="N108" s="81"/>
      <x:c r="O108" s="81"/>
      <x:c r="P108" s="81"/>
      <x:c r="Q108" s="81"/>
      <x:c r="R108" s="81"/>
      <x:c r="S108" s="81"/>
      <x:c r="T108" s="81"/>
      <x:c r="U108" s="81"/>
      <x:c r="V108" s="81"/>
      <x:c r="W108" s="81"/>
      <x:c r="X108" s="81"/>
      <x:c r="Y108" s="81"/>
      <x:c r="Z108" s="81"/>
    </x:row>
    <x:row r="109">
      <x:c r="A109" s="81"/>
      <x:c r="B109" s="81"/>
      <x:c r="C109" s="81"/>
      <x:c r="D109" s="81"/>
      <x:c r="E109" s="81"/>
      <x:c r="F109" s="81"/>
      <x:c r="G109" s="81"/>
      <x:c r="H109" s="81"/>
      <x:c r="I109" s="81"/>
      <x:c r="J109" s="81"/>
      <x:c r="K109" s="81"/>
      <x:c r="L109" s="81"/>
      <x:c r="M109" s="81"/>
      <x:c r="N109" s="81"/>
      <x:c r="O109" s="81"/>
      <x:c r="P109" s="81"/>
      <x:c r="Q109" s="81"/>
      <x:c r="R109" s="81"/>
      <x:c r="S109" s="81"/>
      <x:c r="T109" s="81"/>
      <x:c r="U109" s="81"/>
      <x:c r="V109" s="81"/>
      <x:c r="W109" s="81"/>
      <x:c r="X109" s="81"/>
      <x:c r="Y109" s="81"/>
      <x:c r="Z109" s="81"/>
    </x:row>
    <x:row r="110">
      <x:c r="A110" s="81"/>
      <x:c r="B110" s="81"/>
      <x:c r="C110" s="81"/>
      <x:c r="D110" s="81"/>
      <x:c r="E110" s="81"/>
      <x:c r="F110" s="81"/>
      <x:c r="G110" s="81"/>
      <x:c r="H110" s="81"/>
      <x:c r="I110" s="81"/>
      <x:c r="J110" s="81"/>
      <x:c r="K110" s="81"/>
      <x:c r="L110" s="81"/>
      <x:c r="M110" s="81"/>
      <x:c r="N110" s="81"/>
      <x:c r="O110" s="81"/>
      <x:c r="P110" s="81"/>
      <x:c r="Q110" s="81"/>
      <x:c r="R110" s="81"/>
      <x:c r="S110" s="81"/>
      <x:c r="T110" s="81"/>
      <x:c r="U110" s="81"/>
      <x:c r="V110" s="81"/>
      <x:c r="W110" s="81"/>
      <x:c r="X110" s="81"/>
      <x:c r="Y110" s="81"/>
      <x:c r="Z110" s="81"/>
    </x:row>
    <x:row r="111">
      <x:c r="A111" s="81"/>
      <x:c r="B111" s="81"/>
      <x:c r="C111" s="81"/>
      <x:c r="D111" s="81"/>
      <x:c r="E111" s="81"/>
      <x:c r="F111" s="81"/>
      <x:c r="G111" s="81"/>
      <x:c r="H111" s="81"/>
      <x:c r="I111" s="81"/>
      <x:c r="J111" s="81"/>
      <x:c r="K111" s="81"/>
      <x:c r="L111" s="81"/>
      <x:c r="M111" s="81"/>
      <x:c r="N111" s="81"/>
      <x:c r="O111" s="81"/>
      <x:c r="P111" s="81"/>
      <x:c r="Q111" s="81"/>
      <x:c r="R111" s="81"/>
      <x:c r="S111" s="81"/>
      <x:c r="T111" s="81"/>
      <x:c r="U111" s="81"/>
      <x:c r="V111" s="81"/>
      <x:c r="W111" s="81"/>
      <x:c r="X111" s="81"/>
      <x:c r="Y111" s="81"/>
      <x:c r="Z111" s="81"/>
    </x:row>
    <x:row r="112">
      <x:c r="A112" s="81"/>
      <x:c r="B112" s="81"/>
      <x:c r="C112" s="81"/>
      <x:c r="D112" s="81"/>
      <x:c r="E112" s="81"/>
      <x:c r="F112" s="81"/>
      <x:c r="G112" s="81"/>
      <x:c r="H112" s="81"/>
      <x:c r="I112" s="81"/>
      <x:c r="J112" s="81"/>
      <x:c r="K112" s="81"/>
      <x:c r="L112" s="81"/>
      <x:c r="M112" s="81"/>
      <x:c r="N112" s="81"/>
      <x:c r="O112" s="81"/>
      <x:c r="P112" s="81"/>
      <x:c r="Q112" s="81"/>
      <x:c r="R112" s="81"/>
      <x:c r="S112" s="81"/>
      <x:c r="T112" s="81"/>
      <x:c r="U112" s="81"/>
      <x:c r="V112" s="81"/>
      <x:c r="W112" s="81"/>
      <x:c r="X112" s="81"/>
      <x:c r="Y112" s="81"/>
      <x:c r="Z112" s="81"/>
    </x:row>
    <x:row r="113">
      <x:c r="A113" s="81"/>
      <x:c r="B113" s="81"/>
      <x:c r="C113" s="81"/>
      <x:c r="D113" s="81"/>
      <x:c r="E113" s="81"/>
      <x:c r="F113" s="81"/>
      <x:c r="G113" s="81"/>
      <x:c r="H113" s="81"/>
      <x:c r="I113" s="81"/>
      <x:c r="J113" s="81"/>
      <x:c r="K113" s="81"/>
      <x:c r="L113" s="81"/>
      <x:c r="M113" s="81"/>
      <x:c r="N113" s="81"/>
      <x:c r="O113" s="81"/>
      <x:c r="P113" s="81"/>
      <x:c r="Q113" s="81"/>
      <x:c r="R113" s="81"/>
      <x:c r="S113" s="81"/>
      <x:c r="T113" s="81"/>
      <x:c r="U113" s="81"/>
      <x:c r="V113" s="81"/>
      <x:c r="W113" s="81"/>
      <x:c r="X113" s="81"/>
      <x:c r="Y113" s="81"/>
      <x:c r="Z113" s="81"/>
    </x:row>
    <x:row r="114">
      <x:c r="A114" s="81"/>
      <x:c r="B114" s="81"/>
      <x:c r="C114" s="81"/>
      <x:c r="D114" s="81"/>
      <x:c r="E114" s="81"/>
      <x:c r="F114" s="81"/>
      <x:c r="G114" s="81"/>
      <x:c r="H114" s="81"/>
      <x:c r="I114" s="81"/>
      <x:c r="J114" s="81"/>
      <x:c r="K114" s="81"/>
      <x:c r="L114" s="81"/>
      <x:c r="M114" s="81"/>
      <x:c r="N114" s="81"/>
      <x:c r="O114" s="81"/>
      <x:c r="P114" s="81"/>
      <x:c r="Q114" s="81"/>
      <x:c r="R114" s="81"/>
      <x:c r="S114" s="81"/>
      <x:c r="T114" s="81"/>
      <x:c r="U114" s="81"/>
      <x:c r="V114" s="81"/>
      <x:c r="W114" s="81"/>
      <x:c r="X114" s="81"/>
      <x:c r="Y114" s="81"/>
      <x:c r="Z114" s="81"/>
    </x:row>
    <x:row r="115">
      <x:c r="A115" s="81"/>
      <x:c r="B115" s="81"/>
      <x:c r="C115" s="81"/>
      <x:c r="D115" s="81"/>
      <x:c r="E115" s="81"/>
      <x:c r="F115" s="81"/>
      <x:c r="G115" s="81"/>
      <x:c r="H115" s="81"/>
      <x:c r="I115" s="81"/>
      <x:c r="J115" s="81"/>
      <x:c r="K115" s="81"/>
      <x:c r="L115" s="81"/>
      <x:c r="M115" s="81"/>
      <x:c r="N115" s="81"/>
      <x:c r="O115" s="81"/>
      <x:c r="P115" s="81"/>
      <x:c r="Q115" s="81"/>
      <x:c r="R115" s="81"/>
      <x:c r="S115" s="81"/>
      <x:c r="T115" s="81"/>
      <x:c r="U115" s="81"/>
      <x:c r="V115" s="81"/>
      <x:c r="W115" s="81"/>
      <x:c r="X115" s="81"/>
      <x:c r="Y115" s="81"/>
      <x:c r="Z115" s="81"/>
    </x:row>
    <x:row r="116">
      <x:c r="A116" s="81"/>
      <x:c r="B116" s="81"/>
      <x:c r="C116" s="81"/>
      <x:c r="D116" s="81"/>
      <x:c r="E116" s="81"/>
      <x:c r="F116" s="81"/>
      <x:c r="G116" s="81"/>
      <x:c r="H116" s="81"/>
      <x:c r="I116" s="81"/>
      <x:c r="J116" s="81"/>
      <x:c r="K116" s="81"/>
      <x:c r="L116" s="81"/>
      <x:c r="M116" s="81"/>
      <x:c r="N116" s="81"/>
      <x:c r="O116" s="81"/>
      <x:c r="P116" s="81"/>
      <x:c r="Q116" s="81"/>
      <x:c r="R116" s="81"/>
      <x:c r="S116" s="81"/>
      <x:c r="T116" s="81"/>
      <x:c r="U116" s="81"/>
      <x:c r="V116" s="81"/>
      <x:c r="W116" s="81"/>
      <x:c r="X116" s="81"/>
      <x:c r="Y116" s="81"/>
      <x:c r="Z116" s="81"/>
    </x:row>
    <x:row r="117">
      <x:c r="A117" s="81"/>
      <x:c r="B117" s="81"/>
      <x:c r="C117" s="81"/>
      <x:c r="D117" s="81"/>
      <x:c r="E117" s="81"/>
      <x:c r="F117" s="81"/>
      <x:c r="G117" s="81"/>
      <x:c r="H117" s="81"/>
      <x:c r="I117" s="81"/>
      <x:c r="J117" s="81"/>
      <x:c r="K117" s="81"/>
      <x:c r="L117" s="81"/>
      <x:c r="M117" s="81"/>
      <x:c r="N117" s="81"/>
      <x:c r="O117" s="81"/>
      <x:c r="P117" s="81"/>
      <x:c r="Q117" s="81"/>
      <x:c r="R117" s="81"/>
      <x:c r="S117" s="81"/>
      <x:c r="T117" s="81"/>
      <x:c r="U117" s="81"/>
      <x:c r="V117" s="81"/>
      <x:c r="W117" s="81"/>
      <x:c r="X117" s="81"/>
      <x:c r="Y117" s="81"/>
      <x:c r="Z117" s="81"/>
    </x:row>
    <x:row r="118">
      <x:c r="A118" s="81"/>
      <x:c r="B118" s="81"/>
      <x:c r="C118" s="81"/>
      <x:c r="D118" s="81"/>
      <x:c r="E118" s="81"/>
      <x:c r="F118" s="81"/>
      <x:c r="G118" s="81"/>
      <x:c r="H118" s="81"/>
      <x:c r="I118" s="81"/>
      <x:c r="J118" s="81"/>
      <x:c r="K118" s="81"/>
      <x:c r="L118" s="81"/>
      <x:c r="M118" s="81"/>
      <x:c r="N118" s="81"/>
      <x:c r="O118" s="81"/>
      <x:c r="P118" s="81"/>
      <x:c r="Q118" s="81"/>
      <x:c r="R118" s="81"/>
      <x:c r="S118" s="81"/>
      <x:c r="T118" s="81"/>
      <x:c r="U118" s="81"/>
      <x:c r="V118" s="81"/>
      <x:c r="W118" s="81"/>
      <x:c r="X118" s="81"/>
      <x:c r="Y118" s="81"/>
      <x:c r="Z118" s="81"/>
    </x:row>
    <x:row r="119">
      <x:c r="A119" s="81"/>
      <x:c r="B119" s="81"/>
      <x:c r="C119" s="81"/>
      <x:c r="D119" s="81"/>
      <x:c r="E119" s="81"/>
      <x:c r="F119" s="81"/>
      <x:c r="G119" s="81"/>
      <x:c r="H119" s="81"/>
      <x:c r="I119" s="81"/>
      <x:c r="J119" s="81"/>
      <x:c r="K119" s="81"/>
      <x:c r="L119" s="81"/>
      <x:c r="M119" s="81"/>
      <x:c r="N119" s="81"/>
      <x:c r="O119" s="81"/>
      <x:c r="P119" s="81"/>
      <x:c r="Q119" s="81"/>
      <x:c r="R119" s="81"/>
      <x:c r="S119" s="81"/>
      <x:c r="T119" s="81"/>
      <x:c r="U119" s="81"/>
      <x:c r="V119" s="81"/>
      <x:c r="W119" s="81"/>
      <x:c r="X119" s="81"/>
      <x:c r="Y119" s="81"/>
      <x:c r="Z119" s="81"/>
    </x:row>
    <x:row r="120">
      <x:c r="A120" s="81"/>
      <x:c r="B120" s="81"/>
      <x:c r="C120" s="81"/>
      <x:c r="D120" s="81"/>
      <x:c r="E120" s="81"/>
      <x:c r="F120" s="81"/>
      <x:c r="G120" s="81"/>
      <x:c r="H120" s="81"/>
      <x:c r="I120" s="81"/>
      <x:c r="J120" s="81"/>
      <x:c r="K120" s="81"/>
      <x:c r="L120" s="81"/>
      <x:c r="M120" s="81"/>
      <x:c r="N120" s="81"/>
      <x:c r="O120" s="81"/>
      <x:c r="P120" s="81"/>
      <x:c r="Q120" s="81"/>
      <x:c r="R120" s="81"/>
      <x:c r="S120" s="81"/>
      <x:c r="T120" s="81"/>
      <x:c r="U120" s="81"/>
      <x:c r="V120" s="81"/>
      <x:c r="W120" s="81"/>
      <x:c r="X120" s="81"/>
      <x:c r="Y120" s="81"/>
      <x:c r="Z120" s="81"/>
    </x:row>
    <x:row r="121">
      <x:c r="A121" s="81"/>
      <x:c r="B121" s="81"/>
      <x:c r="C121" s="81"/>
      <x:c r="D121" s="81"/>
      <x:c r="E121" s="81"/>
      <x:c r="F121" s="81"/>
      <x:c r="G121" s="81"/>
      <x:c r="H121" s="81"/>
      <x:c r="I121" s="81"/>
      <x:c r="J121" s="81"/>
      <x:c r="K121" s="81"/>
      <x:c r="L121" s="81"/>
      <x:c r="M121" s="81"/>
      <x:c r="N121" s="81"/>
      <x:c r="O121" s="81"/>
      <x:c r="P121" s="81"/>
      <x:c r="Q121" s="81"/>
      <x:c r="R121" s="81"/>
      <x:c r="S121" s="81"/>
      <x:c r="T121" s="81"/>
      <x:c r="U121" s="81"/>
      <x:c r="V121" s="81"/>
      <x:c r="W121" s="81"/>
      <x:c r="X121" s="81"/>
      <x:c r="Y121" s="81"/>
      <x:c r="Z121" s="81"/>
    </x:row>
    <x:row r="122">
      <x:c r="A122" s="81"/>
      <x:c r="B122" s="81"/>
      <x:c r="C122" s="81"/>
      <x:c r="D122" s="81"/>
      <x:c r="E122" s="81"/>
      <x:c r="F122" s="81"/>
      <x:c r="G122" s="81"/>
      <x:c r="H122" s="81"/>
      <x:c r="I122" s="81"/>
      <x:c r="J122" s="81"/>
      <x:c r="K122" s="81"/>
      <x:c r="L122" s="81"/>
      <x:c r="M122" s="81"/>
      <x:c r="N122" s="81"/>
      <x:c r="O122" s="81"/>
      <x:c r="P122" s="81"/>
      <x:c r="Q122" s="81"/>
      <x:c r="R122" s="81"/>
      <x:c r="S122" s="81"/>
      <x:c r="T122" s="81"/>
      <x:c r="U122" s="81"/>
      <x:c r="V122" s="81"/>
      <x:c r="W122" s="81"/>
      <x:c r="X122" s="81"/>
      <x:c r="Y122" s="81"/>
      <x:c r="Z122" s="81"/>
    </x:row>
    <x:row r="123">
      <x:c r="A123" s="81"/>
      <x:c r="B123" s="81"/>
      <x:c r="C123" s="81"/>
      <x:c r="D123" s="81"/>
      <x:c r="E123" s="81"/>
      <x:c r="F123" s="81"/>
      <x:c r="G123" s="81"/>
      <x:c r="H123" s="81"/>
      <x:c r="I123" s="81"/>
      <x:c r="J123" s="81"/>
      <x:c r="K123" s="81"/>
      <x:c r="L123" s="81"/>
      <x:c r="M123" s="81"/>
      <x:c r="N123" s="81"/>
      <x:c r="O123" s="81"/>
      <x:c r="P123" s="81"/>
      <x:c r="Q123" s="81"/>
      <x:c r="R123" s="81"/>
      <x:c r="S123" s="81"/>
      <x:c r="T123" s="81"/>
      <x:c r="U123" s="81"/>
      <x:c r="V123" s="81"/>
      <x:c r="W123" s="81"/>
      <x:c r="X123" s="81"/>
      <x:c r="Y123" s="81"/>
      <x:c r="Z123" s="81"/>
    </x:row>
    <x:row r="124">
      <x:c r="A124" s="81"/>
      <x:c r="B124" s="81"/>
      <x:c r="C124" s="81"/>
      <x:c r="D124" s="81"/>
      <x:c r="E124" s="81"/>
      <x:c r="F124" s="81"/>
      <x:c r="G124" s="81"/>
      <x:c r="H124" s="81"/>
      <x:c r="I124" s="81"/>
      <x:c r="J124" s="81"/>
      <x:c r="K124" s="81"/>
      <x:c r="L124" s="81"/>
      <x:c r="M124" s="81"/>
      <x:c r="N124" s="81"/>
      <x:c r="O124" s="81"/>
      <x:c r="P124" s="81"/>
      <x:c r="Q124" s="81"/>
      <x:c r="R124" s="81"/>
      <x:c r="S124" s="81"/>
      <x:c r="T124" s="81"/>
      <x:c r="U124" s="81"/>
      <x:c r="V124" s="81"/>
      <x:c r="W124" s="81"/>
      <x:c r="X124" s="81"/>
      <x:c r="Y124" s="81"/>
      <x:c r="Z124" s="81"/>
    </x:row>
    <x:row r="125">
      <x:c r="A125" s="81"/>
      <x:c r="B125" s="81"/>
      <x:c r="C125" s="81"/>
      <x:c r="D125" s="81"/>
      <x:c r="E125" s="81"/>
      <x:c r="F125" s="81"/>
      <x:c r="G125" s="81"/>
      <x:c r="H125" s="81"/>
      <x:c r="I125" s="81"/>
      <x:c r="J125" s="81"/>
      <x:c r="K125" s="81"/>
      <x:c r="L125" s="81"/>
      <x:c r="M125" s="81"/>
      <x:c r="N125" s="81"/>
      <x:c r="O125" s="81"/>
      <x:c r="P125" s="81"/>
      <x:c r="Q125" s="81"/>
      <x:c r="R125" s="81"/>
      <x:c r="S125" s="81"/>
      <x:c r="T125" s="81"/>
      <x:c r="U125" s="81"/>
      <x:c r="V125" s="81"/>
      <x:c r="W125" s="81"/>
      <x:c r="X125" s="81"/>
      <x:c r="Y125" s="81"/>
      <x:c r="Z125" s="81"/>
    </x:row>
    <x:row r="126">
      <x:c r="A126" s="81"/>
      <x:c r="B126" s="81"/>
      <x:c r="C126" s="81"/>
      <x:c r="D126" s="81"/>
      <x:c r="E126" s="81"/>
      <x:c r="F126" s="81"/>
      <x:c r="G126" s="81"/>
      <x:c r="H126" s="81"/>
      <x:c r="I126" s="81"/>
      <x:c r="J126" s="81"/>
      <x:c r="K126" s="81"/>
      <x:c r="L126" s="81"/>
      <x:c r="M126" s="81"/>
      <x:c r="N126" s="81"/>
      <x:c r="O126" s="81"/>
      <x:c r="P126" s="81"/>
      <x:c r="Q126" s="81"/>
      <x:c r="R126" s="81"/>
      <x:c r="S126" s="81"/>
      <x:c r="T126" s="81"/>
      <x:c r="U126" s="81"/>
      <x:c r="V126" s="81"/>
      <x:c r="W126" s="81"/>
      <x:c r="X126" s="81"/>
      <x:c r="Y126" s="81"/>
      <x:c r="Z126" s="81"/>
    </x:row>
    <x:row r="127">
      <x:c r="A127" s="81"/>
      <x:c r="B127" s="81"/>
      <x:c r="C127" s="81"/>
      <x:c r="D127" s="81"/>
      <x:c r="E127" s="81"/>
      <x:c r="F127" s="81"/>
      <x:c r="G127" s="81"/>
      <x:c r="H127" s="81"/>
      <x:c r="I127" s="81"/>
      <x:c r="J127" s="81"/>
      <x:c r="K127" s="81"/>
      <x:c r="L127" s="81"/>
      <x:c r="M127" s="81"/>
      <x:c r="N127" s="81"/>
      <x:c r="O127" s="81"/>
      <x:c r="P127" s="81"/>
      <x:c r="Q127" s="81"/>
      <x:c r="R127" s="81"/>
      <x:c r="S127" s="81"/>
      <x:c r="T127" s="81"/>
      <x:c r="U127" s="81"/>
      <x:c r="V127" s="81"/>
      <x:c r="W127" s="81"/>
      <x:c r="X127" s="81"/>
      <x:c r="Y127" s="81"/>
      <x:c r="Z127" s="81"/>
    </x:row>
    <x:row r="128">
      <x:c r="A128" s="81"/>
      <x:c r="B128" s="81"/>
      <x:c r="C128" s="81"/>
      <x:c r="D128" s="81"/>
      <x:c r="E128" s="81"/>
      <x:c r="F128" s="81"/>
      <x:c r="G128" s="81"/>
      <x:c r="H128" s="81"/>
      <x:c r="I128" s="81"/>
      <x:c r="J128" s="81"/>
      <x:c r="K128" s="81"/>
      <x:c r="L128" s="81"/>
      <x:c r="M128" s="81"/>
      <x:c r="N128" s="81"/>
      <x:c r="O128" s="81"/>
      <x:c r="P128" s="81"/>
      <x:c r="Q128" s="81"/>
      <x:c r="R128" s="81"/>
      <x:c r="S128" s="81"/>
      <x:c r="T128" s="81"/>
      <x:c r="U128" s="81"/>
      <x:c r="V128" s="81"/>
      <x:c r="W128" s="81"/>
      <x:c r="X128" s="81"/>
      <x:c r="Y128" s="81"/>
      <x:c r="Z128" s="81"/>
    </x:row>
    <x:row r="129">
      <x:c r="A129" s="81"/>
      <x:c r="B129" s="81"/>
      <x:c r="C129" s="81"/>
      <x:c r="D129" s="81"/>
      <x:c r="E129" s="81"/>
      <x:c r="F129" s="81"/>
      <x:c r="G129" s="81"/>
      <x:c r="H129" s="81"/>
      <x:c r="I129" s="81"/>
      <x:c r="J129" s="81"/>
      <x:c r="K129" s="81"/>
      <x:c r="L129" s="81"/>
      <x:c r="M129" s="81"/>
      <x:c r="N129" s="81"/>
      <x:c r="O129" s="81"/>
      <x:c r="P129" s="81"/>
      <x:c r="Q129" s="81"/>
      <x:c r="R129" s="81"/>
      <x:c r="S129" s="81"/>
      <x:c r="T129" s="81"/>
      <x:c r="U129" s="81"/>
      <x:c r="V129" s="81"/>
      <x:c r="W129" s="81"/>
      <x:c r="X129" s="81"/>
      <x:c r="Y129" s="81"/>
      <x:c r="Z129" s="81"/>
    </x:row>
    <x:row r="130">
      <x:c r="A130" s="81"/>
      <x:c r="B130" s="81"/>
      <x:c r="C130" s="81"/>
      <x:c r="D130" s="81"/>
      <x:c r="E130" s="81"/>
      <x:c r="F130" s="81"/>
      <x:c r="G130" s="81"/>
      <x:c r="H130" s="81"/>
      <x:c r="I130" s="81"/>
      <x:c r="J130" s="81"/>
      <x:c r="K130" s="81"/>
      <x:c r="L130" s="81"/>
      <x:c r="M130" s="81"/>
      <x:c r="N130" s="81"/>
      <x:c r="O130" s="81"/>
      <x:c r="P130" s="81"/>
      <x:c r="Q130" s="81"/>
      <x:c r="R130" s="81"/>
      <x:c r="S130" s="81"/>
      <x:c r="T130" s="81"/>
      <x:c r="U130" s="81"/>
      <x:c r="V130" s="81"/>
      <x:c r="W130" s="81"/>
      <x:c r="X130" s="81"/>
      <x:c r="Y130" s="81"/>
      <x:c r="Z130" s="81"/>
    </x:row>
    <x:row r="131">
      <x:c r="A131" s="81"/>
      <x:c r="B131" s="81"/>
      <x:c r="C131" s="81"/>
      <x:c r="D131" s="81"/>
      <x:c r="E131" s="81"/>
      <x:c r="F131" s="81"/>
      <x:c r="G131" s="81"/>
      <x:c r="H131" s="81"/>
      <x:c r="I131" s="81"/>
      <x:c r="J131" s="81"/>
      <x:c r="K131" s="81"/>
      <x:c r="L131" s="81"/>
      <x:c r="M131" s="81"/>
      <x:c r="N131" s="81"/>
      <x:c r="O131" s="81"/>
      <x:c r="P131" s="81"/>
      <x:c r="Q131" s="81"/>
      <x:c r="R131" s="81"/>
      <x:c r="S131" s="81"/>
      <x:c r="T131" s="81"/>
      <x:c r="U131" s="81"/>
      <x:c r="V131" s="81"/>
      <x:c r="W131" s="81"/>
      <x:c r="X131" s="81"/>
      <x:c r="Y131" s="81"/>
      <x:c r="Z131" s="81"/>
    </x:row>
    <x:row r="132">
      <x:c r="A132" s="81"/>
      <x:c r="B132" s="81"/>
      <x:c r="C132" s="81"/>
      <x:c r="D132" s="81"/>
      <x:c r="E132" s="81"/>
      <x:c r="F132" s="81"/>
      <x:c r="G132" s="81"/>
      <x:c r="H132" s="81"/>
      <x:c r="I132" s="81"/>
      <x:c r="J132" s="81"/>
      <x:c r="K132" s="81"/>
      <x:c r="L132" s="81"/>
      <x:c r="M132" s="81"/>
      <x:c r="N132" s="81"/>
      <x:c r="O132" s="81"/>
      <x:c r="P132" s="81"/>
      <x:c r="Q132" s="81"/>
      <x:c r="R132" s="81"/>
      <x:c r="S132" s="81"/>
      <x:c r="T132" s="81"/>
      <x:c r="U132" s="81"/>
      <x:c r="V132" s="81"/>
      <x:c r="W132" s="81"/>
      <x:c r="X132" s="81"/>
      <x:c r="Y132" s="81"/>
      <x:c r="Z132" s="81"/>
    </x:row>
    <x:row r="133">
      <x:c r="A133" s="81"/>
      <x:c r="B133" s="81"/>
      <x:c r="C133" s="81"/>
      <x:c r="D133" s="81"/>
      <x:c r="E133" s="81"/>
      <x:c r="F133" s="81"/>
      <x:c r="G133" s="81"/>
      <x:c r="H133" s="81"/>
      <x:c r="I133" s="81"/>
      <x:c r="J133" s="81"/>
      <x:c r="K133" s="81"/>
      <x:c r="L133" s="81"/>
      <x:c r="M133" s="81"/>
      <x:c r="N133" s="81"/>
      <x:c r="O133" s="81"/>
      <x:c r="P133" s="81"/>
      <x:c r="Q133" s="81"/>
      <x:c r="R133" s="81"/>
      <x:c r="S133" s="81"/>
      <x:c r="T133" s="81"/>
      <x:c r="U133" s="81"/>
      <x:c r="V133" s="81"/>
      <x:c r="W133" s="81"/>
      <x:c r="X133" s="81"/>
      <x:c r="Y133" s="81"/>
      <x:c r="Z133" s="81"/>
    </x:row>
    <x:row r="134">
      <x:c r="A134" s="81"/>
      <x:c r="B134" s="81"/>
      <x:c r="C134" s="81"/>
      <x:c r="D134" s="81"/>
      <x:c r="E134" s="81"/>
      <x:c r="F134" s="81"/>
      <x:c r="G134" s="81"/>
      <x:c r="H134" s="81"/>
      <x:c r="I134" s="81"/>
      <x:c r="J134" s="81"/>
      <x:c r="K134" s="81"/>
      <x:c r="L134" s="81"/>
      <x:c r="M134" s="81"/>
      <x:c r="N134" s="81"/>
      <x:c r="O134" s="81"/>
      <x:c r="P134" s="81"/>
      <x:c r="Q134" s="81"/>
      <x:c r="R134" s="81"/>
      <x:c r="S134" s="81"/>
      <x:c r="T134" s="81"/>
      <x:c r="U134" s="81"/>
      <x:c r="V134" s="81"/>
      <x:c r="W134" s="81"/>
      <x:c r="X134" s="81"/>
      <x:c r="Y134" s="81"/>
      <x:c r="Z134" s="81"/>
    </x:row>
    <x:row r="135">
      <x:c r="A135" s="81"/>
      <x:c r="B135" s="81"/>
      <x:c r="C135" s="81"/>
      <x:c r="D135" s="81"/>
      <x:c r="E135" s="81"/>
      <x:c r="F135" s="81"/>
      <x:c r="G135" s="81"/>
      <x:c r="H135" s="81"/>
      <x:c r="I135" s="81"/>
      <x:c r="J135" s="81"/>
      <x:c r="K135" s="81"/>
      <x:c r="L135" s="81"/>
      <x:c r="M135" s="81"/>
      <x:c r="N135" s="81"/>
      <x:c r="O135" s="81"/>
      <x:c r="P135" s="81"/>
      <x:c r="Q135" s="81"/>
      <x:c r="R135" s="81"/>
      <x:c r="S135" s="81"/>
      <x:c r="T135" s="81"/>
      <x:c r="U135" s="81"/>
      <x:c r="V135" s="81"/>
      <x:c r="W135" s="81"/>
      <x:c r="X135" s="81"/>
      <x:c r="Y135" s="81"/>
      <x:c r="Z135" s="81"/>
    </x:row>
    <x:row r="136">
      <x:c r="A136" s="81"/>
      <x:c r="B136" s="81"/>
      <x:c r="C136" s="81"/>
      <x:c r="D136" s="81"/>
      <x:c r="E136" s="81"/>
      <x:c r="F136" s="81"/>
      <x:c r="G136" s="81"/>
      <x:c r="H136" s="81"/>
      <x:c r="I136" s="81"/>
      <x:c r="J136" s="81"/>
      <x:c r="K136" s="81"/>
      <x:c r="L136" s="81"/>
      <x:c r="M136" s="81"/>
      <x:c r="N136" s="81"/>
      <x:c r="O136" s="81"/>
      <x:c r="P136" s="81"/>
      <x:c r="Q136" s="81"/>
      <x:c r="R136" s="81"/>
      <x:c r="S136" s="81"/>
      <x:c r="T136" s="81"/>
      <x:c r="U136" s="81"/>
      <x:c r="V136" s="81"/>
      <x:c r="W136" s="81"/>
      <x:c r="X136" s="81"/>
      <x:c r="Y136" s="81"/>
      <x:c r="Z136" s="81"/>
    </x:row>
    <x:row r="137">
      <x:c r="A137" s="81"/>
      <x:c r="B137" s="81"/>
      <x:c r="C137" s="81"/>
      <x:c r="D137" s="81"/>
      <x:c r="E137" s="81"/>
      <x:c r="F137" s="81"/>
      <x:c r="G137" s="81"/>
      <x:c r="H137" s="81"/>
      <x:c r="I137" s="81"/>
      <x:c r="J137" s="81"/>
      <x:c r="K137" s="81"/>
      <x:c r="L137" s="81"/>
      <x:c r="M137" s="81"/>
      <x:c r="N137" s="81"/>
      <x:c r="O137" s="81"/>
      <x:c r="P137" s="81"/>
      <x:c r="Q137" s="81"/>
      <x:c r="R137" s="81"/>
      <x:c r="S137" s="81"/>
      <x:c r="T137" s="81"/>
      <x:c r="U137" s="81"/>
      <x:c r="V137" s="81"/>
      <x:c r="W137" s="81"/>
      <x:c r="X137" s="81"/>
      <x:c r="Y137" s="81"/>
      <x:c r="Z137" s="81"/>
    </x:row>
    <x:row r="138">
      <x:c r="A138" s="81"/>
      <x:c r="B138" s="81"/>
      <x:c r="C138" s="81"/>
      <x:c r="D138" s="81"/>
      <x:c r="E138" s="81"/>
      <x:c r="F138" s="81"/>
      <x:c r="G138" s="81"/>
      <x:c r="H138" s="81"/>
      <x:c r="I138" s="81"/>
      <x:c r="J138" s="81"/>
      <x:c r="K138" s="81"/>
      <x:c r="L138" s="81"/>
      <x:c r="M138" s="81"/>
      <x:c r="N138" s="81"/>
      <x:c r="O138" s="81"/>
      <x:c r="P138" s="81"/>
      <x:c r="Q138" s="81"/>
      <x:c r="R138" s="81"/>
      <x:c r="S138" s="81"/>
      <x:c r="T138" s="81"/>
      <x:c r="U138" s="81"/>
      <x:c r="V138" s="81"/>
      <x:c r="W138" s="81"/>
      <x:c r="X138" s="81"/>
      <x:c r="Y138" s="81"/>
      <x:c r="Z138" s="81"/>
    </x:row>
    <x:row r="139">
      <x:c r="A139" s="81"/>
      <x:c r="B139" s="81"/>
      <x:c r="C139" s="81"/>
      <x:c r="D139" s="81"/>
      <x:c r="E139" s="81"/>
      <x:c r="F139" s="81"/>
      <x:c r="G139" s="81"/>
      <x:c r="H139" s="81"/>
      <x:c r="I139" s="81"/>
      <x:c r="J139" s="81"/>
      <x:c r="K139" s="81"/>
      <x:c r="L139" s="81"/>
      <x:c r="M139" s="81"/>
      <x:c r="N139" s="81"/>
      <x:c r="O139" s="81"/>
      <x:c r="P139" s="81"/>
      <x:c r="Q139" s="81"/>
      <x:c r="R139" s="81"/>
      <x:c r="S139" s="81"/>
      <x:c r="T139" s="81"/>
      <x:c r="U139" s="81"/>
      <x:c r="V139" s="81"/>
      <x:c r="W139" s="81"/>
      <x:c r="X139" s="81"/>
      <x:c r="Y139" s="81"/>
      <x:c r="Z139" s="81"/>
    </x:row>
    <x:row r="140">
      <x:c r="A140" s="81"/>
      <x:c r="B140" s="81"/>
      <x:c r="C140" s="81"/>
      <x:c r="D140" s="81"/>
      <x:c r="E140" s="81"/>
      <x:c r="F140" s="81"/>
      <x:c r="G140" s="81"/>
      <x:c r="H140" s="81"/>
      <x:c r="I140" s="81"/>
      <x:c r="J140" s="81"/>
      <x:c r="K140" s="81"/>
      <x:c r="L140" s="81"/>
      <x:c r="M140" s="81"/>
      <x:c r="N140" s="81"/>
      <x:c r="O140" s="81"/>
      <x:c r="P140" s="81"/>
      <x:c r="Q140" s="81"/>
      <x:c r="R140" s="81"/>
      <x:c r="S140" s="81"/>
      <x:c r="T140" s="81"/>
      <x:c r="U140" s="81"/>
      <x:c r="V140" s="81"/>
      <x:c r="W140" s="81"/>
      <x:c r="X140" s="81"/>
      <x:c r="Y140" s="81"/>
      <x:c r="Z140" s="81"/>
    </x:row>
    <x:row r="141">
      <x:c r="A141" s="81"/>
      <x:c r="B141" s="81"/>
      <x:c r="C141" s="81"/>
      <x:c r="D141" s="81"/>
      <x:c r="E141" s="81"/>
      <x:c r="F141" s="81"/>
      <x:c r="G141" s="81"/>
      <x:c r="H141" s="81"/>
      <x:c r="I141" s="81"/>
      <x:c r="J141" s="81"/>
      <x:c r="K141" s="81"/>
      <x:c r="L141" s="81"/>
      <x:c r="M141" s="81"/>
      <x:c r="N141" s="81"/>
      <x:c r="O141" s="81"/>
      <x:c r="P141" s="81"/>
      <x:c r="Q141" s="81"/>
      <x:c r="R141" s="81"/>
      <x:c r="S141" s="81"/>
      <x:c r="T141" s="81"/>
      <x:c r="U141" s="81"/>
      <x:c r="V141" s="81"/>
      <x:c r="W141" s="81"/>
      <x:c r="X141" s="81"/>
      <x:c r="Y141" s="81"/>
      <x:c r="Z141" s="81"/>
    </x:row>
    <x:row r="142">
      <x:c r="A142" s="81"/>
      <x:c r="B142" s="81"/>
      <x:c r="C142" s="81"/>
      <x:c r="D142" s="81"/>
      <x:c r="E142" s="81"/>
      <x:c r="F142" s="81"/>
      <x:c r="G142" s="81"/>
      <x:c r="H142" s="81"/>
      <x:c r="I142" s="81"/>
      <x:c r="J142" s="81"/>
      <x:c r="K142" s="81"/>
      <x:c r="L142" s="81"/>
      <x:c r="M142" s="81"/>
      <x:c r="N142" s="81"/>
      <x:c r="O142" s="81"/>
      <x:c r="P142" s="81"/>
      <x:c r="Q142" s="81"/>
      <x:c r="R142" s="81"/>
      <x:c r="S142" s="81"/>
      <x:c r="T142" s="81"/>
      <x:c r="U142" s="81"/>
      <x:c r="V142" s="81"/>
      <x:c r="W142" s="81"/>
      <x:c r="X142" s="81"/>
      <x:c r="Y142" s="81"/>
      <x:c r="Z142" s="81"/>
    </x:row>
    <x:row r="143">
      <x:c r="A143" s="81"/>
      <x:c r="B143" s="81"/>
      <x:c r="C143" s="81"/>
      <x:c r="D143" s="81"/>
      <x:c r="E143" s="81"/>
      <x:c r="F143" s="81"/>
      <x:c r="G143" s="81"/>
      <x:c r="H143" s="81"/>
      <x:c r="I143" s="81"/>
      <x:c r="J143" s="81"/>
      <x:c r="K143" s="81"/>
      <x:c r="L143" s="81"/>
      <x:c r="M143" s="81"/>
      <x:c r="N143" s="81"/>
      <x:c r="O143" s="81"/>
      <x:c r="P143" s="81"/>
      <x:c r="Q143" s="81"/>
      <x:c r="R143" s="81"/>
      <x:c r="S143" s="81"/>
      <x:c r="T143" s="81"/>
      <x:c r="U143" s="81"/>
      <x:c r="V143" s="81"/>
      <x:c r="W143" s="81"/>
      <x:c r="X143" s="81"/>
      <x:c r="Y143" s="81"/>
      <x:c r="Z143" s="81"/>
    </x:row>
    <x:row r="144">
      <x:c r="A144" s="81"/>
      <x:c r="B144" s="81"/>
      <x:c r="C144" s="81"/>
      <x:c r="D144" s="81"/>
      <x:c r="E144" s="81"/>
      <x:c r="F144" s="81"/>
      <x:c r="G144" s="81"/>
      <x:c r="H144" s="81"/>
      <x:c r="I144" s="81"/>
      <x:c r="J144" s="81"/>
      <x:c r="K144" s="81"/>
      <x:c r="L144" s="81"/>
      <x:c r="M144" s="81"/>
      <x:c r="N144" s="81"/>
      <x:c r="O144" s="81"/>
      <x:c r="P144" s="81"/>
      <x:c r="Q144" s="81"/>
      <x:c r="R144" s="81"/>
      <x:c r="S144" s="81"/>
      <x:c r="T144" s="81"/>
      <x:c r="U144" s="81"/>
      <x:c r="V144" s="81"/>
      <x:c r="W144" s="81"/>
      <x:c r="X144" s="81"/>
      <x:c r="Y144" s="81"/>
      <x:c r="Z144" s="81"/>
    </x:row>
    <x:row r="145">
      <x:c r="A145" s="81"/>
      <x:c r="B145" s="81"/>
      <x:c r="C145" s="81"/>
      <x:c r="D145" s="81"/>
      <x:c r="E145" s="81"/>
      <x:c r="F145" s="81"/>
      <x:c r="G145" s="81"/>
      <x:c r="H145" s="81"/>
      <x:c r="I145" s="81"/>
      <x:c r="J145" s="81"/>
      <x:c r="K145" s="81"/>
      <x:c r="L145" s="81"/>
      <x:c r="M145" s="81"/>
      <x:c r="N145" s="81"/>
      <x:c r="O145" s="81"/>
      <x:c r="P145" s="81"/>
      <x:c r="Q145" s="81"/>
      <x:c r="R145" s="81"/>
      <x:c r="S145" s="81"/>
      <x:c r="T145" s="81"/>
      <x:c r="U145" s="81"/>
      <x:c r="V145" s="81"/>
      <x:c r="W145" s="81"/>
      <x:c r="X145" s="81"/>
      <x:c r="Y145" s="81"/>
      <x:c r="Z145" s="81"/>
    </x:row>
    <x:row r="146">
      <x:c r="A146" s="81"/>
      <x:c r="B146" s="81"/>
      <x:c r="C146" s="81"/>
      <x:c r="D146" s="81"/>
      <x:c r="E146" s="81"/>
      <x:c r="F146" s="81"/>
      <x:c r="G146" s="81"/>
      <x:c r="H146" s="81"/>
      <x:c r="I146" s="81"/>
      <x:c r="J146" s="81"/>
      <x:c r="K146" s="81"/>
      <x:c r="L146" s="81"/>
      <x:c r="M146" s="81"/>
      <x:c r="N146" s="81"/>
      <x:c r="O146" s="81"/>
      <x:c r="P146" s="81"/>
      <x:c r="Q146" s="81"/>
      <x:c r="R146" s="81"/>
      <x:c r="S146" s="81"/>
      <x:c r="T146" s="81"/>
      <x:c r="U146" s="81"/>
      <x:c r="V146" s="81"/>
      <x:c r="W146" s="81"/>
      <x:c r="X146" s="81"/>
      <x:c r="Y146" s="81"/>
      <x:c r="Z146" s="81"/>
    </x:row>
    <x:row r="147">
      <x:c r="A147" s="81"/>
      <x:c r="B147" s="81"/>
      <x:c r="C147" s="81"/>
      <x:c r="D147" s="81"/>
      <x:c r="E147" s="81"/>
      <x:c r="F147" s="81"/>
      <x:c r="G147" s="81"/>
      <x:c r="H147" s="81"/>
      <x:c r="I147" s="81"/>
      <x:c r="J147" s="81"/>
      <x:c r="K147" s="81"/>
      <x:c r="L147" s="81"/>
      <x:c r="M147" s="81"/>
      <x:c r="N147" s="81"/>
      <x:c r="O147" s="81"/>
      <x:c r="P147" s="81"/>
      <x:c r="Q147" s="81"/>
      <x:c r="R147" s="81"/>
      <x:c r="S147" s="81"/>
      <x:c r="T147" s="81"/>
      <x:c r="U147" s="81"/>
      <x:c r="V147" s="81"/>
      <x:c r="W147" s="81"/>
      <x:c r="X147" s="81"/>
      <x:c r="Y147" s="81"/>
      <x:c r="Z147" s="81"/>
    </x:row>
    <x:row r="148">
      <x:c r="A148" s="81"/>
      <x:c r="B148" s="81"/>
      <x:c r="C148" s="81"/>
      <x:c r="D148" s="81"/>
      <x:c r="E148" s="81"/>
      <x:c r="F148" s="81"/>
      <x:c r="G148" s="81"/>
      <x:c r="H148" s="81"/>
      <x:c r="I148" s="81"/>
      <x:c r="J148" s="81"/>
      <x:c r="K148" s="81"/>
      <x:c r="L148" s="81"/>
      <x:c r="M148" s="81"/>
      <x:c r="N148" s="81"/>
      <x:c r="O148" s="81"/>
      <x:c r="P148" s="81"/>
      <x:c r="Q148" s="81"/>
      <x:c r="R148" s="81"/>
      <x:c r="S148" s="81"/>
      <x:c r="T148" s="81"/>
      <x:c r="U148" s="81"/>
      <x:c r="V148" s="81"/>
      <x:c r="W148" s="81"/>
      <x:c r="X148" s="81"/>
      <x:c r="Y148" s="81"/>
      <x:c r="Z148" s="81"/>
    </x:row>
    <x:row r="149">
      <x:c r="A149" s="81"/>
      <x:c r="B149" s="81"/>
      <x:c r="C149" s="81"/>
      <x:c r="D149" s="81"/>
      <x:c r="E149" s="81"/>
      <x:c r="F149" s="81"/>
      <x:c r="G149" s="81"/>
      <x:c r="H149" s="81"/>
      <x:c r="I149" s="81"/>
      <x:c r="J149" s="81"/>
      <x:c r="K149" s="81"/>
      <x:c r="L149" s="81"/>
      <x:c r="M149" s="81"/>
      <x:c r="N149" s="81"/>
      <x:c r="O149" s="81"/>
      <x:c r="P149" s="81"/>
      <x:c r="Q149" s="81"/>
      <x:c r="R149" s="81"/>
      <x:c r="S149" s="81"/>
      <x:c r="T149" s="81"/>
      <x:c r="U149" s="81"/>
      <x:c r="V149" s="81"/>
      <x:c r="W149" s="81"/>
      <x:c r="X149" s="81"/>
      <x:c r="Y149" s="81"/>
      <x:c r="Z149" s="81"/>
    </x:row>
    <x:row r="150">
      <x:c r="A150" s="81"/>
      <x:c r="B150" s="81"/>
      <x:c r="C150" s="81"/>
      <x:c r="D150" s="81"/>
      <x:c r="E150" s="81"/>
      <x:c r="F150" s="81"/>
      <x:c r="G150" s="81"/>
      <x:c r="H150" s="81"/>
      <x:c r="I150" s="81"/>
      <x:c r="J150" s="81"/>
      <x:c r="K150" s="81"/>
      <x:c r="L150" s="81"/>
      <x:c r="M150" s="81"/>
      <x:c r="N150" s="81"/>
      <x:c r="O150" s="81"/>
      <x:c r="P150" s="81"/>
      <x:c r="Q150" s="81"/>
      <x:c r="R150" s="81"/>
      <x:c r="S150" s="81"/>
      <x:c r="T150" s="81"/>
      <x:c r="U150" s="81"/>
      <x:c r="V150" s="81"/>
      <x:c r="W150" s="81"/>
      <x:c r="X150" s="81"/>
      <x:c r="Y150" s="81"/>
      <x:c r="Z150" s="81"/>
    </x:row>
    <x:row r="151">
      <x:c r="A151" s="81"/>
      <x:c r="B151" s="81"/>
      <x:c r="C151" s="81"/>
      <x:c r="D151" s="81"/>
      <x:c r="E151" s="81"/>
      <x:c r="F151" s="81"/>
      <x:c r="G151" s="81"/>
      <x:c r="H151" s="81"/>
      <x:c r="I151" s="81"/>
      <x:c r="J151" s="81"/>
      <x:c r="K151" s="81"/>
      <x:c r="L151" s="81"/>
      <x:c r="M151" s="81"/>
      <x:c r="N151" s="81"/>
      <x:c r="O151" s="81"/>
      <x:c r="P151" s="81"/>
      <x:c r="Q151" s="81"/>
      <x:c r="R151" s="81"/>
      <x:c r="S151" s="81"/>
      <x:c r="T151" s="81"/>
      <x:c r="U151" s="81"/>
      <x:c r="V151" s="81"/>
      <x:c r="W151" s="81"/>
      <x:c r="X151" s="81"/>
      <x:c r="Y151" s="81"/>
      <x:c r="Z151" s="81"/>
    </x:row>
    <x:row r="152">
      <x:c r="A152" s="81"/>
      <x:c r="B152" s="81"/>
      <x:c r="C152" s="81"/>
      <x:c r="D152" s="81"/>
      <x:c r="E152" s="81"/>
      <x:c r="F152" s="81"/>
      <x:c r="G152" s="81"/>
      <x:c r="H152" s="81"/>
      <x:c r="I152" s="81"/>
      <x:c r="J152" s="81"/>
      <x:c r="K152" s="81"/>
      <x:c r="L152" s="81"/>
      <x:c r="M152" s="81"/>
      <x:c r="N152" s="81"/>
      <x:c r="O152" s="81"/>
      <x:c r="P152" s="81"/>
      <x:c r="Q152" s="81"/>
      <x:c r="R152" s="81"/>
      <x:c r="S152" s="81"/>
      <x:c r="T152" s="81"/>
      <x:c r="U152" s="81"/>
      <x:c r="V152" s="81"/>
      <x:c r="W152" s="81"/>
      <x:c r="X152" s="81"/>
      <x:c r="Y152" s="81"/>
      <x:c r="Z152" s="81"/>
    </x:row>
    <x:row r="153">
      <x:c r="A153" s="81"/>
      <x:c r="B153" s="81"/>
      <x:c r="C153" s="81"/>
      <x:c r="D153" s="81"/>
      <x:c r="E153" s="81"/>
      <x:c r="F153" s="81"/>
      <x:c r="G153" s="81"/>
      <x:c r="H153" s="81"/>
      <x:c r="I153" s="81"/>
      <x:c r="J153" s="81"/>
      <x:c r="K153" s="81"/>
      <x:c r="L153" s="81"/>
      <x:c r="M153" s="81"/>
      <x:c r="N153" s="81"/>
      <x:c r="O153" s="81"/>
      <x:c r="P153" s="81"/>
      <x:c r="Q153" s="81"/>
      <x:c r="R153" s="81"/>
      <x:c r="S153" s="81"/>
      <x:c r="T153" s="81"/>
      <x:c r="U153" s="81"/>
      <x:c r="V153" s="81"/>
      <x:c r="W153" s="81"/>
      <x:c r="X153" s="81"/>
      <x:c r="Y153" s="81"/>
      <x:c r="Z153" s="81"/>
    </x:row>
    <x:row r="154">
      <x:c r="A154" s="81"/>
      <x:c r="B154" s="81"/>
      <x:c r="C154" s="81"/>
      <x:c r="D154" s="81"/>
      <x:c r="E154" s="81"/>
      <x:c r="F154" s="81"/>
      <x:c r="G154" s="81"/>
      <x:c r="H154" s="81"/>
      <x:c r="I154" s="81"/>
      <x:c r="J154" s="81"/>
      <x:c r="K154" s="81"/>
      <x:c r="L154" s="81"/>
      <x:c r="M154" s="81"/>
      <x:c r="N154" s="81"/>
      <x:c r="O154" s="81"/>
      <x:c r="P154" s="81"/>
      <x:c r="Q154" s="81"/>
      <x:c r="R154" s="81"/>
      <x:c r="S154" s="81"/>
      <x:c r="T154" s="81"/>
      <x:c r="U154" s="81"/>
      <x:c r="V154" s="81"/>
      <x:c r="W154" s="81"/>
      <x:c r="X154" s="81"/>
      <x:c r="Y154" s="81"/>
      <x:c r="Z154" s="81"/>
    </x:row>
    <x:row r="155">
      <x:c r="A155" s="81"/>
      <x:c r="B155" s="81"/>
      <x:c r="C155" s="81"/>
      <x:c r="D155" s="81"/>
      <x:c r="E155" s="81"/>
      <x:c r="F155" s="81"/>
      <x:c r="G155" s="81"/>
      <x:c r="H155" s="81"/>
      <x:c r="I155" s="81"/>
      <x:c r="J155" s="81"/>
      <x:c r="K155" s="81"/>
      <x:c r="L155" s="81"/>
      <x:c r="M155" s="81"/>
      <x:c r="N155" s="81"/>
      <x:c r="O155" s="81"/>
      <x:c r="P155" s="81"/>
      <x:c r="Q155" s="81"/>
      <x:c r="R155" s="81"/>
      <x:c r="S155" s="81"/>
      <x:c r="T155" s="81"/>
      <x:c r="U155" s="81"/>
      <x:c r="V155" s="81"/>
      <x:c r="W155" s="81"/>
      <x:c r="X155" s="81"/>
      <x:c r="Y155" s="81"/>
      <x:c r="Z155" s="81"/>
    </x:row>
    <x:row r="156">
      <x:c r="A156" s="81"/>
      <x:c r="B156" s="81"/>
      <x:c r="C156" s="81"/>
      <x:c r="D156" s="81"/>
      <x:c r="E156" s="81"/>
      <x:c r="F156" s="81"/>
      <x:c r="G156" s="81"/>
      <x:c r="H156" s="81"/>
      <x:c r="I156" s="81"/>
      <x:c r="J156" s="81"/>
      <x:c r="K156" s="81"/>
      <x:c r="L156" s="81"/>
      <x:c r="M156" s="81"/>
      <x:c r="N156" s="81"/>
      <x:c r="O156" s="81"/>
      <x:c r="P156" s="81"/>
      <x:c r="Q156" s="81"/>
      <x:c r="R156" s="81"/>
      <x:c r="S156" s="81"/>
      <x:c r="T156" s="81"/>
      <x:c r="U156" s="81"/>
      <x:c r="V156" s="81"/>
      <x:c r="W156" s="81"/>
      <x:c r="X156" s="81"/>
      <x:c r="Y156" s="81"/>
      <x:c r="Z156" s="81"/>
    </x:row>
    <x:row r="157">
      <x:c r="A157" s="81"/>
      <x:c r="B157" s="81"/>
      <x:c r="C157" s="81"/>
      <x:c r="D157" s="81"/>
      <x:c r="E157" s="81"/>
      <x:c r="F157" s="81"/>
      <x:c r="G157" s="81"/>
      <x:c r="H157" s="81"/>
      <x:c r="I157" s="81"/>
      <x:c r="J157" s="81"/>
      <x:c r="K157" s="81"/>
      <x:c r="L157" s="81"/>
      <x:c r="M157" s="81"/>
      <x:c r="N157" s="81"/>
      <x:c r="O157" s="81"/>
      <x:c r="P157" s="81"/>
      <x:c r="Q157" s="81"/>
      <x:c r="R157" s="81"/>
      <x:c r="S157" s="81"/>
      <x:c r="T157" s="81"/>
      <x:c r="U157" s="81"/>
      <x:c r="V157" s="81"/>
      <x:c r="W157" s="81"/>
      <x:c r="X157" s="81"/>
      <x:c r="Y157" s="81"/>
      <x:c r="Z157" s="81"/>
    </x:row>
    <x:row r="158">
      <x:c r="A158" s="81"/>
      <x:c r="B158" s="81"/>
      <x:c r="C158" s="81"/>
      <x:c r="D158" s="81"/>
      <x:c r="E158" s="81"/>
      <x:c r="F158" s="81"/>
      <x:c r="G158" s="81"/>
      <x:c r="H158" s="81"/>
      <x:c r="I158" s="81"/>
      <x:c r="J158" s="81"/>
      <x:c r="K158" s="81"/>
      <x:c r="L158" s="81"/>
      <x:c r="M158" s="81"/>
      <x:c r="N158" s="81"/>
      <x:c r="O158" s="81"/>
      <x:c r="P158" s="81"/>
      <x:c r="Q158" s="81"/>
      <x:c r="R158" s="81"/>
      <x:c r="S158" s="81"/>
      <x:c r="T158" s="81"/>
      <x:c r="U158" s="81"/>
      <x:c r="V158" s="81"/>
      <x:c r="W158" s="81"/>
      <x:c r="X158" s="81"/>
      <x:c r="Y158" s="81"/>
      <x:c r="Z158" s="81"/>
    </x:row>
    <x:row r="159">
      <x:c r="A159" s="81"/>
      <x:c r="B159" s="81"/>
      <x:c r="C159" s="81"/>
      <x:c r="D159" s="81"/>
      <x:c r="E159" s="81"/>
      <x:c r="F159" s="81"/>
      <x:c r="G159" s="81"/>
      <x:c r="H159" s="81"/>
      <x:c r="I159" s="81"/>
      <x:c r="J159" s="81"/>
      <x:c r="K159" s="81"/>
      <x:c r="L159" s="81"/>
      <x:c r="M159" s="81"/>
      <x:c r="N159" s="81"/>
      <x:c r="O159" s="81"/>
      <x:c r="P159" s="81"/>
      <x:c r="Q159" s="81"/>
      <x:c r="R159" s="81"/>
      <x:c r="S159" s="81"/>
      <x:c r="T159" s="81"/>
      <x:c r="U159" s="81"/>
      <x:c r="V159" s="81"/>
      <x:c r="W159" s="81"/>
      <x:c r="X159" s="81"/>
      <x:c r="Y159" s="81"/>
      <x:c r="Z159" s="81"/>
    </x:row>
    <x:row r="160">
      <x:c r="A160" s="81"/>
      <x:c r="B160" s="81"/>
      <x:c r="C160" s="81"/>
      <x:c r="D160" s="81"/>
      <x:c r="E160" s="81"/>
      <x:c r="F160" s="81"/>
      <x:c r="G160" s="81"/>
      <x:c r="H160" s="81"/>
      <x:c r="I160" s="81"/>
      <x:c r="J160" s="81"/>
      <x:c r="K160" s="81"/>
      <x:c r="L160" s="81"/>
      <x:c r="M160" s="81"/>
      <x:c r="N160" s="81"/>
      <x:c r="O160" s="81"/>
      <x:c r="P160" s="81"/>
      <x:c r="Q160" s="81"/>
      <x:c r="R160" s="81"/>
      <x:c r="S160" s="81"/>
      <x:c r="T160" s="81"/>
      <x:c r="U160" s="81"/>
      <x:c r="V160" s="81"/>
      <x:c r="W160" s="81"/>
      <x:c r="X160" s="81"/>
      <x:c r="Y160" s="81"/>
      <x:c r="Z160" s="81"/>
    </x:row>
    <x:row r="161">
      <x:c r="A161" s="81"/>
      <x:c r="B161" s="81"/>
      <x:c r="C161" s="81"/>
      <x:c r="D161" s="81"/>
      <x:c r="E161" s="81"/>
      <x:c r="F161" s="81"/>
      <x:c r="G161" s="81"/>
      <x:c r="H161" s="81"/>
      <x:c r="I161" s="81"/>
      <x:c r="J161" s="81"/>
      <x:c r="K161" s="81"/>
      <x:c r="L161" s="81"/>
      <x:c r="M161" s="81"/>
      <x:c r="N161" s="81"/>
      <x:c r="O161" s="81"/>
      <x:c r="P161" s="81"/>
      <x:c r="Q161" s="81"/>
      <x:c r="R161" s="81"/>
      <x:c r="S161" s="81"/>
      <x:c r="T161" s="81"/>
      <x:c r="U161" s="81"/>
      <x:c r="V161" s="81"/>
      <x:c r="W161" s="81"/>
      <x:c r="X161" s="81"/>
      <x:c r="Y161" s="81"/>
      <x:c r="Z161" s="81"/>
    </x:row>
    <x:row r="162">
      <x:c r="A162" s="81"/>
      <x:c r="B162" s="81"/>
      <x:c r="C162" s="81"/>
      <x:c r="D162" s="81"/>
      <x:c r="E162" s="81"/>
      <x:c r="F162" s="81"/>
      <x:c r="G162" s="81"/>
      <x:c r="H162" s="81"/>
      <x:c r="I162" s="81"/>
      <x:c r="J162" s="81"/>
      <x:c r="K162" s="81"/>
      <x:c r="L162" s="81"/>
      <x:c r="M162" s="81"/>
      <x:c r="N162" s="81"/>
      <x:c r="O162" s="81"/>
      <x:c r="P162" s="81"/>
      <x:c r="Q162" s="81"/>
      <x:c r="R162" s="81"/>
      <x:c r="S162" s="81"/>
      <x:c r="T162" s="81"/>
      <x:c r="U162" s="81"/>
      <x:c r="V162" s="81"/>
      <x:c r="W162" s="81"/>
      <x:c r="X162" s="81"/>
      <x:c r="Y162" s="81"/>
      <x:c r="Z162" s="81"/>
    </x:row>
    <x:row r="163">
      <x:c r="A163" s="81"/>
      <x:c r="B163" s="81"/>
      <x:c r="C163" s="81"/>
      <x:c r="D163" s="81"/>
      <x:c r="E163" s="81"/>
      <x:c r="F163" s="81"/>
      <x:c r="G163" s="81"/>
      <x:c r="H163" s="81"/>
      <x:c r="I163" s="81"/>
      <x:c r="J163" s="81"/>
      <x:c r="K163" s="81"/>
      <x:c r="L163" s="81"/>
      <x:c r="M163" s="81"/>
      <x:c r="N163" s="81"/>
      <x:c r="O163" s="81"/>
      <x:c r="P163" s="81"/>
      <x:c r="Q163" s="81"/>
      <x:c r="R163" s="81"/>
      <x:c r="S163" s="81"/>
      <x:c r="T163" s="81"/>
      <x:c r="U163" s="81"/>
      <x:c r="V163" s="81"/>
      <x:c r="W163" s="81"/>
      <x:c r="X163" s="81"/>
      <x:c r="Y163" s="81"/>
      <x:c r="Z163" s="81"/>
    </x:row>
    <x:row r="164">
      <x:c r="A164" s="81"/>
      <x:c r="B164" s="81"/>
      <x:c r="C164" s="81"/>
      <x:c r="D164" s="81"/>
      <x:c r="E164" s="81"/>
      <x:c r="F164" s="81"/>
      <x:c r="G164" s="81"/>
      <x:c r="H164" s="81"/>
      <x:c r="I164" s="81"/>
      <x:c r="J164" s="81"/>
      <x:c r="K164" s="81"/>
      <x:c r="L164" s="81"/>
      <x:c r="M164" s="81"/>
      <x:c r="N164" s="81"/>
      <x:c r="O164" s="81"/>
      <x:c r="P164" s="81"/>
      <x:c r="Q164" s="81"/>
      <x:c r="R164" s="81"/>
      <x:c r="S164" s="81"/>
      <x:c r="T164" s="81"/>
      <x:c r="U164" s="81"/>
      <x:c r="V164" s="81"/>
      <x:c r="W164" s="81"/>
      <x:c r="X164" s="81"/>
      <x:c r="Y164" s="81"/>
      <x:c r="Z164" s="81"/>
    </x:row>
    <x:row r="165">
      <x:c r="A165" s="81"/>
      <x:c r="B165" s="81"/>
      <x:c r="C165" s="81"/>
      <x:c r="D165" s="81"/>
      <x:c r="E165" s="81"/>
      <x:c r="F165" s="81"/>
      <x:c r="G165" s="81"/>
      <x:c r="H165" s="81"/>
      <x:c r="I165" s="81"/>
      <x:c r="J165" s="81"/>
      <x:c r="K165" s="81"/>
      <x:c r="L165" s="81"/>
      <x:c r="M165" s="81"/>
      <x:c r="N165" s="81"/>
      <x:c r="O165" s="81"/>
      <x:c r="P165" s="81"/>
      <x:c r="Q165" s="81"/>
      <x:c r="R165" s="81"/>
      <x:c r="S165" s="81"/>
      <x:c r="T165" s="81"/>
      <x:c r="U165" s="81"/>
      <x:c r="V165" s="81"/>
      <x:c r="W165" s="81"/>
      <x:c r="X165" s="81"/>
      <x:c r="Y165" s="81"/>
      <x:c r="Z165" s="81"/>
    </x:row>
    <x:row r="166">
      <x:c r="A166" s="81"/>
      <x:c r="B166" s="81"/>
      <x:c r="C166" s="81"/>
      <x:c r="D166" s="81"/>
      <x:c r="E166" s="81"/>
      <x:c r="F166" s="81"/>
      <x:c r="G166" s="81"/>
      <x:c r="H166" s="81"/>
      <x:c r="I166" s="81"/>
      <x:c r="J166" s="81"/>
      <x:c r="K166" s="81"/>
      <x:c r="L166" s="81"/>
      <x:c r="M166" s="81"/>
      <x:c r="N166" s="81"/>
      <x:c r="O166" s="81"/>
      <x:c r="P166" s="81"/>
      <x:c r="Q166" s="81"/>
      <x:c r="R166" s="81"/>
      <x:c r="S166" s="81"/>
      <x:c r="T166" s="81"/>
      <x:c r="U166" s="81"/>
      <x:c r="V166" s="81"/>
      <x:c r="W166" s="81"/>
      <x:c r="X166" s="81"/>
      <x:c r="Y166" s="81"/>
      <x:c r="Z166" s="81"/>
    </x:row>
    <x:row r="167">
      <x:c r="A167" s="81"/>
      <x:c r="B167" s="81"/>
      <x:c r="C167" s="81"/>
      <x:c r="D167" s="81"/>
      <x:c r="E167" s="81"/>
      <x:c r="F167" s="81"/>
      <x:c r="G167" s="81"/>
      <x:c r="H167" s="81"/>
      <x:c r="I167" s="81"/>
      <x:c r="J167" s="81"/>
      <x:c r="K167" s="81"/>
      <x:c r="L167" s="81"/>
      <x:c r="M167" s="81"/>
      <x:c r="N167" s="81"/>
      <x:c r="O167" s="81"/>
      <x:c r="P167" s="81"/>
      <x:c r="Q167" s="81"/>
      <x:c r="R167" s="81"/>
      <x:c r="S167" s="81"/>
      <x:c r="T167" s="81"/>
      <x:c r="U167" s="81"/>
      <x:c r="V167" s="81"/>
      <x:c r="W167" s="81"/>
      <x:c r="X167" s="81"/>
      <x:c r="Y167" s="81"/>
      <x:c r="Z167" s="81"/>
    </x:row>
    <x:row r="168">
      <x:c r="A168" s="81"/>
      <x:c r="B168" s="81"/>
      <x:c r="C168" s="81"/>
      <x:c r="D168" s="81"/>
      <x:c r="E168" s="81"/>
      <x:c r="F168" s="81"/>
      <x:c r="G168" s="81"/>
      <x:c r="H168" s="81"/>
      <x:c r="I168" s="81"/>
      <x:c r="J168" s="81"/>
      <x:c r="K168" s="81"/>
      <x:c r="L168" s="81"/>
      <x:c r="M168" s="81"/>
      <x:c r="N168" s="81"/>
      <x:c r="O168" s="81"/>
      <x:c r="P168" s="81"/>
      <x:c r="Q168" s="81"/>
      <x:c r="R168" s="81"/>
      <x:c r="S168" s="81"/>
      <x:c r="T168" s="81"/>
      <x:c r="U168" s="81"/>
      <x:c r="V168" s="81"/>
      <x:c r="W168" s="81"/>
      <x:c r="X168" s="81"/>
      <x:c r="Y168" s="81"/>
      <x:c r="Z168" s="81"/>
    </x:row>
    <x:row r="169">
      <x:c r="A169" s="81"/>
      <x:c r="B169" s="81"/>
      <x:c r="C169" s="81"/>
      <x:c r="D169" s="81"/>
      <x:c r="E169" s="81"/>
      <x:c r="F169" s="81"/>
      <x:c r="G169" s="81"/>
      <x:c r="H169" s="81"/>
      <x:c r="I169" s="81"/>
      <x:c r="J169" s="81"/>
      <x:c r="K169" s="81"/>
      <x:c r="L169" s="81"/>
      <x:c r="M169" s="81"/>
      <x:c r="N169" s="81"/>
      <x:c r="O169" s="81"/>
      <x:c r="P169" s="81"/>
      <x:c r="Q169" s="81"/>
      <x:c r="R169" s="81"/>
      <x:c r="S169" s="81"/>
      <x:c r="T169" s="81"/>
      <x:c r="U169" s="81"/>
      <x:c r="V169" s="81"/>
      <x:c r="W169" s="81"/>
      <x:c r="X169" s="81"/>
      <x:c r="Y169" s="81"/>
      <x:c r="Z169" s="81"/>
    </x:row>
    <x:row r="170">
      <x:c r="A170" s="81"/>
      <x:c r="B170" s="81"/>
      <x:c r="C170" s="81"/>
      <x:c r="D170" s="81"/>
      <x:c r="E170" s="81"/>
      <x:c r="F170" s="81"/>
      <x:c r="G170" s="81"/>
      <x:c r="H170" s="81"/>
      <x:c r="I170" s="81"/>
      <x:c r="J170" s="81"/>
      <x:c r="K170" s="81"/>
      <x:c r="L170" s="81"/>
      <x:c r="M170" s="81"/>
      <x:c r="N170" s="81"/>
      <x:c r="O170" s="81"/>
      <x:c r="P170" s="81"/>
      <x:c r="Q170" s="81"/>
      <x:c r="R170" s="81"/>
      <x:c r="S170" s="81"/>
      <x:c r="T170" s="81"/>
      <x:c r="U170" s="81"/>
      <x:c r="V170" s="81"/>
      <x:c r="W170" s="81"/>
      <x:c r="X170" s="81"/>
      <x:c r="Y170" s="81"/>
      <x:c r="Z170" s="81"/>
    </x:row>
    <x:row r="171">
      <x:c r="A171" s="81"/>
      <x:c r="B171" s="81"/>
      <x:c r="C171" s="81"/>
      <x:c r="D171" s="81"/>
      <x:c r="E171" s="81"/>
      <x:c r="F171" s="81"/>
      <x:c r="G171" s="81"/>
      <x:c r="H171" s="81"/>
      <x:c r="I171" s="81"/>
      <x:c r="J171" s="81"/>
      <x:c r="K171" s="81"/>
      <x:c r="L171" s="81"/>
      <x:c r="M171" s="81"/>
      <x:c r="N171" s="81"/>
      <x:c r="O171" s="81"/>
      <x:c r="P171" s="81"/>
      <x:c r="Q171" s="81"/>
      <x:c r="R171" s="81"/>
      <x:c r="S171" s="81"/>
      <x:c r="T171" s="81"/>
      <x:c r="U171" s="81"/>
      <x:c r="V171" s="81"/>
      <x:c r="W171" s="81"/>
      <x:c r="X171" s="81"/>
      <x:c r="Y171" s="81"/>
      <x:c r="Z171" s="81"/>
    </x:row>
    <x:row r="172">
      <x:c r="A172" s="81"/>
      <x:c r="B172" s="81"/>
      <x:c r="C172" s="81"/>
      <x:c r="D172" s="81"/>
      <x:c r="E172" s="81"/>
      <x:c r="F172" s="81"/>
      <x:c r="G172" s="81"/>
      <x:c r="H172" s="81"/>
      <x:c r="I172" s="81"/>
      <x:c r="J172" s="81"/>
      <x:c r="K172" s="81"/>
      <x:c r="L172" s="81"/>
      <x:c r="M172" s="81"/>
      <x:c r="N172" s="81"/>
      <x:c r="O172" s="81"/>
      <x:c r="P172" s="81"/>
      <x:c r="Q172" s="81"/>
      <x:c r="R172" s="81"/>
      <x:c r="S172" s="81"/>
      <x:c r="T172" s="81"/>
      <x:c r="U172" s="81"/>
      <x:c r="V172" s="81"/>
      <x:c r="W172" s="81"/>
      <x:c r="X172" s="81"/>
      <x:c r="Y172" s="81"/>
      <x:c r="Z172" s="81"/>
    </x:row>
    <x:row r="173">
      <x:c r="A173" s="81"/>
      <x:c r="B173" s="81"/>
      <x:c r="C173" s="81"/>
      <x:c r="D173" s="81"/>
      <x:c r="E173" s="81"/>
      <x:c r="F173" s="81"/>
      <x:c r="G173" s="81"/>
      <x:c r="H173" s="81"/>
      <x:c r="I173" s="81"/>
      <x:c r="J173" s="81"/>
      <x:c r="K173" s="81"/>
      <x:c r="L173" s="81"/>
      <x:c r="M173" s="81"/>
      <x:c r="N173" s="81"/>
      <x:c r="O173" s="81"/>
      <x:c r="P173" s="81"/>
      <x:c r="Q173" s="81"/>
      <x:c r="R173" s="81"/>
      <x:c r="S173" s="81"/>
      <x:c r="T173" s="81"/>
      <x:c r="U173" s="81"/>
      <x:c r="V173" s="81"/>
      <x:c r="W173" s="81"/>
      <x:c r="X173" s="81"/>
      <x:c r="Y173" s="81"/>
      <x:c r="Z173" s="81"/>
    </x:row>
    <x:row r="174">
      <x:c r="A174" s="81"/>
      <x:c r="B174" s="81"/>
      <x:c r="C174" s="81"/>
      <x:c r="D174" s="81"/>
      <x:c r="E174" s="81"/>
      <x:c r="F174" s="81"/>
      <x:c r="G174" s="81"/>
      <x:c r="H174" s="81"/>
      <x:c r="I174" s="81"/>
      <x:c r="J174" s="81"/>
      <x:c r="K174" s="81"/>
      <x:c r="L174" s="81"/>
      <x:c r="M174" s="81"/>
      <x:c r="N174" s="81"/>
      <x:c r="O174" s="81"/>
      <x:c r="P174" s="81"/>
      <x:c r="Q174" s="81"/>
      <x:c r="R174" s="81"/>
      <x:c r="S174" s="81"/>
      <x:c r="T174" s="81"/>
      <x:c r="U174" s="81"/>
      <x:c r="V174" s="81"/>
      <x:c r="W174" s="81"/>
      <x:c r="X174" s="81"/>
      <x:c r="Y174" s="81"/>
      <x:c r="Z174" s="81"/>
    </x:row>
    <x:row r="175">
      <x:c r="A175" s="81"/>
      <x:c r="B175" s="81"/>
      <x:c r="C175" s="81"/>
      <x:c r="D175" s="81"/>
      <x:c r="E175" s="81"/>
      <x:c r="F175" s="81"/>
      <x:c r="G175" s="81"/>
      <x:c r="H175" s="81"/>
      <x:c r="I175" s="81"/>
      <x:c r="J175" s="81"/>
      <x:c r="K175" s="81"/>
      <x:c r="L175" s="81"/>
      <x:c r="M175" s="81"/>
      <x:c r="N175" s="81"/>
      <x:c r="O175" s="81"/>
      <x:c r="P175" s="81"/>
      <x:c r="Q175" s="81"/>
      <x:c r="R175" s="81"/>
      <x:c r="S175" s="81"/>
      <x:c r="T175" s="81"/>
      <x:c r="U175" s="81"/>
      <x:c r="V175" s="81"/>
      <x:c r="W175" s="81"/>
      <x:c r="X175" s="81"/>
      <x:c r="Y175" s="81"/>
      <x:c r="Z175" s="81"/>
    </x:row>
    <x:row r="176">
      <x:c r="A176" s="81"/>
      <x:c r="B176" s="81"/>
      <x:c r="C176" s="81"/>
      <x:c r="D176" s="81"/>
      <x:c r="E176" s="81"/>
      <x:c r="F176" s="81"/>
      <x:c r="G176" s="81"/>
      <x:c r="H176" s="81"/>
      <x:c r="I176" s="81"/>
      <x:c r="J176" s="81"/>
      <x:c r="K176" s="81"/>
      <x:c r="L176" s="81"/>
      <x:c r="M176" s="81"/>
      <x:c r="N176" s="81"/>
      <x:c r="O176" s="81"/>
      <x:c r="P176" s="81"/>
      <x:c r="Q176" s="81"/>
      <x:c r="R176" s="81"/>
      <x:c r="S176" s="81"/>
      <x:c r="T176" s="81"/>
      <x:c r="U176" s="81"/>
      <x:c r="V176" s="81"/>
      <x:c r="W176" s="81"/>
      <x:c r="X176" s="81"/>
      <x:c r="Y176" s="81"/>
      <x:c r="Z176" s="81"/>
    </x:row>
    <x:row r="177">
      <x:c r="A177" s="81"/>
      <x:c r="B177" s="81"/>
      <x:c r="C177" s="81"/>
      <x:c r="D177" s="81"/>
      <x:c r="E177" s="81"/>
      <x:c r="F177" s="81"/>
      <x:c r="G177" s="81"/>
      <x:c r="H177" s="81"/>
      <x:c r="I177" s="81"/>
      <x:c r="J177" s="81"/>
      <x:c r="K177" s="81"/>
      <x:c r="L177" s="81"/>
      <x:c r="M177" s="81"/>
      <x:c r="N177" s="81"/>
      <x:c r="O177" s="81"/>
      <x:c r="P177" s="81"/>
      <x:c r="Q177" s="81"/>
      <x:c r="R177" s="81"/>
      <x:c r="S177" s="81"/>
      <x:c r="T177" s="81"/>
      <x:c r="U177" s="81"/>
      <x:c r="V177" s="81"/>
      <x:c r="W177" s="81"/>
      <x:c r="X177" s="81"/>
      <x:c r="Y177" s="81"/>
      <x:c r="Z177" s="81"/>
    </x:row>
    <x:row r="178">
      <x:c r="A178" s="81"/>
      <x:c r="B178" s="81"/>
      <x:c r="C178" s="81"/>
      <x:c r="D178" s="81"/>
      <x:c r="E178" s="81"/>
      <x:c r="F178" s="81"/>
      <x:c r="G178" s="81"/>
      <x:c r="H178" s="81"/>
      <x:c r="I178" s="81"/>
      <x:c r="J178" s="81"/>
      <x:c r="K178" s="81"/>
      <x:c r="L178" s="81"/>
      <x:c r="M178" s="81"/>
      <x:c r="N178" s="81"/>
      <x:c r="O178" s="81"/>
      <x:c r="P178" s="81"/>
      <x:c r="Q178" s="81"/>
      <x:c r="R178" s="81"/>
      <x:c r="S178" s="81"/>
      <x:c r="T178" s="81"/>
      <x:c r="U178" s="81"/>
      <x:c r="V178" s="81"/>
      <x:c r="W178" s="81"/>
      <x:c r="X178" s="81"/>
      <x:c r="Y178" s="81"/>
      <x:c r="Z178" s="81"/>
    </x:row>
    <x:row r="179">
      <x:c r="A179" s="81"/>
      <x:c r="B179" s="81"/>
      <x:c r="C179" s="81"/>
      <x:c r="D179" s="81"/>
      <x:c r="E179" s="81"/>
      <x:c r="F179" s="81"/>
      <x:c r="G179" s="81"/>
      <x:c r="H179" s="81"/>
      <x:c r="I179" s="81"/>
      <x:c r="J179" s="81"/>
      <x:c r="K179" s="81"/>
      <x:c r="L179" s="81"/>
      <x:c r="M179" s="81"/>
      <x:c r="N179" s="81"/>
      <x:c r="O179" s="81"/>
      <x:c r="P179" s="81"/>
      <x:c r="Q179" s="81"/>
      <x:c r="R179" s="81"/>
      <x:c r="S179" s="81"/>
      <x:c r="T179" s="81"/>
      <x:c r="U179" s="81"/>
      <x:c r="V179" s="81"/>
      <x:c r="W179" s="81"/>
      <x:c r="X179" s="81"/>
      <x:c r="Y179" s="81"/>
      <x:c r="Z179" s="81"/>
    </x:row>
    <x:row r="180">
      <x:c r="A180" s="81"/>
      <x:c r="B180" s="81"/>
      <x:c r="C180" s="81"/>
      <x:c r="D180" s="81"/>
      <x:c r="E180" s="81"/>
      <x:c r="F180" s="81"/>
      <x:c r="G180" s="81"/>
      <x:c r="H180" s="81"/>
      <x:c r="I180" s="81"/>
      <x:c r="J180" s="81"/>
      <x:c r="K180" s="81"/>
      <x:c r="L180" s="81"/>
      <x:c r="M180" s="81"/>
      <x:c r="N180" s="81"/>
      <x:c r="O180" s="81"/>
      <x:c r="P180" s="81"/>
      <x:c r="Q180" s="81"/>
      <x:c r="R180" s="81"/>
      <x:c r="S180" s="81"/>
      <x:c r="T180" s="81"/>
      <x:c r="U180" s="81"/>
      <x:c r="V180" s="81"/>
      <x:c r="W180" s="81"/>
      <x:c r="X180" s="81"/>
      <x:c r="Y180" s="81"/>
      <x:c r="Z180" s="81"/>
    </x:row>
    <x:row r="181">
      <x:c r="A181" s="81"/>
      <x:c r="B181" s="81"/>
      <x:c r="C181" s="81"/>
      <x:c r="D181" s="81"/>
      <x:c r="E181" s="81"/>
      <x:c r="F181" s="81"/>
      <x:c r="G181" s="81"/>
      <x:c r="H181" s="81"/>
      <x:c r="I181" s="81"/>
      <x:c r="J181" s="81"/>
      <x:c r="K181" s="81"/>
      <x:c r="L181" s="81"/>
      <x:c r="M181" s="81"/>
      <x:c r="N181" s="81"/>
      <x:c r="O181" s="81"/>
      <x:c r="P181" s="81"/>
      <x:c r="Q181" s="81"/>
      <x:c r="R181" s="81"/>
      <x:c r="S181" s="81"/>
      <x:c r="T181" s="81"/>
      <x:c r="U181" s="81"/>
      <x:c r="V181" s="81"/>
      <x:c r="W181" s="81"/>
      <x:c r="X181" s="81"/>
      <x:c r="Y181" s="81"/>
      <x:c r="Z181" s="81"/>
    </x:row>
    <x:row r="182">
      <x:c r="A182" s="81"/>
      <x:c r="B182" s="81"/>
      <x:c r="C182" s="81"/>
      <x:c r="D182" s="81"/>
      <x:c r="E182" s="81"/>
      <x:c r="F182" s="81"/>
      <x:c r="G182" s="81"/>
      <x:c r="H182" s="81"/>
      <x:c r="I182" s="81"/>
      <x:c r="J182" s="81"/>
      <x:c r="K182" s="81"/>
      <x:c r="L182" s="81"/>
      <x:c r="M182" s="81"/>
      <x:c r="N182" s="81"/>
      <x:c r="O182" s="81"/>
      <x:c r="P182" s="81"/>
      <x:c r="Q182" s="81"/>
      <x:c r="R182" s="81"/>
      <x:c r="S182" s="81"/>
      <x:c r="T182" s="81"/>
      <x:c r="U182" s="81"/>
      <x:c r="V182" s="81"/>
      <x:c r="W182" s="81"/>
      <x:c r="X182" s="81"/>
      <x:c r="Y182" s="81"/>
      <x:c r="Z182" s="81"/>
    </x:row>
    <x:row r="183">
      <x:c r="A183" s="81"/>
      <x:c r="B183" s="81"/>
      <x:c r="C183" s="81"/>
      <x:c r="D183" s="81"/>
      <x:c r="E183" s="81"/>
      <x:c r="F183" s="81"/>
      <x:c r="G183" s="81"/>
      <x:c r="H183" s="81"/>
      <x:c r="I183" s="81"/>
      <x:c r="J183" s="81"/>
      <x:c r="K183" s="81"/>
      <x:c r="L183" s="81"/>
      <x:c r="M183" s="81"/>
      <x:c r="N183" s="81"/>
      <x:c r="O183" s="81"/>
      <x:c r="P183" s="81"/>
      <x:c r="Q183" s="81"/>
      <x:c r="R183" s="81"/>
      <x:c r="S183" s="81"/>
      <x:c r="T183" s="81"/>
      <x:c r="U183" s="81"/>
      <x:c r="V183" s="81"/>
      <x:c r="W183" s="81"/>
      <x:c r="X183" s="81"/>
      <x:c r="Y183" s="81"/>
      <x:c r="Z183" s="81"/>
    </x:row>
    <x:row r="184">
      <x:c r="A184" s="81"/>
      <x:c r="B184" s="81"/>
      <x:c r="C184" s="81"/>
      <x:c r="D184" s="81"/>
      <x:c r="E184" s="81"/>
      <x:c r="F184" s="81"/>
      <x:c r="G184" s="81"/>
      <x:c r="H184" s="81"/>
      <x:c r="I184" s="81"/>
      <x:c r="J184" s="81"/>
      <x:c r="K184" s="81"/>
      <x:c r="L184" s="81"/>
      <x:c r="M184" s="81"/>
      <x:c r="N184" s="81"/>
      <x:c r="O184" s="81"/>
      <x:c r="P184" s="81"/>
      <x:c r="Q184" s="81"/>
      <x:c r="R184" s="81"/>
      <x:c r="S184" s="81"/>
      <x:c r="T184" s="81"/>
      <x:c r="U184" s="81"/>
      <x:c r="V184" s="81"/>
      <x:c r="W184" s="81"/>
      <x:c r="X184" s="81"/>
      <x:c r="Y184" s="81"/>
      <x:c r="Z184" s="81"/>
    </x:row>
    <x:row r="185">
      <x:c r="A185" s="81"/>
      <x:c r="B185" s="81"/>
      <x:c r="C185" s="81"/>
      <x:c r="D185" s="81"/>
      <x:c r="E185" s="81"/>
      <x:c r="F185" s="81"/>
      <x:c r="G185" s="81"/>
      <x:c r="H185" s="81"/>
      <x:c r="I185" s="81"/>
      <x:c r="J185" s="81"/>
      <x:c r="K185" s="81"/>
      <x:c r="L185" s="81"/>
      <x:c r="M185" s="81"/>
      <x:c r="N185" s="81"/>
      <x:c r="O185" s="81"/>
      <x:c r="P185" s="81"/>
      <x:c r="Q185" s="81"/>
      <x:c r="R185" s="81"/>
      <x:c r="S185" s="81"/>
      <x:c r="T185" s="81"/>
      <x:c r="U185" s="81"/>
      <x:c r="V185" s="81"/>
      <x:c r="W185" s="81"/>
      <x:c r="X185" s="81"/>
      <x:c r="Y185" s="81"/>
      <x:c r="Z185" s="81"/>
    </x:row>
    <x:row r="186">
      <x:c r="A186" s="81"/>
      <x:c r="B186" s="81"/>
      <x:c r="C186" s="81"/>
      <x:c r="D186" s="81"/>
      <x:c r="E186" s="81"/>
      <x:c r="F186" s="81"/>
      <x:c r="G186" s="81"/>
      <x:c r="H186" s="81"/>
      <x:c r="I186" s="81"/>
      <x:c r="J186" s="81"/>
      <x:c r="K186" s="81"/>
      <x:c r="L186" s="81"/>
      <x:c r="M186" s="81"/>
      <x:c r="N186" s="81"/>
      <x:c r="O186" s="81"/>
      <x:c r="P186" s="81"/>
      <x:c r="Q186" s="81"/>
      <x:c r="R186" s="81"/>
      <x:c r="S186" s="81"/>
      <x:c r="T186" s="81"/>
      <x:c r="U186" s="81"/>
      <x:c r="V186" s="81"/>
      <x:c r="W186" s="81"/>
      <x:c r="X186" s="81"/>
      <x:c r="Y186" s="81"/>
      <x:c r="Z186" s="81"/>
    </x:row>
    <x:row r="187">
      <x:c r="A187" s="81"/>
      <x:c r="B187" s="81"/>
      <x:c r="C187" s="81"/>
      <x:c r="D187" s="81"/>
      <x:c r="E187" s="81"/>
      <x:c r="F187" s="81"/>
      <x:c r="G187" s="81"/>
      <x:c r="H187" s="81"/>
      <x:c r="I187" s="81"/>
      <x:c r="J187" s="81"/>
      <x:c r="K187" s="81"/>
      <x:c r="L187" s="81"/>
      <x:c r="M187" s="81"/>
      <x:c r="N187" s="81"/>
      <x:c r="O187" s="81"/>
      <x:c r="P187" s="81"/>
      <x:c r="Q187" s="81"/>
      <x:c r="R187" s="81"/>
      <x:c r="S187" s="81"/>
      <x:c r="T187" s="81"/>
      <x:c r="U187" s="81"/>
      <x:c r="V187" s="81"/>
      <x:c r="W187" s="81"/>
      <x:c r="X187" s="81"/>
      <x:c r="Y187" s="81"/>
      <x:c r="Z187" s="81"/>
    </x:row>
    <x:row r="188">
      <x:c r="A188" s="81"/>
      <x:c r="B188" s="81"/>
      <x:c r="C188" s="81"/>
      <x:c r="D188" s="81"/>
      <x:c r="E188" s="81"/>
      <x:c r="F188" s="81"/>
      <x:c r="G188" s="81"/>
      <x:c r="H188" s="81"/>
      <x:c r="I188" s="81"/>
      <x:c r="J188" s="81"/>
      <x:c r="K188" s="81"/>
      <x:c r="L188" s="81"/>
      <x:c r="M188" s="81"/>
      <x:c r="N188" s="81"/>
      <x:c r="O188" s="81"/>
      <x:c r="P188" s="81"/>
      <x:c r="Q188" s="81"/>
      <x:c r="R188" s="81"/>
      <x:c r="S188" s="81"/>
      <x:c r="T188" s="81"/>
      <x:c r="U188" s="81"/>
      <x:c r="V188" s="81"/>
      <x:c r="W188" s="81"/>
      <x:c r="X188" s="81"/>
      <x:c r="Y188" s="81"/>
      <x:c r="Z188" s="81"/>
    </x:row>
    <x:row r="189">
      <x:c r="A189" s="81"/>
      <x:c r="B189" s="81"/>
      <x:c r="C189" s="81"/>
      <x:c r="D189" s="81"/>
      <x:c r="E189" s="81"/>
      <x:c r="F189" s="81"/>
      <x:c r="G189" s="81"/>
      <x:c r="H189" s="81"/>
      <x:c r="I189" s="81"/>
      <x:c r="J189" s="81"/>
      <x:c r="K189" s="81"/>
      <x:c r="L189" s="81"/>
      <x:c r="M189" s="81"/>
      <x:c r="N189" s="81"/>
      <x:c r="O189" s="81"/>
      <x:c r="P189" s="81"/>
      <x:c r="Q189" s="81"/>
      <x:c r="R189" s="81"/>
      <x:c r="S189" s="81"/>
      <x:c r="T189" s="81"/>
      <x:c r="U189" s="81"/>
      <x:c r="V189" s="81"/>
      <x:c r="W189" s="81"/>
      <x:c r="X189" s="81"/>
      <x:c r="Y189" s="81"/>
      <x:c r="Z189" s="81"/>
    </x:row>
    <x:row r="190">
      <x:c r="A190" s="81"/>
      <x:c r="B190" s="81"/>
      <x:c r="C190" s="81"/>
      <x:c r="D190" s="81"/>
      <x:c r="E190" s="81"/>
      <x:c r="F190" s="81"/>
      <x:c r="G190" s="81"/>
      <x:c r="H190" s="81"/>
      <x:c r="I190" s="81"/>
      <x:c r="J190" s="81"/>
      <x:c r="K190" s="81"/>
      <x:c r="L190" s="81"/>
      <x:c r="M190" s="81"/>
      <x:c r="N190" s="81"/>
      <x:c r="O190" s="81"/>
      <x:c r="P190" s="81"/>
      <x:c r="Q190" s="81"/>
      <x:c r="R190" s="81"/>
      <x:c r="S190" s="81"/>
      <x:c r="T190" s="81"/>
      <x:c r="U190" s="81"/>
      <x:c r="V190" s="81"/>
      <x:c r="W190" s="81"/>
      <x:c r="X190" s="81"/>
      <x:c r="Y190" s="81"/>
      <x:c r="Z190" s="81"/>
    </x:row>
    <x:row r="191">
      <x:c r="A191" s="81"/>
      <x:c r="B191" s="81"/>
      <x:c r="C191" s="81"/>
      <x:c r="D191" s="81"/>
      <x:c r="E191" s="81"/>
      <x:c r="F191" s="81"/>
      <x:c r="G191" s="81"/>
      <x:c r="H191" s="81"/>
      <x:c r="I191" s="81"/>
      <x:c r="J191" s="81"/>
      <x:c r="K191" s="81"/>
      <x:c r="L191" s="81"/>
      <x:c r="M191" s="81"/>
      <x:c r="N191" s="81"/>
      <x:c r="O191" s="81"/>
      <x:c r="P191" s="81"/>
      <x:c r="Q191" s="81"/>
      <x:c r="R191" s="81"/>
      <x:c r="S191" s="81"/>
      <x:c r="T191" s="81"/>
      <x:c r="U191" s="81"/>
      <x:c r="V191" s="81"/>
      <x:c r="W191" s="81"/>
      <x:c r="X191" s="81"/>
      <x:c r="Y191" s="81"/>
      <x:c r="Z191" s="81"/>
    </x:row>
    <x:row r="192">
      <x:c r="A192" s="81"/>
      <x:c r="B192" s="81"/>
      <x:c r="C192" s="81"/>
      <x:c r="D192" s="81"/>
      <x:c r="E192" s="81"/>
      <x:c r="F192" s="81"/>
      <x:c r="G192" s="81"/>
      <x:c r="H192" s="81"/>
      <x:c r="I192" s="81"/>
      <x:c r="J192" s="81"/>
      <x:c r="K192" s="81"/>
      <x:c r="L192" s="81"/>
      <x:c r="M192" s="81"/>
      <x:c r="N192" s="81"/>
      <x:c r="O192" s="81"/>
      <x:c r="P192" s="81"/>
      <x:c r="Q192" s="81"/>
      <x:c r="R192" s="81"/>
      <x:c r="S192" s="81"/>
      <x:c r="T192" s="81"/>
      <x:c r="U192" s="81"/>
      <x:c r="V192" s="81"/>
      <x:c r="W192" s="81"/>
      <x:c r="X192" s="81"/>
      <x:c r="Y192" s="81"/>
      <x:c r="Z192" s="81"/>
    </x:row>
    <x:row r="193">
      <x:c r="A193" s="81"/>
      <x:c r="B193" s="81"/>
      <x:c r="C193" s="81"/>
      <x:c r="D193" s="81"/>
      <x:c r="E193" s="81"/>
      <x:c r="F193" s="81"/>
      <x:c r="G193" s="81"/>
      <x:c r="H193" s="81"/>
      <x:c r="I193" s="81"/>
      <x:c r="J193" s="81"/>
      <x:c r="K193" s="81"/>
      <x:c r="L193" s="81"/>
      <x:c r="M193" s="81"/>
      <x:c r="N193" s="81"/>
      <x:c r="O193" s="81"/>
      <x:c r="P193" s="81"/>
      <x:c r="Q193" s="81"/>
      <x:c r="R193" s="81"/>
      <x:c r="S193" s="81"/>
      <x:c r="T193" s="81"/>
      <x:c r="U193" s="81"/>
      <x:c r="V193" s="81"/>
      <x:c r="W193" s="81"/>
      <x:c r="X193" s="81"/>
      <x:c r="Y193" s="81"/>
      <x:c r="Z193" s="81"/>
    </x:row>
    <x:row r="194">
      <x:c r="A194" s="81"/>
      <x:c r="B194" s="81"/>
      <x:c r="C194" s="81"/>
      <x:c r="D194" s="81"/>
      <x:c r="E194" s="81"/>
      <x:c r="F194" s="81"/>
      <x:c r="G194" s="81"/>
      <x:c r="H194" s="81"/>
      <x:c r="I194" s="81"/>
      <x:c r="J194" s="81"/>
      <x:c r="K194" s="81"/>
      <x:c r="L194" s="81"/>
      <x:c r="M194" s="81"/>
      <x:c r="N194" s="81"/>
      <x:c r="O194" s="81"/>
      <x:c r="P194" s="81"/>
      <x:c r="Q194" s="81"/>
      <x:c r="R194" s="81"/>
      <x:c r="S194" s="81"/>
      <x:c r="T194" s="81"/>
      <x:c r="U194" s="81"/>
      <x:c r="V194" s="81"/>
      <x:c r="W194" s="81"/>
      <x:c r="X194" s="81"/>
      <x:c r="Y194" s="81"/>
      <x:c r="Z194" s="81"/>
    </x:row>
    <x:row r="195">
      <x:c r="A195" s="81"/>
      <x:c r="B195" s="81"/>
      <x:c r="C195" s="81"/>
      <x:c r="D195" s="81"/>
      <x:c r="E195" s="81"/>
      <x:c r="F195" s="81"/>
      <x:c r="G195" s="81"/>
      <x:c r="H195" s="81"/>
      <x:c r="I195" s="81"/>
      <x:c r="J195" s="81"/>
      <x:c r="K195" s="81"/>
      <x:c r="L195" s="81"/>
      <x:c r="M195" s="81"/>
      <x:c r="N195" s="81"/>
      <x:c r="O195" s="81"/>
      <x:c r="P195" s="81"/>
      <x:c r="Q195" s="81"/>
      <x:c r="R195" s="81"/>
      <x:c r="S195" s="81"/>
      <x:c r="T195" s="81"/>
      <x:c r="U195" s="81"/>
      <x:c r="V195" s="81"/>
      <x:c r="W195" s="81"/>
      <x:c r="X195" s="81"/>
      <x:c r="Y195" s="81"/>
      <x:c r="Z195" s="81"/>
    </x:row>
    <x:row r="196">
      <x:c r="A196" s="81"/>
      <x:c r="B196" s="81"/>
      <x:c r="C196" s="81"/>
      <x:c r="D196" s="81"/>
      <x:c r="E196" s="81"/>
      <x:c r="F196" s="81"/>
      <x:c r="G196" s="81"/>
      <x:c r="H196" s="81"/>
      <x:c r="I196" s="81"/>
      <x:c r="J196" s="81"/>
      <x:c r="K196" s="81"/>
      <x:c r="L196" s="81"/>
      <x:c r="M196" s="81"/>
      <x:c r="N196" s="81"/>
      <x:c r="O196" s="81"/>
      <x:c r="P196" s="81"/>
      <x:c r="Q196" s="81"/>
      <x:c r="R196" s="81"/>
      <x:c r="S196" s="81"/>
      <x:c r="T196" s="81"/>
      <x:c r="U196" s="81"/>
      <x:c r="V196" s="81"/>
      <x:c r="W196" s="81"/>
      <x:c r="X196" s="81"/>
      <x:c r="Y196" s="81"/>
      <x:c r="Z196" s="81"/>
    </x:row>
    <x:row r="197">
      <x:c r="A197" s="81"/>
      <x:c r="B197" s="81"/>
      <x:c r="C197" s="81"/>
      <x:c r="D197" s="81"/>
      <x:c r="E197" s="81"/>
      <x:c r="F197" s="81"/>
      <x:c r="G197" s="81"/>
      <x:c r="H197" s="81"/>
      <x:c r="I197" s="81"/>
      <x:c r="J197" s="81"/>
      <x:c r="K197" s="81"/>
      <x:c r="L197" s="81"/>
      <x:c r="M197" s="81"/>
      <x:c r="N197" s="81"/>
      <x:c r="O197" s="81"/>
      <x:c r="P197" s="81"/>
      <x:c r="Q197" s="81"/>
      <x:c r="R197" s="81"/>
      <x:c r="S197" s="81"/>
      <x:c r="T197" s="81"/>
      <x:c r="U197" s="81"/>
      <x:c r="V197" s="81"/>
      <x:c r="W197" s="81"/>
      <x:c r="X197" s="81"/>
      <x:c r="Y197" s="81"/>
      <x:c r="Z197" s="81"/>
    </x:row>
    <x:row r="198">
      <x:c r="A198" s="81"/>
      <x:c r="B198" s="81"/>
      <x:c r="C198" s="81"/>
      <x:c r="D198" s="81"/>
      <x:c r="E198" s="81"/>
      <x:c r="F198" s="81"/>
      <x:c r="G198" s="81"/>
      <x:c r="H198" s="81"/>
      <x:c r="I198" s="81"/>
      <x:c r="J198" s="81"/>
      <x:c r="K198" s="81"/>
      <x:c r="L198" s="81"/>
      <x:c r="M198" s="81"/>
      <x:c r="N198" s="81"/>
      <x:c r="O198" s="81"/>
      <x:c r="P198" s="81"/>
      <x:c r="Q198" s="81"/>
      <x:c r="R198" s="81"/>
      <x:c r="S198" s="81"/>
      <x:c r="T198" s="81"/>
      <x:c r="U198" s="81"/>
      <x:c r="V198" s="81"/>
      <x:c r="W198" s="81"/>
      <x:c r="X198" s="81"/>
      <x:c r="Y198" s="81"/>
      <x:c r="Z198" s="81"/>
    </x:row>
    <x:row r="199">
      <x:c r="A199" s="81"/>
      <x:c r="B199" s="81"/>
      <x:c r="C199" s="81"/>
      <x:c r="D199" s="81"/>
      <x:c r="E199" s="81"/>
      <x:c r="F199" s="81"/>
      <x:c r="G199" s="81"/>
      <x:c r="H199" s="81"/>
      <x:c r="I199" s="81"/>
      <x:c r="J199" s="81"/>
      <x:c r="K199" s="81"/>
      <x:c r="L199" s="81"/>
      <x:c r="M199" s="81"/>
      <x:c r="N199" s="81"/>
      <x:c r="O199" s="81"/>
      <x:c r="P199" s="81"/>
      <x:c r="Q199" s="81"/>
      <x:c r="R199" s="81"/>
      <x:c r="S199" s="81"/>
      <x:c r="T199" s="81"/>
      <x:c r="U199" s="81"/>
      <x:c r="V199" s="81"/>
      <x:c r="W199" s="81"/>
      <x:c r="X199" s="81"/>
      <x:c r="Y199" s="81"/>
      <x:c r="Z199" s="81"/>
    </x:row>
    <x:row r="200">
      <x:c r="A200" s="81"/>
      <x:c r="B200" s="81"/>
      <x:c r="C200" s="81"/>
      <x:c r="D200" s="81"/>
      <x:c r="E200" s="81"/>
      <x:c r="F200" s="81"/>
      <x:c r="G200" s="81"/>
      <x:c r="H200" s="81"/>
      <x:c r="I200" s="81"/>
      <x:c r="J200" s="81"/>
      <x:c r="K200" s="81"/>
      <x:c r="L200" s="81"/>
      <x:c r="M200" s="81"/>
      <x:c r="N200" s="81"/>
      <x:c r="O200" s="81"/>
      <x:c r="P200" s="81"/>
      <x:c r="Q200" s="81"/>
      <x:c r="R200" s="81"/>
      <x:c r="S200" s="81"/>
      <x:c r="T200" s="81"/>
      <x:c r="U200" s="81"/>
      <x:c r="V200" s="81"/>
      <x:c r="W200" s="81"/>
      <x:c r="X200" s="81"/>
      <x:c r="Y200" s="81"/>
      <x:c r="Z200" s="81"/>
    </x:row>
    <x:row r="201">
      <x:c r="A201" s="81"/>
      <x:c r="B201" s="81"/>
      <x:c r="C201" s="81"/>
      <x:c r="D201" s="81"/>
      <x:c r="E201" s="81"/>
      <x:c r="F201" s="81"/>
      <x:c r="G201" s="81"/>
      <x:c r="H201" s="81"/>
      <x:c r="I201" s="81"/>
      <x:c r="J201" s="81"/>
      <x:c r="K201" s="81"/>
      <x:c r="L201" s="81"/>
      <x:c r="M201" s="81"/>
      <x:c r="N201" s="81"/>
      <x:c r="O201" s="81"/>
      <x:c r="P201" s="81"/>
      <x:c r="Q201" s="81"/>
      <x:c r="R201" s="81"/>
      <x:c r="S201" s="81"/>
      <x:c r="T201" s="81"/>
      <x:c r="U201" s="81"/>
      <x:c r="V201" s="81"/>
      <x:c r="W201" s="81"/>
      <x:c r="X201" s="81"/>
      <x:c r="Y201" s="81"/>
      <x:c r="Z201" s="81"/>
    </x:row>
    <x:row r="202">
      <x:c r="A202" s="81"/>
      <x:c r="B202" s="81"/>
      <x:c r="C202" s="81"/>
      <x:c r="D202" s="81"/>
      <x:c r="E202" s="81"/>
      <x:c r="F202" s="81"/>
      <x:c r="G202" s="81"/>
      <x:c r="H202" s="81"/>
      <x:c r="I202" s="81"/>
      <x:c r="J202" s="81"/>
      <x:c r="K202" s="81"/>
      <x:c r="L202" s="81"/>
      <x:c r="M202" s="81"/>
      <x:c r="N202" s="81"/>
      <x:c r="O202" s="81"/>
      <x:c r="P202" s="81"/>
      <x:c r="Q202" s="81"/>
      <x:c r="R202" s="81"/>
      <x:c r="S202" s="81"/>
      <x:c r="T202" s="81"/>
      <x:c r="U202" s="81"/>
      <x:c r="V202" s="81"/>
      <x:c r="W202" s="81"/>
      <x:c r="X202" s="81"/>
      <x:c r="Y202" s="81"/>
      <x:c r="Z202" s="81"/>
    </x:row>
    <x:row r="203">
      <x:c r="A203" s="81"/>
      <x:c r="B203" s="81"/>
      <x:c r="C203" s="81"/>
      <x:c r="D203" s="81"/>
      <x:c r="E203" s="81"/>
      <x:c r="F203" s="81"/>
      <x:c r="G203" s="81"/>
      <x:c r="H203" s="81"/>
      <x:c r="I203" s="81"/>
      <x:c r="J203" s="81"/>
      <x:c r="K203" s="81"/>
      <x:c r="L203" s="81"/>
      <x:c r="M203" s="81"/>
      <x:c r="N203" s="81"/>
      <x:c r="O203" s="81"/>
      <x:c r="P203" s="81"/>
      <x:c r="Q203" s="81"/>
      <x:c r="R203" s="81"/>
      <x:c r="S203" s="81"/>
      <x:c r="T203" s="81"/>
      <x:c r="U203" s="81"/>
      <x:c r="V203" s="81"/>
      <x:c r="W203" s="81"/>
      <x:c r="X203" s="81"/>
      <x:c r="Y203" s="81"/>
      <x:c r="Z203" s="81"/>
    </x:row>
    <x:row r="204">
      <x:c r="A204" s="81"/>
      <x:c r="B204" s="81"/>
      <x:c r="C204" s="81"/>
      <x:c r="D204" s="81"/>
      <x:c r="E204" s="81"/>
      <x:c r="F204" s="81"/>
      <x:c r="G204" s="81"/>
      <x:c r="H204" s="81"/>
      <x:c r="I204" s="81"/>
      <x:c r="J204" s="81"/>
      <x:c r="K204" s="81"/>
      <x:c r="L204" s="81"/>
      <x:c r="M204" s="81"/>
      <x:c r="N204" s="81"/>
      <x:c r="O204" s="81"/>
      <x:c r="P204" s="81"/>
      <x:c r="Q204" s="81"/>
      <x:c r="R204" s="81"/>
      <x:c r="S204" s="81"/>
      <x:c r="T204" s="81"/>
      <x:c r="U204" s="81"/>
      <x:c r="V204" s="81"/>
      <x:c r="W204" s="81"/>
      <x:c r="X204" s="81"/>
      <x:c r="Y204" s="81"/>
      <x:c r="Z204" s="81"/>
    </x:row>
    <x:row r="205">
      <x:c r="A205" s="81"/>
      <x:c r="B205" s="81"/>
      <x:c r="C205" s="81"/>
      <x:c r="D205" s="81"/>
      <x:c r="E205" s="81"/>
      <x:c r="F205" s="81"/>
      <x:c r="G205" s="81"/>
      <x:c r="H205" s="81"/>
      <x:c r="I205" s="81"/>
      <x:c r="J205" s="81"/>
      <x:c r="K205" s="81"/>
      <x:c r="L205" s="81"/>
      <x:c r="M205" s="81"/>
      <x:c r="N205" s="81"/>
      <x:c r="O205" s="81"/>
      <x:c r="P205" s="81"/>
      <x:c r="Q205" s="81"/>
      <x:c r="R205" s="81"/>
      <x:c r="S205" s="81"/>
      <x:c r="T205" s="81"/>
      <x:c r="U205" s="81"/>
      <x:c r="V205" s="81"/>
      <x:c r="W205" s="81"/>
      <x:c r="X205" s="81"/>
      <x:c r="Y205" s="81"/>
      <x:c r="Z205" s="81"/>
    </x:row>
    <x:row r="206">
      <x:c r="A206" s="81"/>
      <x:c r="B206" s="81"/>
      <x:c r="C206" s="81"/>
      <x:c r="D206" s="81"/>
      <x:c r="E206" s="81"/>
      <x:c r="F206" s="81"/>
      <x:c r="G206" s="81"/>
      <x:c r="H206" s="81"/>
      <x:c r="I206" s="81"/>
      <x:c r="J206" s="81"/>
      <x:c r="K206" s="81"/>
      <x:c r="L206" s="81"/>
      <x:c r="M206" s="81"/>
      <x:c r="N206" s="81"/>
      <x:c r="O206" s="81"/>
      <x:c r="P206" s="81"/>
      <x:c r="Q206" s="81"/>
      <x:c r="R206" s="81"/>
      <x:c r="S206" s="81"/>
      <x:c r="T206" s="81"/>
      <x:c r="U206" s="81"/>
      <x:c r="V206" s="81"/>
      <x:c r="W206" s="81"/>
      <x:c r="X206" s="81"/>
      <x:c r="Y206" s="81"/>
      <x:c r="Z206" s="81"/>
    </x:row>
    <x:row r="207">
      <x:c r="A207" s="81"/>
      <x:c r="B207" s="81"/>
      <x:c r="C207" s="81"/>
      <x:c r="D207" s="81"/>
      <x:c r="E207" s="81"/>
      <x:c r="F207" s="81"/>
      <x:c r="G207" s="81"/>
      <x:c r="H207" s="81"/>
      <x:c r="I207" s="81"/>
      <x:c r="J207" s="81"/>
      <x:c r="K207" s="81"/>
      <x:c r="L207" s="81"/>
      <x:c r="M207" s="81"/>
      <x:c r="N207" s="81"/>
      <x:c r="O207" s="81"/>
      <x:c r="P207" s="81"/>
      <x:c r="Q207" s="81"/>
      <x:c r="R207" s="81"/>
      <x:c r="S207" s="81"/>
      <x:c r="T207" s="81"/>
      <x:c r="U207" s="81"/>
      <x:c r="V207" s="81"/>
      <x:c r="W207" s="81"/>
      <x:c r="X207" s="81"/>
      <x:c r="Y207" s="81"/>
      <x:c r="Z207" s="81"/>
    </x:row>
    <x:row r="208">
      <x:c r="A208" s="81"/>
      <x:c r="B208" s="81"/>
      <x:c r="C208" s="81"/>
      <x:c r="D208" s="81"/>
      <x:c r="E208" s="81"/>
      <x:c r="F208" s="81"/>
      <x:c r="G208" s="81"/>
      <x:c r="H208" s="81"/>
      <x:c r="I208" s="81"/>
      <x:c r="J208" s="81"/>
      <x:c r="K208" s="81"/>
      <x:c r="L208" s="81"/>
      <x:c r="M208" s="81"/>
      <x:c r="N208" s="81"/>
      <x:c r="O208" s="81"/>
      <x:c r="P208" s="81"/>
      <x:c r="Q208" s="81"/>
      <x:c r="R208" s="81"/>
      <x:c r="S208" s="81"/>
      <x:c r="T208" s="81"/>
      <x:c r="U208" s="81"/>
      <x:c r="V208" s="81"/>
      <x:c r="W208" s="81"/>
      <x:c r="X208" s="81"/>
      <x:c r="Y208" s="81"/>
      <x:c r="Z208" s="81"/>
    </x:row>
    <x:row r="209">
      <x:c r="A209" s="81"/>
      <x:c r="B209" s="81"/>
      <x:c r="C209" s="81"/>
      <x:c r="D209" s="81"/>
      <x:c r="E209" s="81"/>
      <x:c r="F209" s="81"/>
      <x:c r="G209" s="81"/>
      <x:c r="H209" s="81"/>
      <x:c r="I209" s="81"/>
      <x:c r="J209" s="81"/>
      <x:c r="K209" s="81"/>
      <x:c r="L209" s="81"/>
      <x:c r="M209" s="81"/>
      <x:c r="N209" s="81"/>
      <x:c r="O209" s="81"/>
      <x:c r="P209" s="81"/>
      <x:c r="Q209" s="81"/>
      <x:c r="R209" s="81"/>
      <x:c r="S209" s="81"/>
      <x:c r="T209" s="81"/>
      <x:c r="U209" s="81"/>
      <x:c r="V209" s="81"/>
      <x:c r="W209" s="81"/>
      <x:c r="X209" s="81"/>
      <x:c r="Y209" s="81"/>
      <x:c r="Z209" s="81"/>
    </x:row>
    <x:row r="210">
      <x:c r="A210" s="81"/>
      <x:c r="B210" s="81"/>
      <x:c r="C210" s="81"/>
      <x:c r="D210" s="81"/>
      <x:c r="E210" s="81"/>
      <x:c r="F210" s="81"/>
      <x:c r="G210" s="81"/>
      <x:c r="H210" s="81"/>
      <x:c r="I210" s="81"/>
      <x:c r="J210" s="81"/>
      <x:c r="K210" s="81"/>
      <x:c r="L210" s="81"/>
      <x:c r="M210" s="81"/>
      <x:c r="N210" s="81"/>
      <x:c r="O210" s="81"/>
      <x:c r="P210" s="81"/>
      <x:c r="Q210" s="81"/>
      <x:c r="R210" s="81"/>
      <x:c r="S210" s="81"/>
      <x:c r="T210" s="81"/>
      <x:c r="U210" s="81"/>
      <x:c r="V210" s="81"/>
      <x:c r="W210" s="81"/>
      <x:c r="X210" s="81"/>
      <x:c r="Y210" s="81"/>
      <x:c r="Z210" s="81"/>
    </x:row>
    <x:row r="211">
      <x:c r="A211" s="81"/>
      <x:c r="B211" s="81"/>
      <x:c r="C211" s="81"/>
      <x:c r="D211" s="81"/>
      <x:c r="E211" s="81"/>
      <x:c r="F211" s="81"/>
      <x:c r="G211" s="81"/>
      <x:c r="H211" s="81"/>
      <x:c r="I211" s="81"/>
      <x:c r="J211" s="81"/>
      <x:c r="K211" s="81"/>
      <x:c r="L211" s="81"/>
      <x:c r="M211" s="81"/>
      <x:c r="N211" s="81"/>
      <x:c r="O211" s="81"/>
      <x:c r="P211" s="81"/>
      <x:c r="Q211" s="81"/>
      <x:c r="R211" s="81"/>
      <x:c r="S211" s="81"/>
      <x:c r="T211" s="81"/>
      <x:c r="U211" s="81"/>
      <x:c r="V211" s="81"/>
      <x:c r="W211" s="81"/>
      <x:c r="X211" s="81"/>
      <x:c r="Y211" s="81"/>
      <x:c r="Z211" s="81"/>
    </x:row>
    <x:row r="212">
      <x:c r="A212" s="81"/>
      <x:c r="B212" s="81"/>
      <x:c r="C212" s="81"/>
      <x:c r="D212" s="81"/>
      <x:c r="E212" s="81"/>
      <x:c r="F212" s="81"/>
      <x:c r="G212" s="81"/>
      <x:c r="H212" s="81"/>
      <x:c r="I212" s="81"/>
      <x:c r="J212" s="81"/>
      <x:c r="K212" s="81"/>
      <x:c r="L212" s="81"/>
      <x:c r="M212" s="81"/>
      <x:c r="N212" s="81"/>
      <x:c r="O212" s="81"/>
      <x:c r="P212" s="81"/>
      <x:c r="Q212" s="81"/>
      <x:c r="R212" s="81"/>
      <x:c r="S212" s="81"/>
      <x:c r="T212" s="81"/>
      <x:c r="U212" s="81"/>
      <x:c r="V212" s="81"/>
      <x:c r="W212" s="81"/>
      <x:c r="X212" s="81"/>
      <x:c r="Y212" s="81"/>
      <x:c r="Z212" s="81"/>
    </x:row>
    <x:row r="213">
      <x:c r="A213" s="81"/>
      <x:c r="B213" s="81"/>
      <x:c r="C213" s="81"/>
      <x:c r="D213" s="81"/>
      <x:c r="E213" s="81"/>
      <x:c r="F213" s="81"/>
      <x:c r="G213" s="81"/>
      <x:c r="H213" s="81"/>
      <x:c r="I213" s="81"/>
      <x:c r="J213" s="81"/>
      <x:c r="K213" s="81"/>
      <x:c r="L213" s="81"/>
      <x:c r="M213" s="81"/>
      <x:c r="N213" s="81"/>
      <x:c r="O213" s="81"/>
      <x:c r="P213" s="81"/>
      <x:c r="Q213" s="81"/>
      <x:c r="R213" s="81"/>
      <x:c r="S213" s="81"/>
      <x:c r="T213" s="81"/>
      <x:c r="U213" s="81"/>
      <x:c r="V213" s="81"/>
      <x:c r="W213" s="81"/>
      <x:c r="X213" s="81"/>
      <x:c r="Y213" s="81"/>
      <x:c r="Z213" s="81"/>
    </x:row>
    <x:row r="214">
      <x:c r="A214" s="81"/>
      <x:c r="B214" s="81"/>
      <x:c r="C214" s="81"/>
      <x:c r="D214" s="81"/>
      <x:c r="E214" s="81"/>
      <x:c r="F214" s="81"/>
      <x:c r="G214" s="81"/>
      <x:c r="H214" s="81"/>
      <x:c r="I214" s="81"/>
      <x:c r="J214" s="81"/>
      <x:c r="K214" s="81"/>
      <x:c r="L214" s="81"/>
      <x:c r="M214" s="81"/>
      <x:c r="N214" s="81"/>
      <x:c r="O214" s="81"/>
      <x:c r="P214" s="81"/>
      <x:c r="Q214" s="81"/>
      <x:c r="R214" s="81"/>
      <x:c r="S214" s="81"/>
      <x:c r="T214" s="81"/>
      <x:c r="U214" s="81"/>
      <x:c r="V214" s="81"/>
      <x:c r="W214" s="81"/>
      <x:c r="X214" s="81"/>
      <x:c r="Y214" s="81"/>
      <x:c r="Z214" s="81"/>
    </x:row>
    <x:row r="215">
      <x:c r="A215" s="81"/>
      <x:c r="B215" s="81"/>
      <x:c r="C215" s="81"/>
      <x:c r="D215" s="81"/>
      <x:c r="E215" s="81"/>
      <x:c r="F215" s="81"/>
      <x:c r="G215" s="81"/>
      <x:c r="H215" s="81"/>
      <x:c r="I215" s="81"/>
      <x:c r="J215" s="81"/>
      <x:c r="K215" s="81"/>
      <x:c r="L215" s="81"/>
      <x:c r="M215" s="81"/>
      <x:c r="N215" s="81"/>
      <x:c r="O215" s="81"/>
      <x:c r="P215" s="81"/>
      <x:c r="Q215" s="81"/>
      <x:c r="R215" s="81"/>
      <x:c r="S215" s="81"/>
      <x:c r="T215" s="81"/>
      <x:c r="U215" s="81"/>
      <x:c r="V215" s="81"/>
      <x:c r="W215" s="81"/>
      <x:c r="X215" s="81"/>
      <x:c r="Y215" s="81"/>
      <x:c r="Z215" s="81"/>
    </x:row>
    <x:row r="216">
      <x:c r="A216" s="81"/>
      <x:c r="B216" s="81"/>
      <x:c r="C216" s="81"/>
      <x:c r="D216" s="81"/>
      <x:c r="E216" s="81"/>
      <x:c r="F216" s="81"/>
      <x:c r="G216" s="81"/>
      <x:c r="H216" s="81"/>
      <x:c r="I216" s="81"/>
      <x:c r="J216" s="81"/>
      <x:c r="K216" s="81"/>
      <x:c r="L216" s="81"/>
      <x:c r="M216" s="81"/>
      <x:c r="N216" s="81"/>
      <x:c r="O216" s="81"/>
      <x:c r="P216" s="81"/>
      <x:c r="Q216" s="81"/>
      <x:c r="R216" s="81"/>
      <x:c r="S216" s="81"/>
      <x:c r="T216" s="81"/>
      <x:c r="U216" s="81"/>
      <x:c r="V216" s="81"/>
      <x:c r="W216" s="81"/>
      <x:c r="X216" s="81"/>
      <x:c r="Y216" s="81"/>
      <x:c r="Z216" s="81"/>
    </x:row>
    <x:row r="217">
      <x:c r="A217" s="81"/>
      <x:c r="B217" s="81"/>
      <x:c r="C217" s="81"/>
      <x:c r="D217" s="81"/>
      <x:c r="E217" s="81"/>
      <x:c r="F217" s="81"/>
      <x:c r="G217" s="81"/>
      <x:c r="H217" s="81"/>
      <x:c r="I217" s="81"/>
      <x:c r="J217" s="81"/>
      <x:c r="K217" s="81"/>
      <x:c r="L217" s="81"/>
      <x:c r="M217" s="81"/>
      <x:c r="N217" s="81"/>
      <x:c r="O217" s="81"/>
      <x:c r="P217" s="81"/>
      <x:c r="Q217" s="81"/>
      <x:c r="R217" s="81"/>
      <x:c r="S217" s="81"/>
      <x:c r="T217" s="81"/>
      <x:c r="U217" s="81"/>
      <x:c r="V217" s="81"/>
      <x:c r="W217" s="81"/>
      <x:c r="X217" s="81"/>
      <x:c r="Y217" s="81"/>
      <x:c r="Z217" s="81"/>
    </x:row>
    <x:row r="218">
      <x:c r="A218" s="81"/>
      <x:c r="B218" s="81"/>
      <x:c r="C218" s="81"/>
      <x:c r="D218" s="81"/>
      <x:c r="E218" s="81"/>
      <x:c r="F218" s="81"/>
      <x:c r="G218" s="81"/>
      <x:c r="H218" s="81"/>
      <x:c r="I218" s="81"/>
      <x:c r="J218" s="81"/>
      <x:c r="K218" s="81"/>
      <x:c r="L218" s="81"/>
      <x:c r="M218" s="81"/>
      <x:c r="N218" s="81"/>
      <x:c r="O218" s="81"/>
      <x:c r="P218" s="81"/>
      <x:c r="Q218" s="81"/>
      <x:c r="R218" s="81"/>
      <x:c r="S218" s="81"/>
      <x:c r="T218" s="81"/>
      <x:c r="U218" s="81"/>
      <x:c r="V218" s="81"/>
      <x:c r="W218" s="81"/>
      <x:c r="X218" s="81"/>
      <x:c r="Y218" s="81"/>
      <x:c r="Z218" s="81"/>
    </x:row>
    <x:row r="219">
      <x:c r="A219" s="81"/>
      <x:c r="B219" s="81"/>
      <x:c r="C219" s="81"/>
      <x:c r="D219" s="81"/>
      <x:c r="E219" s="81"/>
      <x:c r="F219" s="81"/>
      <x:c r="G219" s="81"/>
      <x:c r="H219" s="81"/>
      <x:c r="I219" s="81"/>
      <x:c r="J219" s="81"/>
      <x:c r="K219" s="81"/>
      <x:c r="L219" s="81"/>
      <x:c r="M219" s="81"/>
      <x:c r="N219" s="81"/>
      <x:c r="O219" s="81"/>
      <x:c r="P219" s="81"/>
      <x:c r="Q219" s="81"/>
      <x:c r="R219" s="81"/>
      <x:c r="S219" s="81"/>
      <x:c r="T219" s="81"/>
      <x:c r="U219" s="81"/>
      <x:c r="V219" s="81"/>
      <x:c r="W219" s="81"/>
      <x:c r="X219" s="81"/>
      <x:c r="Y219" s="81"/>
      <x:c r="Z219" s="81"/>
    </x:row>
    <x:row r="220">
      <x:c r="A220" s="81"/>
      <x:c r="B220" s="81"/>
      <x:c r="C220" s="81"/>
      <x:c r="D220" s="81"/>
      <x:c r="E220" s="81"/>
      <x:c r="F220" s="81"/>
      <x:c r="G220" s="81"/>
      <x:c r="H220" s="81"/>
      <x:c r="I220" s="81"/>
      <x:c r="J220" s="81"/>
      <x:c r="K220" s="81"/>
      <x:c r="L220" s="81"/>
      <x:c r="M220" s="81"/>
      <x:c r="N220" s="81"/>
      <x:c r="O220" s="81"/>
      <x:c r="P220" s="81"/>
      <x:c r="Q220" s="81"/>
      <x:c r="R220" s="81"/>
      <x:c r="S220" s="81"/>
      <x:c r="T220" s="81"/>
      <x:c r="U220" s="81"/>
      <x:c r="V220" s="81"/>
      <x:c r="W220" s="81"/>
      <x:c r="X220" s="81"/>
      <x:c r="Y220" s="81"/>
      <x:c r="Z220" s="81"/>
    </x:row>
    <x:row r="221">
      <x:c r="A221" s="81"/>
      <x:c r="B221" s="81"/>
      <x:c r="C221" s="81"/>
      <x:c r="D221" s="81"/>
      <x:c r="E221" s="81"/>
      <x:c r="F221" s="81"/>
      <x:c r="G221" s="81"/>
      <x:c r="H221" s="81"/>
      <x:c r="I221" s="81"/>
      <x:c r="J221" s="81"/>
      <x:c r="K221" s="81"/>
      <x:c r="L221" s="81"/>
      <x:c r="M221" s="81"/>
      <x:c r="N221" s="81"/>
      <x:c r="O221" s="81"/>
      <x:c r="P221" s="81"/>
      <x:c r="Q221" s="81"/>
      <x:c r="R221" s="81"/>
      <x:c r="S221" s="81"/>
      <x:c r="T221" s="81"/>
      <x:c r="U221" s="81"/>
      <x:c r="V221" s="81"/>
      <x:c r="W221" s="81"/>
      <x:c r="X221" s="81"/>
      <x:c r="Y221" s="81"/>
      <x:c r="Z221" s="81"/>
    </x:row>
    <x:row r="222">
      <x:c r="A222" s="81"/>
      <x:c r="B222" s="81"/>
      <x:c r="C222" s="81"/>
      <x:c r="D222" s="81"/>
      <x:c r="E222" s="81"/>
      <x:c r="F222" s="81"/>
      <x:c r="G222" s="81"/>
      <x:c r="H222" s="81"/>
      <x:c r="I222" s="81"/>
      <x:c r="J222" s="81"/>
      <x:c r="K222" s="81"/>
      <x:c r="L222" s="81"/>
      <x:c r="M222" s="81"/>
      <x:c r="N222" s="81"/>
      <x:c r="O222" s="81"/>
      <x:c r="P222" s="81"/>
      <x:c r="Q222" s="81"/>
      <x:c r="R222" s="81"/>
      <x:c r="S222" s="81"/>
      <x:c r="T222" s="81"/>
      <x:c r="U222" s="81"/>
      <x:c r="V222" s="81"/>
      <x:c r="W222" s="81"/>
      <x:c r="X222" s="81"/>
      <x:c r="Y222" s="81"/>
      <x:c r="Z222" s="81"/>
    </x:row>
    <x:row r="223">
      <x:c r="A223" s="81"/>
      <x:c r="B223" s="81"/>
      <x:c r="C223" s="81"/>
      <x:c r="D223" s="81"/>
      <x:c r="E223" s="81"/>
      <x:c r="F223" s="81"/>
      <x:c r="G223" s="81"/>
      <x:c r="H223" s="81"/>
      <x:c r="I223" s="81"/>
      <x:c r="J223" s="81"/>
      <x:c r="K223" s="81"/>
      <x:c r="L223" s="81"/>
      <x:c r="M223" s="81"/>
      <x:c r="N223" s="81"/>
      <x:c r="O223" s="81"/>
      <x:c r="P223" s="81"/>
      <x:c r="Q223" s="81"/>
      <x:c r="R223" s="81"/>
      <x:c r="S223" s="81"/>
      <x:c r="T223" s="81"/>
      <x:c r="U223" s="81"/>
      <x:c r="V223" s="81"/>
      <x:c r="W223" s="81"/>
      <x:c r="X223" s="81"/>
      <x:c r="Y223" s="81"/>
      <x:c r="Z223" s="81"/>
    </x:row>
    <x:row r="224">
      <x:c r="A224" s="81"/>
      <x:c r="B224" s="81"/>
      <x:c r="C224" s="81"/>
      <x:c r="D224" s="81"/>
      <x:c r="E224" s="81"/>
      <x:c r="F224" s="81"/>
      <x:c r="G224" s="81"/>
      <x:c r="H224" s="81"/>
      <x:c r="I224" s="81"/>
      <x:c r="J224" s="81"/>
      <x:c r="K224" s="81"/>
      <x:c r="L224" s="81"/>
      <x:c r="M224" s="81"/>
      <x:c r="N224" s="81"/>
      <x:c r="O224" s="81"/>
      <x:c r="P224" s="81"/>
      <x:c r="Q224" s="81"/>
      <x:c r="R224" s="81"/>
      <x:c r="S224" s="81"/>
      <x:c r="T224" s="81"/>
      <x:c r="U224" s="81"/>
      <x:c r="V224" s="81"/>
      <x:c r="W224" s="81"/>
      <x:c r="X224" s="81"/>
      <x:c r="Y224" s="81"/>
      <x:c r="Z224" s="81"/>
    </x:row>
    <x:row r="225">
      <x:c r="A225" s="81"/>
      <x:c r="B225" s="81"/>
      <x:c r="C225" s="81"/>
      <x:c r="D225" s="81"/>
      <x:c r="E225" s="81"/>
      <x:c r="F225" s="81"/>
      <x:c r="G225" s="81"/>
      <x:c r="H225" s="81"/>
      <x:c r="I225" s="81"/>
      <x:c r="J225" s="81"/>
      <x:c r="K225" s="81"/>
      <x:c r="L225" s="81"/>
      <x:c r="M225" s="81"/>
      <x:c r="N225" s="81"/>
      <x:c r="O225" s="81"/>
      <x:c r="P225" s="81"/>
      <x:c r="Q225" s="81"/>
      <x:c r="R225" s="81"/>
      <x:c r="S225" s="81"/>
      <x:c r="T225" s="81"/>
      <x:c r="U225" s="81"/>
      <x:c r="V225" s="81"/>
      <x:c r="W225" s="81"/>
      <x:c r="X225" s="81"/>
      <x:c r="Y225" s="81"/>
      <x:c r="Z225" s="81"/>
    </x:row>
    <x:row r="226">
      <x:c r="A226" s="81"/>
      <x:c r="B226" s="81"/>
      <x:c r="C226" s="81"/>
      <x:c r="D226" s="81"/>
      <x:c r="E226" s="81"/>
      <x:c r="F226" s="81"/>
      <x:c r="G226" s="81"/>
      <x:c r="H226" s="81"/>
      <x:c r="I226" s="81"/>
      <x:c r="J226" s="81"/>
      <x:c r="K226" s="81"/>
      <x:c r="L226" s="81"/>
      <x:c r="M226" s="81"/>
      <x:c r="N226" s="81"/>
      <x:c r="O226" s="81"/>
      <x:c r="P226" s="81"/>
      <x:c r="Q226" s="81"/>
      <x:c r="R226" s="81"/>
      <x:c r="S226" s="81"/>
      <x:c r="T226" s="81"/>
      <x:c r="U226" s="81"/>
      <x:c r="V226" s="81"/>
      <x:c r="W226" s="81"/>
      <x:c r="X226" s="81"/>
      <x:c r="Y226" s="81"/>
      <x:c r="Z226" s="81"/>
    </x:row>
    <x:row r="227">
      <x:c r="A227" s="81"/>
      <x:c r="B227" s="81"/>
      <x:c r="C227" s="81"/>
      <x:c r="D227" s="81"/>
      <x:c r="E227" s="81"/>
      <x:c r="F227" s="81"/>
      <x:c r="G227" s="81"/>
      <x:c r="H227" s="81"/>
      <x:c r="I227" s="81"/>
      <x:c r="J227" s="81"/>
      <x:c r="K227" s="81"/>
      <x:c r="L227" s="81"/>
      <x:c r="M227" s="81"/>
      <x:c r="N227" s="81"/>
      <x:c r="O227" s="81"/>
      <x:c r="P227" s="81"/>
      <x:c r="Q227" s="81"/>
      <x:c r="R227" s="81"/>
      <x:c r="S227" s="81"/>
      <x:c r="T227" s="81"/>
      <x:c r="U227" s="81"/>
      <x:c r="V227" s="81"/>
      <x:c r="W227" s="81"/>
      <x:c r="X227" s="81"/>
      <x:c r="Y227" s="81"/>
      <x:c r="Z227" s="81"/>
    </x:row>
    <x:row r="228">
      <x:c r="A228" s="81"/>
      <x:c r="B228" s="81"/>
      <x:c r="C228" s="81"/>
      <x:c r="D228" s="81"/>
      <x:c r="E228" s="81"/>
      <x:c r="F228" s="81"/>
      <x:c r="G228" s="81"/>
      <x:c r="H228" s="81"/>
      <x:c r="I228" s="81"/>
      <x:c r="J228" s="81"/>
      <x:c r="K228" s="81"/>
      <x:c r="L228" s="81"/>
      <x:c r="M228" s="81"/>
      <x:c r="N228" s="81"/>
      <x:c r="O228" s="81"/>
      <x:c r="P228" s="81"/>
      <x:c r="Q228" s="81"/>
      <x:c r="R228" s="81"/>
      <x:c r="S228" s="81"/>
      <x:c r="T228" s="81"/>
      <x:c r="U228" s="81"/>
      <x:c r="V228" s="81"/>
      <x:c r="W228" s="81"/>
      <x:c r="X228" s="81"/>
      <x:c r="Y228" s="81"/>
      <x:c r="Z228" s="81"/>
    </x:row>
    <x:row r="229">
      <x:c r="A229" s="81"/>
      <x:c r="B229" s="81"/>
      <x:c r="C229" s="81"/>
      <x:c r="D229" s="81"/>
      <x:c r="E229" s="81"/>
      <x:c r="F229" s="81"/>
      <x:c r="G229" s="81"/>
      <x:c r="H229" s="81"/>
      <x:c r="I229" s="81"/>
      <x:c r="J229" s="81"/>
      <x:c r="K229" s="81"/>
      <x:c r="L229" s="81"/>
      <x:c r="M229" s="81"/>
      <x:c r="N229" s="81"/>
      <x:c r="O229" s="81"/>
      <x:c r="P229" s="81"/>
      <x:c r="Q229" s="81"/>
      <x:c r="R229" s="81"/>
      <x:c r="S229" s="81"/>
      <x:c r="T229" s="81"/>
      <x:c r="U229" s="81"/>
      <x:c r="V229" s="81"/>
      <x:c r="W229" s="81"/>
      <x:c r="X229" s="81"/>
      <x:c r="Y229" s="81"/>
      <x:c r="Z229" s="81"/>
    </x:row>
    <x:row r="230">
      <x:c r="A230" s="81"/>
      <x:c r="B230" s="81"/>
      <x:c r="C230" s="81"/>
      <x:c r="D230" s="81"/>
      <x:c r="E230" s="81"/>
      <x:c r="F230" s="81"/>
      <x:c r="G230" s="81"/>
      <x:c r="H230" s="81"/>
      <x:c r="I230" s="81"/>
      <x:c r="J230" s="81"/>
      <x:c r="K230" s="81"/>
      <x:c r="L230" s="81"/>
      <x:c r="M230" s="81"/>
      <x:c r="N230" s="81"/>
      <x:c r="O230" s="81"/>
      <x:c r="P230" s="81"/>
      <x:c r="Q230" s="81"/>
      <x:c r="R230" s="81"/>
      <x:c r="S230" s="81"/>
      <x:c r="T230" s="81"/>
      <x:c r="U230" s="81"/>
      <x:c r="V230" s="81"/>
      <x:c r="W230" s="81"/>
      <x:c r="X230" s="81"/>
      <x:c r="Y230" s="81"/>
      <x:c r="Z230" s="81"/>
    </x:row>
    <x:row r="231">
      <x:c r="A231" s="81"/>
      <x:c r="B231" s="81"/>
      <x:c r="C231" s="81"/>
      <x:c r="D231" s="81"/>
      <x:c r="E231" s="81"/>
      <x:c r="F231" s="81"/>
      <x:c r="G231" s="81"/>
      <x:c r="H231" s="81"/>
      <x:c r="I231" s="81"/>
      <x:c r="J231" s="81"/>
      <x:c r="K231" s="81"/>
      <x:c r="L231" s="81"/>
      <x:c r="M231" s="81"/>
      <x:c r="N231" s="81"/>
      <x:c r="O231" s="81"/>
      <x:c r="P231" s="81"/>
      <x:c r="Q231" s="81"/>
      <x:c r="R231" s="81"/>
      <x:c r="S231" s="81"/>
      <x:c r="T231" s="81"/>
      <x:c r="U231" s="81"/>
      <x:c r="V231" s="81"/>
      <x:c r="W231" s="81"/>
      <x:c r="X231" s="81"/>
      <x:c r="Y231" s="81"/>
      <x:c r="Z231" s="81"/>
    </x:row>
    <x:row r="232">
      <x:c r="A232" s="81"/>
      <x:c r="B232" s="81"/>
      <x:c r="C232" s="81"/>
      <x:c r="D232" s="81"/>
      <x:c r="E232" s="81"/>
      <x:c r="F232" s="81"/>
      <x:c r="G232" s="81"/>
      <x:c r="H232" s="81"/>
      <x:c r="I232" s="81"/>
      <x:c r="J232" s="81"/>
      <x:c r="K232" s="81"/>
      <x:c r="L232" s="81"/>
      <x:c r="M232" s="81"/>
      <x:c r="N232" s="81"/>
      <x:c r="O232" s="81"/>
      <x:c r="P232" s="81"/>
      <x:c r="Q232" s="81"/>
      <x:c r="R232" s="81"/>
      <x:c r="S232" s="81"/>
      <x:c r="T232" s="81"/>
      <x:c r="U232" s="81"/>
      <x:c r="V232" s="81"/>
      <x:c r="W232" s="81"/>
      <x:c r="X232" s="81"/>
      <x:c r="Y232" s="81"/>
      <x:c r="Z232" s="81"/>
    </x:row>
    <x:row r="233">
      <x:c r="A233" s="81"/>
      <x:c r="B233" s="81"/>
      <x:c r="C233" s="81"/>
      <x:c r="D233" s="81"/>
      <x:c r="E233" s="81"/>
      <x:c r="F233" s="81"/>
      <x:c r="G233" s="81"/>
      <x:c r="H233" s="81"/>
      <x:c r="I233" s="81"/>
      <x:c r="J233" s="81"/>
      <x:c r="K233" s="81"/>
      <x:c r="L233" s="81"/>
      <x:c r="M233" s="81"/>
      <x:c r="N233" s="81"/>
      <x:c r="O233" s="81"/>
      <x:c r="P233" s="81"/>
      <x:c r="Q233" s="81"/>
      <x:c r="R233" s="81"/>
      <x:c r="S233" s="81"/>
      <x:c r="T233" s="81"/>
      <x:c r="U233" s="81"/>
      <x:c r="V233" s="81"/>
      <x:c r="W233" s="81"/>
      <x:c r="X233" s="81"/>
      <x:c r="Y233" s="81"/>
      <x:c r="Z233" s="81"/>
    </x:row>
    <x:row r="234">
      <x:c r="A234" s="81"/>
      <x:c r="B234" s="81"/>
      <x:c r="C234" s="81"/>
      <x:c r="D234" s="81"/>
      <x:c r="E234" s="81"/>
      <x:c r="F234" s="81"/>
      <x:c r="G234" s="81"/>
      <x:c r="H234" s="81"/>
      <x:c r="I234" s="81"/>
      <x:c r="J234" s="81"/>
      <x:c r="K234" s="81"/>
      <x:c r="L234" s="81"/>
      <x:c r="M234" s="81"/>
      <x:c r="N234" s="81"/>
      <x:c r="O234" s="81"/>
      <x:c r="P234" s="81"/>
      <x:c r="Q234" s="81"/>
      <x:c r="R234" s="81"/>
      <x:c r="S234" s="81"/>
      <x:c r="T234" s="81"/>
      <x:c r="U234" s="81"/>
      <x:c r="V234" s="81"/>
      <x:c r="W234" s="81"/>
      <x:c r="X234" s="81"/>
      <x:c r="Y234" s="81"/>
      <x:c r="Z234" s="81"/>
    </x:row>
    <x:row r="235">
      <x:c r="A235" s="81"/>
      <x:c r="B235" s="81"/>
      <x:c r="C235" s="81"/>
      <x:c r="D235" s="81"/>
      <x:c r="E235" s="81"/>
      <x:c r="F235" s="81"/>
      <x:c r="G235" s="81"/>
      <x:c r="H235" s="81"/>
      <x:c r="I235" s="81"/>
      <x:c r="J235" s="81"/>
      <x:c r="K235" s="81"/>
      <x:c r="L235" s="81"/>
      <x:c r="M235" s="81"/>
      <x:c r="N235" s="81"/>
      <x:c r="O235" s="81"/>
      <x:c r="P235" s="81"/>
      <x:c r="Q235" s="81"/>
      <x:c r="R235" s="81"/>
      <x:c r="S235" s="81"/>
      <x:c r="T235" s="81"/>
      <x:c r="U235" s="81"/>
      <x:c r="V235" s="81"/>
      <x:c r="W235" s="81"/>
      <x:c r="X235" s="81"/>
      <x:c r="Y235" s="81"/>
      <x:c r="Z235" s="81"/>
    </x:row>
    <x:row r="236">
      <x:c r="A236" s="81"/>
      <x:c r="B236" s="81"/>
      <x:c r="C236" s="81"/>
      <x:c r="D236" s="81"/>
      <x:c r="E236" s="81"/>
      <x:c r="F236" s="81"/>
      <x:c r="G236" s="81"/>
      <x:c r="H236" s="81"/>
      <x:c r="I236" s="81"/>
      <x:c r="J236" s="81"/>
      <x:c r="K236" s="81"/>
      <x:c r="L236" s="81"/>
      <x:c r="M236" s="81"/>
      <x:c r="N236" s="81"/>
      <x:c r="O236" s="81"/>
      <x:c r="P236" s="81"/>
      <x:c r="Q236" s="81"/>
      <x:c r="R236" s="81"/>
      <x:c r="S236" s="81"/>
      <x:c r="T236" s="81"/>
      <x:c r="U236" s="81"/>
      <x:c r="V236" s="81"/>
      <x:c r="W236" s="81"/>
      <x:c r="X236" s="81"/>
      <x:c r="Y236" s="81"/>
      <x:c r="Z236" s="81"/>
    </x:row>
    <x:row r="237">
      <x:c r="A237" s="81"/>
      <x:c r="B237" s="81"/>
      <x:c r="C237" s="81"/>
      <x:c r="D237" s="81"/>
      <x:c r="E237" s="81"/>
      <x:c r="F237" s="81"/>
      <x:c r="G237" s="81"/>
      <x:c r="H237" s="81"/>
      <x:c r="I237" s="81"/>
      <x:c r="J237" s="81"/>
      <x:c r="K237" s="81"/>
      <x:c r="L237" s="81"/>
      <x:c r="M237" s="81"/>
      <x:c r="N237" s="81"/>
      <x:c r="O237" s="81"/>
      <x:c r="P237" s="81"/>
      <x:c r="Q237" s="81"/>
      <x:c r="R237" s="81"/>
      <x:c r="S237" s="81"/>
      <x:c r="T237" s="81"/>
      <x:c r="U237" s="81"/>
      <x:c r="V237" s="81"/>
      <x:c r="W237" s="81"/>
      <x:c r="X237" s="81"/>
      <x:c r="Y237" s="81"/>
      <x:c r="Z237" s="81"/>
    </x:row>
    <x:row r="238">
      <x:c r="A238" s="81"/>
      <x:c r="B238" s="81"/>
      <x:c r="C238" s="81"/>
      <x:c r="D238" s="81"/>
      <x:c r="E238" s="81"/>
      <x:c r="F238" s="81"/>
      <x:c r="G238" s="81"/>
      <x:c r="H238" s="81"/>
      <x:c r="I238" s="81"/>
      <x:c r="J238" s="81"/>
      <x:c r="K238" s="81"/>
      <x:c r="L238" s="81"/>
      <x:c r="M238" s="81"/>
      <x:c r="N238" s="81"/>
      <x:c r="O238" s="81"/>
      <x:c r="P238" s="81"/>
      <x:c r="Q238" s="81"/>
      <x:c r="R238" s="81"/>
      <x:c r="S238" s="81"/>
      <x:c r="T238" s="81"/>
      <x:c r="U238" s="81"/>
      <x:c r="V238" s="81"/>
      <x:c r="W238" s="81"/>
      <x:c r="X238" s="81"/>
      <x:c r="Y238" s="81"/>
      <x:c r="Z238" s="81"/>
    </x:row>
    <x:row r="239">
      <x:c r="A239" s="81"/>
      <x:c r="B239" s="81"/>
      <x:c r="C239" s="81"/>
      <x:c r="D239" s="81"/>
      <x:c r="E239" s="81"/>
      <x:c r="F239" s="81"/>
      <x:c r="G239" s="81"/>
      <x:c r="H239" s="81"/>
      <x:c r="I239" s="81"/>
      <x:c r="J239" s="81"/>
      <x:c r="K239" s="81"/>
      <x:c r="L239" s="81"/>
      <x:c r="M239" s="81"/>
      <x:c r="N239" s="81"/>
      <x:c r="O239" s="81"/>
      <x:c r="P239" s="81"/>
      <x:c r="Q239" s="81"/>
      <x:c r="R239" s="81"/>
      <x:c r="S239" s="81"/>
      <x:c r="T239" s="81"/>
      <x:c r="U239" s="81"/>
      <x:c r="V239" s="81"/>
      <x:c r="W239" s="81"/>
      <x:c r="X239" s="81"/>
      <x:c r="Y239" s="81"/>
      <x:c r="Z239" s="81"/>
    </x:row>
    <x:row r="240">
      <x:c r="A240" s="81"/>
      <x:c r="B240" s="81"/>
      <x:c r="C240" s="81"/>
      <x:c r="D240" s="81"/>
      <x:c r="E240" s="81"/>
      <x:c r="F240" s="81"/>
      <x:c r="G240" s="81"/>
      <x:c r="H240" s="81"/>
      <x:c r="I240" s="81"/>
      <x:c r="J240" s="81"/>
      <x:c r="K240" s="81"/>
      <x:c r="L240" s="81"/>
      <x:c r="M240" s="81"/>
      <x:c r="N240" s="81"/>
      <x:c r="O240" s="81"/>
      <x:c r="P240" s="81"/>
      <x:c r="Q240" s="81"/>
      <x:c r="R240" s="81"/>
      <x:c r="S240" s="81"/>
      <x:c r="T240" s="81"/>
      <x:c r="U240" s="81"/>
      <x:c r="V240" s="81"/>
      <x:c r="W240" s="81"/>
      <x:c r="X240" s="81"/>
      <x:c r="Y240" s="81"/>
      <x:c r="Z240" s="81"/>
    </x:row>
    <x:row r="241">
      <x:c r="A241" s="81"/>
      <x:c r="B241" s="81"/>
      <x:c r="C241" s="81"/>
      <x:c r="D241" s="81"/>
      <x:c r="E241" s="81"/>
      <x:c r="F241" s="81"/>
      <x:c r="G241" s="81"/>
      <x:c r="H241" s="81"/>
      <x:c r="I241" s="81"/>
      <x:c r="J241" s="81"/>
      <x:c r="K241" s="81"/>
      <x:c r="L241" s="81"/>
      <x:c r="M241" s="81"/>
      <x:c r="N241" s="81"/>
      <x:c r="O241" s="81"/>
      <x:c r="P241" s="81"/>
      <x:c r="Q241" s="81"/>
      <x:c r="R241" s="81"/>
      <x:c r="S241" s="81"/>
      <x:c r="T241" s="81"/>
      <x:c r="U241" s="81"/>
      <x:c r="V241" s="81"/>
      <x:c r="W241" s="81"/>
      <x:c r="X241" s="81"/>
      <x:c r="Y241" s="81"/>
      <x:c r="Z241" s="81"/>
    </x:row>
    <x:row r="242">
      <x:c r="A242" s="81"/>
      <x:c r="B242" s="81"/>
      <x:c r="C242" s="81"/>
      <x:c r="D242" s="81"/>
      <x:c r="E242" s="81"/>
      <x:c r="F242" s="81"/>
      <x:c r="G242" s="81"/>
      <x:c r="H242" s="81"/>
      <x:c r="I242" s="81"/>
      <x:c r="J242" s="81"/>
      <x:c r="K242" s="81"/>
      <x:c r="L242" s="81"/>
      <x:c r="M242" s="81"/>
      <x:c r="N242" s="81"/>
      <x:c r="O242" s="81"/>
      <x:c r="P242" s="81"/>
      <x:c r="Q242" s="81"/>
      <x:c r="R242" s="81"/>
      <x:c r="S242" s="81"/>
      <x:c r="T242" s="81"/>
      <x:c r="U242" s="81"/>
      <x:c r="V242" s="81"/>
      <x:c r="W242" s="81"/>
      <x:c r="X242" s="81"/>
      <x:c r="Y242" s="81"/>
      <x:c r="Z242" s="81"/>
    </x:row>
    <x:row r="243">
      <x:c r="A243" s="81"/>
      <x:c r="B243" s="81"/>
      <x:c r="C243" s="81"/>
      <x:c r="D243" s="81"/>
      <x:c r="E243" s="81"/>
      <x:c r="F243" s="81"/>
      <x:c r="G243" s="81"/>
      <x:c r="H243" s="81"/>
      <x:c r="I243" s="81"/>
      <x:c r="J243" s="81"/>
      <x:c r="K243" s="81"/>
      <x:c r="L243" s="81"/>
      <x:c r="M243" s="81"/>
      <x:c r="N243" s="81"/>
      <x:c r="O243" s="81"/>
      <x:c r="P243" s="81"/>
      <x:c r="Q243" s="81"/>
      <x:c r="R243" s="81"/>
      <x:c r="S243" s="81"/>
      <x:c r="T243" s="81"/>
      <x:c r="U243" s="81"/>
      <x:c r="V243" s="81"/>
      <x:c r="W243" s="81"/>
      <x:c r="X243" s="81"/>
      <x:c r="Y243" s="81"/>
      <x:c r="Z243" s="81"/>
    </x:row>
    <x:row r="244">
      <x:c r="A244" s="81"/>
      <x:c r="B244" s="81"/>
      <x:c r="C244" s="81"/>
      <x:c r="D244" s="81"/>
      <x:c r="E244" s="81"/>
      <x:c r="F244" s="81"/>
      <x:c r="G244" s="81"/>
      <x:c r="H244" s="81"/>
      <x:c r="I244" s="81"/>
      <x:c r="J244" s="81"/>
      <x:c r="K244" s="81"/>
      <x:c r="L244" s="81"/>
      <x:c r="M244" s="81"/>
      <x:c r="N244" s="81"/>
      <x:c r="O244" s="81"/>
      <x:c r="P244" s="81"/>
      <x:c r="Q244" s="81"/>
      <x:c r="R244" s="81"/>
      <x:c r="S244" s="81"/>
      <x:c r="T244" s="81"/>
      <x:c r="U244" s="81"/>
      <x:c r="V244" s="81"/>
      <x:c r="W244" s="81"/>
      <x:c r="X244" s="81"/>
      <x:c r="Y244" s="81"/>
      <x:c r="Z244" s="81"/>
    </x:row>
    <x:row r="245">
      <x:c r="A245" s="81"/>
      <x:c r="B245" s="81"/>
      <x:c r="C245" s="81"/>
      <x:c r="D245" s="81"/>
      <x:c r="E245" s="81"/>
      <x:c r="F245" s="81"/>
      <x:c r="G245" s="81"/>
      <x:c r="H245" s="81"/>
      <x:c r="I245" s="81"/>
      <x:c r="J245" s="81"/>
      <x:c r="K245" s="81"/>
      <x:c r="L245" s="81"/>
      <x:c r="M245" s="81"/>
      <x:c r="N245" s="81"/>
      <x:c r="O245" s="81"/>
      <x:c r="P245" s="81"/>
      <x:c r="Q245" s="81"/>
      <x:c r="R245" s="81"/>
      <x:c r="S245" s="81"/>
      <x:c r="T245" s="81"/>
      <x:c r="U245" s="81"/>
      <x:c r="V245" s="81"/>
      <x:c r="W245" s="81"/>
      <x:c r="X245" s="81"/>
      <x:c r="Y245" s="81"/>
      <x:c r="Z245" s="81"/>
    </x:row>
    <x:row r="246">
      <x:c r="A246" s="81"/>
      <x:c r="B246" s="81"/>
      <x:c r="C246" s="81"/>
      <x:c r="D246" s="81"/>
      <x:c r="E246" s="81"/>
      <x:c r="F246" s="81"/>
      <x:c r="G246" s="81"/>
      <x:c r="H246" s="81"/>
      <x:c r="I246" s="81"/>
      <x:c r="J246" s="81"/>
      <x:c r="K246" s="81"/>
      <x:c r="L246" s="81"/>
      <x:c r="M246" s="81"/>
      <x:c r="N246" s="81"/>
      <x:c r="O246" s="81"/>
      <x:c r="P246" s="81"/>
      <x:c r="Q246" s="81"/>
      <x:c r="R246" s="81"/>
      <x:c r="S246" s="81"/>
      <x:c r="T246" s="81"/>
      <x:c r="U246" s="81"/>
      <x:c r="V246" s="81"/>
      <x:c r="W246" s="81"/>
      <x:c r="X246" s="81"/>
      <x:c r="Y246" s="81"/>
      <x:c r="Z246" s="81"/>
    </x:row>
    <x:row r="247">
      <x:c r="A247" s="81"/>
      <x:c r="B247" s="81"/>
      <x:c r="C247" s="81"/>
      <x:c r="D247" s="81"/>
      <x:c r="E247" s="81"/>
      <x:c r="F247" s="81"/>
      <x:c r="G247" s="81"/>
      <x:c r="H247" s="81"/>
      <x:c r="I247" s="81"/>
      <x:c r="J247" s="81"/>
      <x:c r="K247" s="81"/>
      <x:c r="L247" s="81"/>
      <x:c r="M247" s="81"/>
      <x:c r="N247" s="81"/>
      <x:c r="O247" s="81"/>
      <x:c r="P247" s="81"/>
      <x:c r="Q247" s="81"/>
      <x:c r="R247" s="81"/>
      <x:c r="S247" s="81"/>
      <x:c r="T247" s="81"/>
      <x:c r="U247" s="81"/>
      <x:c r="V247" s="81"/>
      <x:c r="W247" s="81"/>
      <x:c r="X247" s="81"/>
      <x:c r="Y247" s="81"/>
      <x:c r="Z247" s="81"/>
    </x:row>
    <x:row r="248">
      <x:c r="A248" s="81"/>
      <x:c r="B248" s="81"/>
      <x:c r="C248" s="81"/>
      <x:c r="D248" s="81"/>
      <x:c r="E248" s="81"/>
      <x:c r="F248" s="81"/>
      <x:c r="G248" s="81"/>
      <x:c r="H248" s="81"/>
      <x:c r="I248" s="81"/>
      <x:c r="J248" s="81"/>
      <x:c r="K248" s="81"/>
      <x:c r="L248" s="81"/>
      <x:c r="M248" s="81"/>
      <x:c r="N248" s="81"/>
      <x:c r="O248" s="81"/>
      <x:c r="P248" s="81"/>
      <x:c r="Q248" s="81"/>
      <x:c r="R248" s="81"/>
      <x:c r="S248" s="81"/>
      <x:c r="T248" s="81"/>
      <x:c r="U248" s="81"/>
      <x:c r="V248" s="81"/>
      <x:c r="W248" s="81"/>
      <x:c r="X248" s="81"/>
      <x:c r="Y248" s="81"/>
      <x:c r="Z248" s="81"/>
    </x:row>
    <x:row r="249">
      <x:c r="A249" s="81"/>
      <x:c r="B249" s="81"/>
      <x:c r="C249" s="81"/>
      <x:c r="D249" s="81"/>
      <x:c r="E249" s="81"/>
      <x:c r="F249" s="81"/>
      <x:c r="G249" s="81"/>
      <x:c r="H249" s="81"/>
      <x:c r="I249" s="81"/>
      <x:c r="J249" s="81"/>
      <x:c r="K249" s="81"/>
      <x:c r="L249" s="81"/>
      <x:c r="M249" s="81"/>
      <x:c r="N249" s="81"/>
      <x:c r="O249" s="81"/>
      <x:c r="P249" s="81"/>
      <x:c r="Q249" s="81"/>
      <x:c r="R249" s="81"/>
      <x:c r="S249" s="81"/>
      <x:c r="T249" s="81"/>
      <x:c r="U249" s="81"/>
      <x:c r="V249" s="81"/>
      <x:c r="W249" s="81"/>
      <x:c r="X249" s="81"/>
      <x:c r="Y249" s="81"/>
      <x:c r="Z249" s="81"/>
    </x:row>
    <x:row r="250">
      <x:c r="A250" s="81"/>
      <x:c r="B250" s="81"/>
      <x:c r="C250" s="81"/>
      <x:c r="D250" s="81"/>
      <x:c r="E250" s="81"/>
      <x:c r="F250" s="81"/>
      <x:c r="G250" s="81"/>
      <x:c r="H250" s="81"/>
      <x:c r="I250" s="81"/>
      <x:c r="J250" s="81"/>
      <x:c r="K250" s="81"/>
      <x:c r="L250" s="81"/>
      <x:c r="M250" s="81"/>
      <x:c r="N250" s="81"/>
      <x:c r="O250" s="81"/>
      <x:c r="P250" s="81"/>
      <x:c r="Q250" s="81"/>
      <x:c r="R250" s="81"/>
      <x:c r="S250" s="81"/>
      <x:c r="T250" s="81"/>
      <x:c r="U250" s="81"/>
      <x:c r="V250" s="81"/>
      <x:c r="W250" s="81"/>
      <x:c r="X250" s="81"/>
      <x:c r="Y250" s="81"/>
      <x:c r="Z250" s="81"/>
    </x:row>
    <x:row r="251">
      <x:c r="A251" s="81"/>
      <x:c r="B251" s="81"/>
      <x:c r="C251" s="81"/>
      <x:c r="D251" s="81"/>
      <x:c r="E251" s="81"/>
      <x:c r="F251" s="81"/>
      <x:c r="G251" s="81"/>
      <x:c r="H251" s="81"/>
      <x:c r="I251" s="81"/>
      <x:c r="J251" s="81"/>
      <x:c r="K251" s="81"/>
      <x:c r="L251" s="81"/>
      <x:c r="M251" s="81"/>
      <x:c r="N251" s="81"/>
      <x:c r="O251" s="81"/>
      <x:c r="P251" s="81"/>
      <x:c r="Q251" s="81"/>
      <x:c r="R251" s="81"/>
      <x:c r="S251" s="81"/>
      <x:c r="T251" s="81"/>
      <x:c r="U251" s="81"/>
      <x:c r="V251" s="81"/>
      <x:c r="W251" s="81"/>
      <x:c r="X251" s="81"/>
      <x:c r="Y251" s="81"/>
      <x:c r="Z251" s="81"/>
    </x:row>
    <x:row r="252">
      <x:c r="A252" s="81"/>
      <x:c r="B252" s="81"/>
      <x:c r="C252" s="81"/>
      <x:c r="D252" s="81"/>
      <x:c r="E252" s="81"/>
      <x:c r="F252" s="81"/>
      <x:c r="G252" s="81"/>
      <x:c r="H252" s="81"/>
      <x:c r="I252" s="81"/>
      <x:c r="J252" s="81"/>
      <x:c r="K252" s="81"/>
      <x:c r="L252" s="81"/>
      <x:c r="M252" s="81"/>
      <x:c r="N252" s="81"/>
      <x:c r="O252" s="81"/>
      <x:c r="P252" s="81"/>
      <x:c r="Q252" s="81"/>
      <x:c r="R252" s="81"/>
      <x:c r="S252" s="81"/>
      <x:c r="T252" s="81"/>
      <x:c r="U252" s="81"/>
      <x:c r="V252" s="81"/>
      <x:c r="W252" s="81"/>
      <x:c r="X252" s="81"/>
      <x:c r="Y252" s="81"/>
      <x:c r="Z252" s="81"/>
    </x:row>
    <x:row r="253">
      <x:c r="A253" s="81"/>
      <x:c r="B253" s="81"/>
      <x:c r="C253" s="81"/>
      <x:c r="D253" s="81"/>
      <x:c r="E253" s="81"/>
      <x:c r="F253" s="81"/>
      <x:c r="G253" s="81"/>
      <x:c r="H253" s="81"/>
      <x:c r="I253" s="81"/>
      <x:c r="J253" s="81"/>
      <x:c r="K253" s="81"/>
      <x:c r="L253" s="81"/>
      <x:c r="M253" s="81"/>
      <x:c r="N253" s="81"/>
      <x:c r="O253" s="81"/>
      <x:c r="P253" s="81"/>
      <x:c r="Q253" s="81"/>
      <x:c r="R253" s="81"/>
      <x:c r="S253" s="81"/>
      <x:c r="T253" s="81"/>
      <x:c r="U253" s="81"/>
      <x:c r="V253" s="81"/>
      <x:c r="W253" s="81"/>
      <x:c r="X253" s="81"/>
      <x:c r="Y253" s="81"/>
      <x:c r="Z253" s="81"/>
    </x:row>
    <x:row r="254">
      <x:c r="A254" s="81"/>
      <x:c r="B254" s="81"/>
      <x:c r="C254" s="81"/>
      <x:c r="D254" s="81"/>
      <x:c r="E254" s="81"/>
      <x:c r="F254" s="81"/>
      <x:c r="G254" s="81"/>
      <x:c r="H254" s="81"/>
      <x:c r="I254" s="81"/>
      <x:c r="J254" s="81"/>
      <x:c r="K254" s="81"/>
      <x:c r="L254" s="81"/>
      <x:c r="M254" s="81"/>
      <x:c r="N254" s="81"/>
      <x:c r="O254" s="81"/>
      <x:c r="P254" s="81"/>
      <x:c r="Q254" s="81"/>
      <x:c r="R254" s="81"/>
      <x:c r="S254" s="81"/>
      <x:c r="T254" s="81"/>
      <x:c r="U254" s="81"/>
      <x:c r="V254" s="81"/>
      <x:c r="W254" s="81"/>
      <x:c r="X254" s="81"/>
      <x:c r="Y254" s="81"/>
      <x:c r="Z254" s="81"/>
    </x:row>
    <x:row r="255">
      <x:c r="A255" s="81"/>
      <x:c r="B255" s="81"/>
      <x:c r="C255" s="81"/>
      <x:c r="D255" s="81"/>
      <x:c r="E255" s="81"/>
      <x:c r="F255" s="81"/>
      <x:c r="G255" s="81"/>
      <x:c r="H255" s="81"/>
      <x:c r="I255" s="81"/>
      <x:c r="J255" s="81"/>
      <x:c r="K255" s="81"/>
      <x:c r="L255" s="81"/>
      <x:c r="M255" s="81"/>
      <x:c r="N255" s="81"/>
      <x:c r="O255" s="81"/>
      <x:c r="P255" s="81"/>
      <x:c r="Q255" s="81"/>
      <x:c r="R255" s="81"/>
      <x:c r="S255" s="81"/>
      <x:c r="T255" s="81"/>
      <x:c r="U255" s="81"/>
      <x:c r="V255" s="81"/>
      <x:c r="W255" s="81"/>
      <x:c r="X255" s="81"/>
      <x:c r="Y255" s="81"/>
      <x:c r="Z255" s="81"/>
    </x:row>
    <x:row r="256">
      <x:c r="A256" s="81"/>
      <x:c r="B256" s="81"/>
      <x:c r="C256" s="81"/>
      <x:c r="D256" s="81"/>
      <x:c r="E256" s="81"/>
      <x:c r="F256" s="81"/>
      <x:c r="G256" s="81"/>
      <x:c r="H256" s="81"/>
      <x:c r="I256" s="81"/>
      <x:c r="J256" s="81"/>
      <x:c r="K256" s="81"/>
      <x:c r="L256" s="81"/>
      <x:c r="M256" s="81"/>
      <x:c r="N256" s="81"/>
      <x:c r="O256" s="81"/>
      <x:c r="P256" s="81"/>
      <x:c r="Q256" s="81"/>
      <x:c r="R256" s="81"/>
      <x:c r="S256" s="81"/>
      <x:c r="T256" s="81"/>
      <x:c r="U256" s="81"/>
      <x:c r="V256" s="81"/>
      <x:c r="W256" s="81"/>
      <x:c r="X256" s="81"/>
      <x:c r="Y256" s="81"/>
      <x:c r="Z256" s="81"/>
    </x:row>
    <x:row r="257">
      <x:c r="A257" s="81"/>
      <x:c r="B257" s="81"/>
      <x:c r="C257" s="81"/>
      <x:c r="D257" s="81"/>
      <x:c r="E257" s="81"/>
      <x:c r="F257" s="81"/>
      <x:c r="G257" s="81"/>
      <x:c r="H257" s="81"/>
      <x:c r="I257" s="81"/>
      <x:c r="J257" s="81"/>
      <x:c r="K257" s="81"/>
      <x:c r="L257" s="81"/>
      <x:c r="M257" s="81"/>
      <x:c r="N257" s="81"/>
      <x:c r="O257" s="81"/>
      <x:c r="P257" s="81"/>
      <x:c r="Q257" s="81"/>
      <x:c r="R257" s="81"/>
      <x:c r="S257" s="81"/>
      <x:c r="T257" s="81"/>
      <x:c r="U257" s="81"/>
      <x:c r="V257" s="81"/>
      <x:c r="W257" s="81"/>
      <x:c r="X257" s="81"/>
      <x:c r="Y257" s="81"/>
      <x:c r="Z257" s="81"/>
    </x:row>
    <x:row r="258">
      <x:c r="A258" s="81"/>
      <x:c r="B258" s="81"/>
      <x:c r="C258" s="81"/>
      <x:c r="D258" s="81"/>
      <x:c r="E258" s="81"/>
      <x:c r="F258" s="81"/>
      <x:c r="G258" s="81"/>
      <x:c r="H258" s="81"/>
      <x:c r="I258" s="81"/>
      <x:c r="J258" s="81"/>
      <x:c r="K258" s="81"/>
      <x:c r="L258" s="81"/>
      <x:c r="M258" s="81"/>
      <x:c r="N258" s="81"/>
      <x:c r="O258" s="81"/>
      <x:c r="P258" s="81"/>
      <x:c r="Q258" s="81"/>
      <x:c r="R258" s="81"/>
      <x:c r="S258" s="81"/>
      <x:c r="T258" s="81"/>
      <x:c r="U258" s="81"/>
      <x:c r="V258" s="81"/>
      <x:c r="W258" s="81"/>
      <x:c r="X258" s="81"/>
      <x:c r="Y258" s="81"/>
      <x:c r="Z258" s="81"/>
    </x:row>
    <x:row r="259">
      <x:c r="A259" s="81"/>
      <x:c r="B259" s="81"/>
      <x:c r="C259" s="81"/>
      <x:c r="D259" s="81"/>
      <x:c r="E259" s="81"/>
      <x:c r="F259" s="81"/>
      <x:c r="G259" s="81"/>
      <x:c r="H259" s="81"/>
      <x:c r="I259" s="81"/>
      <x:c r="J259" s="81"/>
      <x:c r="K259" s="81"/>
      <x:c r="L259" s="81"/>
      <x:c r="M259" s="81"/>
      <x:c r="N259" s="81"/>
      <x:c r="O259" s="81"/>
      <x:c r="P259" s="81"/>
      <x:c r="Q259" s="81"/>
      <x:c r="R259" s="81"/>
      <x:c r="S259" s="81"/>
      <x:c r="T259" s="81"/>
      <x:c r="U259" s="81"/>
      <x:c r="V259" s="81"/>
      <x:c r="W259" s="81"/>
      <x:c r="X259" s="81"/>
      <x:c r="Y259" s="81"/>
      <x:c r="Z259" s="81"/>
    </x:row>
    <x:row r="260">
      <x:c r="A260" s="81"/>
      <x:c r="B260" s="81"/>
      <x:c r="C260" s="81"/>
      <x:c r="D260" s="81"/>
      <x:c r="E260" s="81"/>
      <x:c r="F260" s="81"/>
      <x:c r="G260" s="81"/>
      <x:c r="H260" s="81"/>
      <x:c r="I260" s="81"/>
      <x:c r="J260" s="81"/>
      <x:c r="K260" s="81"/>
      <x:c r="L260" s="81"/>
      <x:c r="M260" s="81"/>
      <x:c r="N260" s="81"/>
      <x:c r="O260" s="81"/>
      <x:c r="P260" s="81"/>
      <x:c r="Q260" s="81"/>
      <x:c r="R260" s="81"/>
      <x:c r="S260" s="81"/>
      <x:c r="T260" s="81"/>
      <x:c r="U260" s="81"/>
      <x:c r="V260" s="81"/>
      <x:c r="W260" s="81"/>
      <x:c r="X260" s="81"/>
      <x:c r="Y260" s="81"/>
      <x:c r="Z260" s="81"/>
    </x:row>
    <x:row r="261">
      <x:c r="A261" s="81"/>
      <x:c r="B261" s="81"/>
      <x:c r="C261" s="81"/>
      <x:c r="D261" s="81"/>
      <x:c r="E261" s="81"/>
      <x:c r="F261" s="81"/>
      <x:c r="G261" s="81"/>
      <x:c r="H261" s="81"/>
      <x:c r="I261" s="81"/>
      <x:c r="J261" s="81"/>
      <x:c r="K261" s="81"/>
      <x:c r="L261" s="81"/>
      <x:c r="M261" s="81"/>
      <x:c r="N261" s="81"/>
      <x:c r="O261" s="81"/>
      <x:c r="P261" s="81"/>
      <x:c r="Q261" s="81"/>
      <x:c r="R261" s="81"/>
      <x:c r="S261" s="81"/>
      <x:c r="T261" s="81"/>
      <x:c r="U261" s="81"/>
      <x:c r="V261" s="81"/>
      <x:c r="W261" s="81"/>
      <x:c r="X261" s="81"/>
      <x:c r="Y261" s="81"/>
      <x:c r="Z261" s="81"/>
    </x:row>
    <x:row r="262">
      <x:c r="A262" s="81"/>
      <x:c r="B262" s="81"/>
      <x:c r="C262" s="81"/>
      <x:c r="D262" s="81"/>
      <x:c r="E262" s="81"/>
      <x:c r="F262" s="81"/>
      <x:c r="G262" s="81"/>
      <x:c r="H262" s="81"/>
      <x:c r="I262" s="81"/>
      <x:c r="J262" s="81"/>
      <x:c r="K262" s="81"/>
      <x:c r="L262" s="81"/>
      <x:c r="M262" s="81"/>
      <x:c r="N262" s="81"/>
      <x:c r="O262" s="81"/>
      <x:c r="P262" s="81"/>
      <x:c r="Q262" s="81"/>
      <x:c r="R262" s="81"/>
      <x:c r="S262" s="81"/>
      <x:c r="T262" s="81"/>
      <x:c r="U262" s="81"/>
      <x:c r="V262" s="81"/>
      <x:c r="W262" s="81"/>
      <x:c r="X262" s="81"/>
      <x:c r="Y262" s="81"/>
      <x:c r="Z262" s="81"/>
    </x:row>
    <x:row r="263">
      <x:c r="A263" s="81"/>
      <x:c r="B263" s="81"/>
      <x:c r="C263" s="81"/>
      <x:c r="D263" s="81"/>
      <x:c r="E263" s="81"/>
      <x:c r="F263" s="81"/>
      <x:c r="G263" s="81"/>
      <x:c r="H263" s="81"/>
      <x:c r="I263" s="81"/>
      <x:c r="J263" s="81"/>
      <x:c r="K263" s="81"/>
      <x:c r="L263" s="81"/>
      <x:c r="M263" s="81"/>
      <x:c r="N263" s="81"/>
      <x:c r="O263" s="81"/>
      <x:c r="P263" s="81"/>
      <x:c r="Q263" s="81"/>
      <x:c r="R263" s="81"/>
      <x:c r="S263" s="81"/>
      <x:c r="T263" s="81"/>
      <x:c r="U263" s="81"/>
      <x:c r="V263" s="81"/>
      <x:c r="W263" s="81"/>
      <x:c r="X263" s="81"/>
      <x:c r="Y263" s="81"/>
      <x:c r="Z263" s="81"/>
    </x:row>
    <x:row r="264">
      <x:c r="A264" s="81"/>
      <x:c r="B264" s="81"/>
      <x:c r="C264" s="81"/>
      <x:c r="D264" s="81"/>
      <x:c r="E264" s="81"/>
      <x:c r="F264" s="81"/>
      <x:c r="G264" s="81"/>
      <x:c r="H264" s="81"/>
      <x:c r="I264" s="81"/>
      <x:c r="J264" s="81"/>
      <x:c r="K264" s="81"/>
      <x:c r="L264" s="81"/>
      <x:c r="M264" s="81"/>
      <x:c r="N264" s="81"/>
      <x:c r="O264" s="81"/>
      <x:c r="P264" s="81"/>
      <x:c r="Q264" s="81"/>
      <x:c r="R264" s="81"/>
      <x:c r="S264" s="81"/>
      <x:c r="T264" s="81"/>
      <x:c r="U264" s="81"/>
      <x:c r="V264" s="81"/>
      <x:c r="W264" s="81"/>
      <x:c r="X264" s="81"/>
      <x:c r="Y264" s="81"/>
      <x:c r="Z264" s="81"/>
    </x:row>
    <x:row r="265">
      <x:c r="A265" s="81"/>
      <x:c r="B265" s="81"/>
      <x:c r="C265" s="81"/>
      <x:c r="D265" s="81"/>
      <x:c r="E265" s="81"/>
      <x:c r="F265" s="81"/>
      <x:c r="G265" s="81"/>
      <x:c r="H265" s="81"/>
      <x:c r="I265" s="81"/>
      <x:c r="J265" s="81"/>
      <x:c r="K265" s="81"/>
      <x:c r="L265" s="81"/>
      <x:c r="M265" s="81"/>
      <x:c r="N265" s="81"/>
      <x:c r="O265" s="81"/>
      <x:c r="P265" s="81"/>
      <x:c r="Q265" s="81"/>
      <x:c r="R265" s="81"/>
      <x:c r="S265" s="81"/>
      <x:c r="T265" s="81"/>
      <x:c r="U265" s="81"/>
      <x:c r="V265" s="81"/>
      <x:c r="W265" s="81"/>
      <x:c r="X265" s="81"/>
      <x:c r="Y265" s="81"/>
      <x:c r="Z265" s="81"/>
    </x:row>
    <x:row r="266">
      <x:c r="A266" s="81"/>
      <x:c r="B266" s="81"/>
      <x:c r="C266" s="81"/>
      <x:c r="D266" s="81"/>
      <x:c r="E266" s="81"/>
      <x:c r="F266" s="81"/>
      <x:c r="G266" s="81"/>
      <x:c r="H266" s="81"/>
      <x:c r="I266" s="81"/>
      <x:c r="J266" s="81"/>
      <x:c r="K266" s="81"/>
      <x:c r="L266" s="81"/>
      <x:c r="M266" s="81"/>
      <x:c r="N266" s="81"/>
      <x:c r="O266" s="81"/>
      <x:c r="P266" s="81"/>
      <x:c r="Q266" s="81"/>
      <x:c r="R266" s="81"/>
      <x:c r="S266" s="81"/>
      <x:c r="T266" s="81"/>
      <x:c r="U266" s="81"/>
      <x:c r="V266" s="81"/>
      <x:c r="W266" s="81"/>
      <x:c r="X266" s="81"/>
      <x:c r="Y266" s="81"/>
      <x:c r="Z266" s="81"/>
    </x:row>
    <x:row r="267">
      <x:c r="A267" s="81"/>
      <x:c r="B267" s="81"/>
      <x:c r="C267" s="81"/>
      <x:c r="D267" s="81"/>
      <x:c r="E267" s="81"/>
      <x:c r="F267" s="81"/>
      <x:c r="G267" s="81"/>
      <x:c r="H267" s="81"/>
      <x:c r="I267" s="81"/>
      <x:c r="J267" s="81"/>
      <x:c r="K267" s="81"/>
      <x:c r="L267" s="81"/>
      <x:c r="M267" s="81"/>
      <x:c r="N267" s="81"/>
      <x:c r="O267" s="81"/>
      <x:c r="P267" s="81"/>
      <x:c r="Q267" s="81"/>
      <x:c r="R267" s="81"/>
      <x:c r="S267" s="81"/>
      <x:c r="T267" s="81"/>
      <x:c r="U267" s="81"/>
      <x:c r="V267" s="81"/>
      <x:c r="W267" s="81"/>
      <x:c r="X267" s="81"/>
      <x:c r="Y267" s="81"/>
      <x:c r="Z267" s="81"/>
    </x:row>
    <x:row r="268">
      <x:c r="A268" s="81"/>
      <x:c r="B268" s="81"/>
      <x:c r="C268" s="81"/>
      <x:c r="D268" s="81"/>
      <x:c r="E268" s="81"/>
      <x:c r="F268" s="81"/>
      <x:c r="G268" s="81"/>
      <x:c r="H268" s="81"/>
      <x:c r="I268" s="81"/>
      <x:c r="J268" s="81"/>
      <x:c r="K268" s="81"/>
      <x:c r="L268" s="81"/>
      <x:c r="M268" s="81"/>
      <x:c r="N268" s="81"/>
      <x:c r="O268" s="81"/>
      <x:c r="P268" s="81"/>
      <x:c r="Q268" s="81"/>
      <x:c r="R268" s="81"/>
      <x:c r="S268" s="81"/>
      <x:c r="T268" s="81"/>
      <x:c r="U268" s="81"/>
      <x:c r="V268" s="81"/>
      <x:c r="W268" s="81"/>
      <x:c r="X268" s="81"/>
      <x:c r="Y268" s="81"/>
      <x:c r="Z268" s="81"/>
    </x:row>
    <x:row r="269">
      <x:c r="A269" s="81"/>
      <x:c r="B269" s="81"/>
      <x:c r="C269" s="81"/>
      <x:c r="D269" s="81"/>
      <x:c r="E269" s="81"/>
      <x:c r="F269" s="81"/>
      <x:c r="G269" s="81"/>
      <x:c r="H269" s="81"/>
      <x:c r="I269" s="81"/>
      <x:c r="J269" s="81"/>
      <x:c r="K269" s="81"/>
      <x:c r="L269" s="81"/>
      <x:c r="M269" s="81"/>
      <x:c r="N269" s="81"/>
      <x:c r="O269" s="81"/>
      <x:c r="P269" s="81"/>
      <x:c r="Q269" s="81"/>
      <x:c r="R269" s="81"/>
      <x:c r="S269" s="81"/>
      <x:c r="T269" s="81"/>
      <x:c r="U269" s="81"/>
      <x:c r="V269" s="81"/>
      <x:c r="W269" s="81"/>
      <x:c r="X269" s="81"/>
      <x:c r="Y269" s="81"/>
      <x:c r="Z269" s="81"/>
    </x:row>
    <x:row r="270">
      <x:c r="A270" s="81"/>
      <x:c r="B270" s="81"/>
      <x:c r="C270" s="81"/>
      <x:c r="D270" s="81"/>
      <x:c r="E270" s="81"/>
      <x:c r="F270" s="81"/>
      <x:c r="G270" s="81"/>
      <x:c r="H270" s="81"/>
      <x:c r="I270" s="81"/>
      <x:c r="J270" s="81"/>
      <x:c r="K270" s="81"/>
      <x:c r="L270" s="81"/>
      <x:c r="M270" s="81"/>
      <x:c r="N270" s="81"/>
      <x:c r="O270" s="81"/>
      <x:c r="P270" s="81"/>
      <x:c r="Q270" s="81"/>
      <x:c r="R270" s="81"/>
      <x:c r="S270" s="81"/>
      <x:c r="T270" s="81"/>
      <x:c r="U270" s="81"/>
      <x:c r="V270" s="81"/>
      <x:c r="W270" s="81"/>
      <x:c r="X270" s="81"/>
      <x:c r="Y270" s="81"/>
      <x:c r="Z270" s="81"/>
    </x:row>
    <x:row r="271">
      <x:c r="A271" s="81"/>
      <x:c r="B271" s="81"/>
      <x:c r="C271" s="81"/>
      <x:c r="D271" s="81"/>
      <x:c r="E271" s="81"/>
      <x:c r="F271" s="81"/>
      <x:c r="G271" s="81"/>
      <x:c r="H271" s="81"/>
      <x:c r="I271" s="81"/>
      <x:c r="J271" s="81"/>
      <x:c r="K271" s="81"/>
      <x:c r="L271" s="81"/>
      <x:c r="M271" s="81"/>
      <x:c r="N271" s="81"/>
      <x:c r="O271" s="81"/>
      <x:c r="P271" s="81"/>
      <x:c r="Q271" s="81"/>
      <x:c r="R271" s="81"/>
      <x:c r="S271" s="81"/>
      <x:c r="T271" s="81"/>
      <x:c r="U271" s="81"/>
      <x:c r="V271" s="81"/>
      <x:c r="W271" s="81"/>
      <x:c r="X271" s="81"/>
      <x:c r="Y271" s="81"/>
      <x:c r="Z271" s="81"/>
    </x:row>
    <x:row r="272">
      <x:c r="A272" s="81"/>
      <x:c r="B272" s="81"/>
      <x:c r="C272" s="81"/>
      <x:c r="D272" s="81"/>
      <x:c r="E272" s="81"/>
      <x:c r="F272" s="81"/>
      <x:c r="G272" s="81"/>
      <x:c r="H272" s="81"/>
      <x:c r="I272" s="81"/>
      <x:c r="J272" s="81"/>
      <x:c r="K272" s="81"/>
      <x:c r="L272" s="81"/>
      <x:c r="M272" s="81"/>
      <x:c r="N272" s="81"/>
      <x:c r="O272" s="81"/>
      <x:c r="P272" s="81"/>
      <x:c r="Q272" s="81"/>
      <x:c r="R272" s="81"/>
      <x:c r="S272" s="81"/>
      <x:c r="T272" s="81"/>
      <x:c r="U272" s="81"/>
      <x:c r="V272" s="81"/>
      <x:c r="W272" s="81"/>
      <x:c r="X272" s="81"/>
      <x:c r="Y272" s="81"/>
      <x:c r="Z272" s="81"/>
    </x:row>
    <x:row r="273">
      <x:c r="A273" s="81"/>
      <x:c r="B273" s="81"/>
      <x:c r="C273" s="81"/>
      <x:c r="D273" s="81"/>
      <x:c r="E273" s="81"/>
      <x:c r="F273" s="81"/>
      <x:c r="G273" s="81"/>
      <x:c r="H273" s="81"/>
      <x:c r="I273" s="81"/>
      <x:c r="J273" s="81"/>
      <x:c r="K273" s="81"/>
      <x:c r="L273" s="81"/>
      <x:c r="M273" s="81"/>
      <x:c r="N273" s="81"/>
      <x:c r="O273" s="81"/>
      <x:c r="P273" s="81"/>
      <x:c r="Q273" s="81"/>
      <x:c r="R273" s="81"/>
      <x:c r="S273" s="81"/>
      <x:c r="T273" s="81"/>
      <x:c r="U273" s="81"/>
      <x:c r="V273" s="81"/>
      <x:c r="W273" s="81"/>
      <x:c r="X273" s="81"/>
      <x:c r="Y273" s="81"/>
      <x:c r="Z273" s="81"/>
    </x:row>
    <x:row r="274">
      <x:c r="A274" s="81"/>
      <x:c r="B274" s="81"/>
      <x:c r="C274" s="81"/>
      <x:c r="D274" s="81"/>
      <x:c r="E274" s="81"/>
      <x:c r="F274" s="81"/>
      <x:c r="G274" s="81"/>
      <x:c r="H274" s="81"/>
      <x:c r="I274" s="81"/>
      <x:c r="J274" s="81"/>
      <x:c r="K274" s="81"/>
      <x:c r="L274" s="81"/>
      <x:c r="M274" s="81"/>
      <x:c r="N274" s="81"/>
      <x:c r="O274" s="81"/>
      <x:c r="P274" s="81"/>
      <x:c r="Q274" s="81"/>
      <x:c r="R274" s="81"/>
      <x:c r="S274" s="81"/>
      <x:c r="T274" s="81"/>
      <x:c r="U274" s="81"/>
      <x:c r="V274" s="81"/>
      <x:c r="W274" s="81"/>
      <x:c r="X274" s="81"/>
      <x:c r="Y274" s="81"/>
      <x:c r="Z274" s="81"/>
    </x:row>
    <x:row r="275">
      <x:c r="A275" s="81"/>
      <x:c r="B275" s="81"/>
      <x:c r="C275" s="81"/>
      <x:c r="D275" s="81"/>
      <x:c r="E275" s="81"/>
      <x:c r="F275" s="81"/>
      <x:c r="G275" s="81"/>
      <x:c r="H275" s="81"/>
      <x:c r="I275" s="81"/>
      <x:c r="J275" s="81"/>
      <x:c r="K275" s="81"/>
      <x:c r="L275" s="81"/>
      <x:c r="M275" s="81"/>
      <x:c r="N275" s="81"/>
      <x:c r="O275" s="81"/>
      <x:c r="P275" s="81"/>
      <x:c r="Q275" s="81"/>
      <x:c r="R275" s="81"/>
      <x:c r="S275" s="81"/>
      <x:c r="T275" s="81"/>
      <x:c r="U275" s="81"/>
      <x:c r="V275" s="81"/>
      <x:c r="W275" s="81"/>
      <x:c r="X275" s="81"/>
      <x:c r="Y275" s="81"/>
      <x:c r="Z275" s="81"/>
    </x:row>
    <x:row r="276">
      <x:c r="A276" s="81"/>
      <x:c r="B276" s="81"/>
      <x:c r="C276" s="81"/>
      <x:c r="D276" s="81"/>
      <x:c r="E276" s="81"/>
      <x:c r="F276" s="81"/>
      <x:c r="G276" s="81"/>
      <x:c r="H276" s="81"/>
      <x:c r="I276" s="81"/>
      <x:c r="J276" s="81"/>
      <x:c r="K276" s="81"/>
      <x:c r="L276" s="81"/>
      <x:c r="M276" s="81"/>
      <x:c r="N276" s="81"/>
      <x:c r="O276" s="81"/>
      <x:c r="P276" s="81"/>
      <x:c r="Q276" s="81"/>
      <x:c r="R276" s="81"/>
      <x:c r="S276" s="81"/>
      <x:c r="T276" s="81"/>
      <x:c r="U276" s="81"/>
      <x:c r="V276" s="81"/>
      <x:c r="W276" s="81"/>
      <x:c r="X276" s="81"/>
      <x:c r="Y276" s="81"/>
      <x:c r="Z276" s="81"/>
    </x:row>
    <x:row r="277">
      <x:c r="A277" s="81"/>
      <x:c r="B277" s="81"/>
      <x:c r="C277" s="81"/>
      <x:c r="D277" s="81"/>
      <x:c r="E277" s="81"/>
      <x:c r="F277" s="81"/>
      <x:c r="G277" s="81"/>
      <x:c r="H277" s="81"/>
      <x:c r="I277" s="81"/>
      <x:c r="J277" s="81"/>
      <x:c r="K277" s="81"/>
      <x:c r="L277" s="81"/>
      <x:c r="M277" s="81"/>
      <x:c r="N277" s="81"/>
      <x:c r="O277" s="81"/>
      <x:c r="P277" s="81"/>
      <x:c r="Q277" s="81"/>
      <x:c r="R277" s="81"/>
      <x:c r="S277" s="81"/>
      <x:c r="T277" s="81"/>
      <x:c r="U277" s="81"/>
      <x:c r="V277" s="81"/>
      <x:c r="W277" s="81"/>
      <x:c r="X277" s="81"/>
      <x:c r="Y277" s="81"/>
      <x:c r="Z277" s="81"/>
    </x:row>
    <x:row r="278">
      <x:c r="A278" s="81"/>
      <x:c r="B278" s="81"/>
      <x:c r="C278" s="81"/>
      <x:c r="D278" s="81"/>
      <x:c r="E278" s="81"/>
      <x:c r="F278" s="81"/>
      <x:c r="G278" s="81"/>
      <x:c r="H278" s="81"/>
      <x:c r="I278" s="81"/>
      <x:c r="J278" s="81"/>
      <x:c r="K278" s="81"/>
      <x:c r="L278" s="81"/>
      <x:c r="M278" s="81"/>
      <x:c r="N278" s="81"/>
      <x:c r="O278" s="81"/>
      <x:c r="P278" s="81"/>
      <x:c r="Q278" s="81"/>
      <x:c r="R278" s="81"/>
      <x:c r="S278" s="81"/>
      <x:c r="T278" s="81"/>
      <x:c r="U278" s="81"/>
      <x:c r="V278" s="81"/>
      <x:c r="W278" s="81"/>
      <x:c r="X278" s="81"/>
      <x:c r="Y278" s="81"/>
      <x:c r="Z278" s="81"/>
    </x:row>
    <x:row r="279">
      <x:c r="A279" s="81"/>
      <x:c r="B279" s="81"/>
      <x:c r="C279" s="81"/>
      <x:c r="D279" s="81"/>
      <x:c r="E279" s="81"/>
      <x:c r="F279" s="81"/>
      <x:c r="G279" s="81"/>
      <x:c r="H279" s="81"/>
      <x:c r="I279" s="81"/>
      <x:c r="J279" s="81"/>
      <x:c r="K279" s="81"/>
      <x:c r="L279" s="81"/>
      <x:c r="M279" s="81"/>
      <x:c r="N279" s="81"/>
      <x:c r="O279" s="81"/>
      <x:c r="P279" s="81"/>
      <x:c r="Q279" s="81"/>
      <x:c r="R279" s="81"/>
      <x:c r="S279" s="81"/>
      <x:c r="T279" s="81"/>
      <x:c r="U279" s="81"/>
      <x:c r="V279" s="81"/>
      <x:c r="W279" s="81"/>
      <x:c r="X279" s="81"/>
      <x:c r="Y279" s="81"/>
      <x:c r="Z279" s="81"/>
    </x:row>
    <x:row r="280">
      <x:c r="A280" s="81"/>
      <x:c r="B280" s="81"/>
      <x:c r="C280" s="81"/>
      <x:c r="D280" s="81"/>
      <x:c r="E280" s="81"/>
      <x:c r="F280" s="81"/>
      <x:c r="G280" s="81"/>
      <x:c r="H280" s="81"/>
      <x:c r="I280" s="81"/>
      <x:c r="J280" s="81"/>
      <x:c r="K280" s="81"/>
      <x:c r="L280" s="81"/>
      <x:c r="M280" s="81"/>
      <x:c r="N280" s="81"/>
      <x:c r="O280" s="81"/>
      <x:c r="P280" s="81"/>
      <x:c r="Q280" s="81"/>
      <x:c r="R280" s="81"/>
      <x:c r="S280" s="81"/>
      <x:c r="T280" s="81"/>
      <x:c r="U280" s="81"/>
      <x:c r="V280" s="81"/>
      <x:c r="W280" s="81"/>
      <x:c r="X280" s="81"/>
      <x:c r="Y280" s="81"/>
      <x:c r="Z280" s="81"/>
    </x:row>
    <x:row r="281">
      <x:c r="A281" s="81"/>
      <x:c r="B281" s="81"/>
      <x:c r="C281" s="81"/>
      <x:c r="D281" s="81"/>
      <x:c r="E281" s="81"/>
      <x:c r="F281" s="81"/>
      <x:c r="G281" s="81"/>
      <x:c r="H281" s="81"/>
      <x:c r="I281" s="81"/>
      <x:c r="J281" s="81"/>
      <x:c r="K281" s="81"/>
      <x:c r="L281" s="81"/>
      <x:c r="M281" s="81"/>
      <x:c r="N281" s="81"/>
      <x:c r="O281" s="81"/>
      <x:c r="P281" s="81"/>
      <x:c r="Q281" s="81"/>
      <x:c r="R281" s="81"/>
      <x:c r="S281" s="81"/>
      <x:c r="T281" s="81"/>
      <x:c r="U281" s="81"/>
      <x:c r="V281" s="81"/>
      <x:c r="W281" s="81"/>
      <x:c r="X281" s="81"/>
      <x:c r="Y281" s="81"/>
      <x:c r="Z281" s="81"/>
    </x:row>
    <x:row r="282">
      <x:c r="A282" s="81"/>
      <x:c r="B282" s="81"/>
      <x:c r="C282" s="81"/>
      <x:c r="D282" s="81"/>
      <x:c r="E282" s="81"/>
      <x:c r="F282" s="81"/>
      <x:c r="G282" s="81"/>
      <x:c r="H282" s="81"/>
      <x:c r="I282" s="81"/>
      <x:c r="J282" s="81"/>
      <x:c r="K282" s="81"/>
      <x:c r="L282" s="81"/>
      <x:c r="M282" s="81"/>
      <x:c r="N282" s="81"/>
      <x:c r="O282" s="81"/>
      <x:c r="P282" s="81"/>
      <x:c r="Q282" s="81"/>
      <x:c r="R282" s="81"/>
      <x:c r="S282" s="81"/>
      <x:c r="T282" s="81"/>
      <x:c r="U282" s="81"/>
      <x:c r="V282" s="81"/>
      <x:c r="W282" s="81"/>
      <x:c r="X282" s="81"/>
      <x:c r="Y282" s="81"/>
      <x:c r="Z282" s="81"/>
    </x:row>
    <x:row r="283">
      <x:c r="A283" s="81"/>
      <x:c r="B283" s="81"/>
      <x:c r="C283" s="81"/>
      <x:c r="D283" s="81"/>
      <x:c r="E283" s="81"/>
      <x:c r="F283" s="81"/>
      <x:c r="G283" s="81"/>
      <x:c r="H283" s="81"/>
      <x:c r="I283" s="81"/>
      <x:c r="J283" s="81"/>
      <x:c r="K283" s="81"/>
      <x:c r="L283" s="81"/>
      <x:c r="M283" s="81"/>
      <x:c r="N283" s="81"/>
      <x:c r="O283" s="81"/>
      <x:c r="P283" s="81"/>
      <x:c r="Q283" s="81"/>
      <x:c r="R283" s="81"/>
      <x:c r="S283" s="81"/>
      <x:c r="T283" s="81"/>
      <x:c r="U283" s="81"/>
      <x:c r="V283" s="81"/>
      <x:c r="W283" s="81"/>
      <x:c r="X283" s="81"/>
      <x:c r="Y283" s="81"/>
      <x:c r="Z283" s="81"/>
    </x:row>
    <x:row r="284">
      <x:c r="A284" s="81"/>
      <x:c r="B284" s="81"/>
      <x:c r="C284" s="81"/>
      <x:c r="D284" s="81"/>
      <x:c r="E284" s="81"/>
      <x:c r="F284" s="81"/>
      <x:c r="G284" s="81"/>
      <x:c r="H284" s="81"/>
      <x:c r="I284" s="81"/>
      <x:c r="J284" s="81"/>
      <x:c r="K284" s="81"/>
      <x:c r="L284" s="81"/>
      <x:c r="M284" s="81"/>
      <x:c r="N284" s="81"/>
      <x:c r="O284" s="81"/>
      <x:c r="P284" s="81"/>
      <x:c r="Q284" s="81"/>
      <x:c r="R284" s="81"/>
      <x:c r="S284" s="81"/>
      <x:c r="T284" s="81"/>
      <x:c r="U284" s="81"/>
      <x:c r="V284" s="81"/>
      <x:c r="W284" s="81"/>
      <x:c r="X284" s="81"/>
      <x:c r="Y284" s="81"/>
      <x:c r="Z284" s="81"/>
    </x:row>
    <x:row r="285">
      <x:c r="A285" s="81"/>
      <x:c r="B285" s="81"/>
      <x:c r="C285" s="81"/>
      <x:c r="D285" s="81"/>
      <x:c r="E285" s="81"/>
      <x:c r="F285" s="81"/>
      <x:c r="G285" s="81"/>
      <x:c r="H285" s="81"/>
      <x:c r="I285" s="81"/>
      <x:c r="J285" s="81"/>
      <x:c r="K285" s="81"/>
      <x:c r="L285" s="81"/>
      <x:c r="M285" s="81"/>
      <x:c r="N285" s="81"/>
      <x:c r="O285" s="81"/>
      <x:c r="P285" s="81"/>
      <x:c r="Q285" s="81"/>
      <x:c r="R285" s="81"/>
      <x:c r="S285" s="81"/>
      <x:c r="T285" s="81"/>
      <x:c r="U285" s="81"/>
      <x:c r="V285" s="81"/>
      <x:c r="W285" s="81"/>
      <x:c r="X285" s="81"/>
      <x:c r="Y285" s="81"/>
      <x:c r="Z285" s="81"/>
    </x:row>
    <x:row r="286">
      <x:c r="A286" s="81"/>
      <x:c r="B286" s="81"/>
      <x:c r="C286" s="81"/>
      <x:c r="D286" s="81"/>
      <x:c r="E286" s="81"/>
      <x:c r="F286" s="81"/>
      <x:c r="G286" s="81"/>
      <x:c r="H286" s="81"/>
      <x:c r="I286" s="81"/>
      <x:c r="J286" s="81"/>
      <x:c r="K286" s="81"/>
      <x:c r="L286" s="81"/>
      <x:c r="M286" s="81"/>
      <x:c r="N286" s="81"/>
      <x:c r="O286" s="81"/>
      <x:c r="P286" s="81"/>
      <x:c r="Q286" s="81"/>
      <x:c r="R286" s="81"/>
      <x:c r="S286" s="81"/>
      <x:c r="T286" s="81"/>
      <x:c r="U286" s="81"/>
      <x:c r="V286" s="81"/>
      <x:c r="W286" s="81"/>
      <x:c r="X286" s="81"/>
      <x:c r="Y286" s="81"/>
      <x:c r="Z286" s="81"/>
    </x:row>
    <x:row r="287">
      <x:c r="A287" s="81"/>
      <x:c r="B287" s="81"/>
      <x:c r="C287" s="81"/>
      <x:c r="D287" s="81"/>
      <x:c r="E287" s="81"/>
      <x:c r="F287" s="81"/>
      <x:c r="G287" s="81"/>
      <x:c r="H287" s="81"/>
      <x:c r="I287" s="81"/>
      <x:c r="J287" s="81"/>
      <x:c r="K287" s="81"/>
      <x:c r="L287" s="81"/>
      <x:c r="M287" s="81"/>
      <x:c r="N287" s="81"/>
      <x:c r="O287" s="81"/>
      <x:c r="P287" s="81"/>
      <x:c r="Q287" s="81"/>
      <x:c r="R287" s="81"/>
      <x:c r="S287" s="81"/>
      <x:c r="T287" s="81"/>
      <x:c r="U287" s="81"/>
      <x:c r="V287" s="81"/>
      <x:c r="W287" s="81"/>
      <x:c r="X287" s="81"/>
      <x:c r="Y287" s="81"/>
      <x:c r="Z287" s="81"/>
    </x:row>
    <x:row r="288">
      <x:c r="A288" s="81"/>
      <x:c r="B288" s="81"/>
      <x:c r="C288" s="81"/>
      <x:c r="D288" s="81"/>
      <x:c r="E288" s="81"/>
      <x:c r="F288" s="81"/>
      <x:c r="G288" s="81"/>
      <x:c r="H288" s="81"/>
      <x:c r="I288" s="81"/>
      <x:c r="J288" s="81"/>
      <x:c r="K288" s="81"/>
      <x:c r="L288" s="81"/>
      <x:c r="M288" s="81"/>
      <x:c r="N288" s="81"/>
      <x:c r="O288" s="81"/>
      <x:c r="P288" s="81"/>
      <x:c r="Q288" s="81"/>
      <x:c r="R288" s="81"/>
      <x:c r="S288" s="81"/>
      <x:c r="T288" s="81"/>
      <x:c r="U288" s="81"/>
      <x:c r="V288" s="81"/>
      <x:c r="W288" s="81"/>
      <x:c r="X288" s="81"/>
      <x:c r="Y288" s="81"/>
      <x:c r="Z288" s="81"/>
    </x:row>
    <x:row r="289">
      <x:c r="A289" s="81"/>
      <x:c r="B289" s="81"/>
      <x:c r="C289" s="81"/>
      <x:c r="D289" s="81"/>
      <x:c r="E289" s="81"/>
      <x:c r="F289" s="81"/>
      <x:c r="G289" s="81"/>
      <x:c r="H289" s="81"/>
      <x:c r="I289" s="81"/>
      <x:c r="J289" s="81"/>
      <x:c r="K289" s="81"/>
      <x:c r="L289" s="81"/>
      <x:c r="M289" s="81"/>
      <x:c r="N289" s="81"/>
      <x:c r="O289" s="81"/>
      <x:c r="P289" s="81"/>
      <x:c r="Q289" s="81"/>
      <x:c r="R289" s="81"/>
      <x:c r="S289" s="81"/>
      <x:c r="T289" s="81"/>
      <x:c r="U289" s="81"/>
      <x:c r="V289" s="81"/>
      <x:c r="W289" s="81"/>
      <x:c r="X289" s="81"/>
      <x:c r="Y289" s="81"/>
      <x:c r="Z289" s="81"/>
    </x:row>
    <x:row r="290">
      <x:c r="A290" s="81"/>
      <x:c r="B290" s="81"/>
      <x:c r="C290" s="81"/>
      <x:c r="D290" s="81"/>
      <x:c r="E290" s="81"/>
      <x:c r="F290" s="81"/>
      <x:c r="G290" s="81"/>
      <x:c r="H290" s="81"/>
      <x:c r="I290" s="81"/>
      <x:c r="J290" s="81"/>
      <x:c r="K290" s="81"/>
      <x:c r="L290" s="81"/>
      <x:c r="M290" s="81"/>
      <x:c r="N290" s="81"/>
      <x:c r="O290" s="81"/>
      <x:c r="P290" s="81"/>
      <x:c r="Q290" s="81"/>
      <x:c r="R290" s="81"/>
      <x:c r="S290" s="81"/>
      <x:c r="T290" s="81"/>
      <x:c r="U290" s="81"/>
      <x:c r="V290" s="81"/>
      <x:c r="W290" s="81"/>
      <x:c r="X290" s="81"/>
      <x:c r="Y290" s="81"/>
      <x:c r="Z290" s="81"/>
    </x:row>
    <x:row r="291">
      <x:c r="A291" s="81"/>
      <x:c r="B291" s="81"/>
      <x:c r="C291" s="81"/>
      <x:c r="D291" s="81"/>
      <x:c r="E291" s="81"/>
      <x:c r="F291" s="81"/>
      <x:c r="G291" s="81"/>
      <x:c r="H291" s="81"/>
      <x:c r="I291" s="81"/>
      <x:c r="J291" s="81"/>
      <x:c r="K291" s="81"/>
      <x:c r="L291" s="81"/>
      <x:c r="M291" s="81"/>
      <x:c r="N291" s="81"/>
      <x:c r="O291" s="81"/>
      <x:c r="P291" s="81"/>
      <x:c r="Q291" s="81"/>
      <x:c r="R291" s="81"/>
      <x:c r="S291" s="81"/>
      <x:c r="T291" s="81"/>
      <x:c r="U291" s="81"/>
      <x:c r="V291" s="81"/>
      <x:c r="W291" s="81"/>
      <x:c r="X291" s="81"/>
      <x:c r="Y291" s="81"/>
      <x:c r="Z291" s="81"/>
    </x:row>
    <x:row r="292">
      <x:c r="A292" s="81"/>
      <x:c r="B292" s="81"/>
      <x:c r="C292" s="81"/>
      <x:c r="D292" s="81"/>
      <x:c r="E292" s="81"/>
      <x:c r="F292" s="81"/>
      <x:c r="G292" s="81"/>
      <x:c r="H292" s="81"/>
      <x:c r="I292" s="81"/>
      <x:c r="J292" s="81"/>
      <x:c r="K292" s="81"/>
      <x:c r="L292" s="81"/>
      <x:c r="M292" s="81"/>
      <x:c r="N292" s="81"/>
      <x:c r="O292" s="81"/>
      <x:c r="P292" s="81"/>
      <x:c r="Q292" s="81"/>
      <x:c r="R292" s="81"/>
      <x:c r="S292" s="81"/>
      <x:c r="T292" s="81"/>
      <x:c r="U292" s="81"/>
      <x:c r="V292" s="81"/>
      <x:c r="W292" s="81"/>
      <x:c r="X292" s="81"/>
      <x:c r="Y292" s="81"/>
      <x:c r="Z292" s="81"/>
    </x:row>
    <x:row r="293">
      <x:c r="A293" s="81"/>
      <x:c r="B293" s="81"/>
      <x:c r="C293" s="81"/>
      <x:c r="D293" s="81"/>
      <x:c r="E293" s="81"/>
      <x:c r="F293" s="81"/>
      <x:c r="G293" s="81"/>
      <x:c r="H293" s="81"/>
      <x:c r="I293" s="81"/>
      <x:c r="J293" s="81"/>
      <x:c r="K293" s="81"/>
      <x:c r="L293" s="81"/>
      <x:c r="M293" s="81"/>
      <x:c r="N293" s="81"/>
      <x:c r="O293" s="81"/>
      <x:c r="P293" s="81"/>
      <x:c r="Q293" s="81"/>
      <x:c r="R293" s="81"/>
      <x:c r="S293" s="81"/>
      <x:c r="T293" s="81"/>
      <x:c r="U293" s="81"/>
      <x:c r="V293" s="81"/>
      <x:c r="W293" s="81"/>
      <x:c r="X293" s="81"/>
      <x:c r="Y293" s="81"/>
      <x:c r="Z293" s="81"/>
    </x:row>
    <x:row r="294">
      <x:c r="A294" s="81"/>
      <x:c r="B294" s="81"/>
      <x:c r="C294" s="81"/>
      <x:c r="D294" s="81"/>
      <x:c r="E294" s="81"/>
      <x:c r="F294" s="81"/>
      <x:c r="G294" s="81"/>
      <x:c r="H294" s="81"/>
      <x:c r="I294" s="81"/>
      <x:c r="J294" s="81"/>
      <x:c r="K294" s="81"/>
      <x:c r="L294" s="81"/>
      <x:c r="M294" s="81"/>
      <x:c r="N294" s="81"/>
      <x:c r="O294" s="81"/>
      <x:c r="P294" s="81"/>
      <x:c r="Q294" s="81"/>
      <x:c r="R294" s="81"/>
      <x:c r="S294" s="81"/>
      <x:c r="T294" s="81"/>
      <x:c r="U294" s="81"/>
      <x:c r="V294" s="81"/>
      <x:c r="W294" s="81"/>
      <x:c r="X294" s="81"/>
      <x:c r="Y294" s="81"/>
      <x:c r="Z294" s="81"/>
    </x:row>
    <x:row r="295">
      <x:c r="A295" s="81"/>
      <x:c r="B295" s="81"/>
      <x:c r="C295" s="81"/>
      <x:c r="D295" s="81"/>
      <x:c r="E295" s="81"/>
      <x:c r="F295" s="81"/>
      <x:c r="G295" s="81"/>
      <x:c r="H295" s="81"/>
      <x:c r="I295" s="81"/>
      <x:c r="J295" s="81"/>
      <x:c r="K295" s="81"/>
      <x:c r="L295" s="81"/>
      <x:c r="M295" s="81"/>
      <x:c r="N295" s="81"/>
      <x:c r="O295" s="81"/>
      <x:c r="P295" s="81"/>
      <x:c r="Q295" s="81"/>
      <x:c r="R295" s="81"/>
      <x:c r="S295" s="81"/>
      <x:c r="T295" s="81"/>
      <x:c r="U295" s="81"/>
      <x:c r="V295" s="81"/>
      <x:c r="W295" s="81"/>
      <x:c r="X295" s="81"/>
      <x:c r="Y295" s="81"/>
      <x:c r="Z295" s="81"/>
    </x:row>
    <x:row r="296">
      <x:c r="A296" s="81"/>
      <x:c r="B296" s="81"/>
      <x:c r="C296" s="81"/>
      <x:c r="D296" s="81"/>
      <x:c r="E296" s="81"/>
      <x:c r="F296" s="81"/>
      <x:c r="G296" s="81"/>
      <x:c r="H296" s="81"/>
      <x:c r="I296" s="81"/>
      <x:c r="J296" s="81"/>
      <x:c r="K296" s="81"/>
      <x:c r="L296" s="81"/>
      <x:c r="M296" s="81"/>
      <x:c r="N296" s="81"/>
      <x:c r="O296" s="81"/>
      <x:c r="P296" s="81"/>
      <x:c r="Q296" s="81"/>
      <x:c r="R296" s="81"/>
      <x:c r="S296" s="81"/>
      <x:c r="T296" s="81"/>
      <x:c r="U296" s="81"/>
      <x:c r="V296" s="81"/>
      <x:c r="W296" s="81"/>
      <x:c r="X296" s="81"/>
      <x:c r="Y296" s="81"/>
      <x:c r="Z296" s="81"/>
    </x:row>
    <x:row r="297">
      <x:c r="A297" s="81"/>
      <x:c r="B297" s="81"/>
      <x:c r="C297" s="81"/>
      <x:c r="D297" s="81"/>
      <x:c r="E297" s="81"/>
      <x:c r="F297" s="81"/>
      <x:c r="G297" s="81"/>
      <x:c r="H297" s="81"/>
      <x:c r="I297" s="81"/>
      <x:c r="J297" s="81"/>
      <x:c r="K297" s="81"/>
      <x:c r="L297" s="81"/>
      <x:c r="M297" s="81"/>
      <x:c r="N297" s="81"/>
      <x:c r="O297" s="81"/>
      <x:c r="P297" s="81"/>
      <x:c r="Q297" s="81"/>
      <x:c r="R297" s="81"/>
      <x:c r="S297" s="81"/>
      <x:c r="T297" s="81"/>
      <x:c r="U297" s="81"/>
      <x:c r="V297" s="81"/>
      <x:c r="W297" s="81"/>
      <x:c r="X297" s="81"/>
      <x:c r="Y297" s="81"/>
      <x:c r="Z297" s="81"/>
    </x:row>
    <x:row r="298">
      <x:c r="A298" s="81"/>
      <x:c r="B298" s="81"/>
      <x:c r="C298" s="81"/>
      <x:c r="D298" s="81"/>
      <x:c r="E298" s="81"/>
      <x:c r="F298" s="81"/>
      <x:c r="G298" s="81"/>
      <x:c r="H298" s="81"/>
      <x:c r="I298" s="81"/>
      <x:c r="J298" s="81"/>
      <x:c r="K298" s="81"/>
      <x:c r="L298" s="81"/>
      <x:c r="M298" s="81"/>
      <x:c r="N298" s="81"/>
      <x:c r="O298" s="81"/>
      <x:c r="P298" s="81"/>
      <x:c r="Q298" s="81"/>
      <x:c r="R298" s="81"/>
      <x:c r="S298" s="81"/>
      <x:c r="T298" s="81"/>
      <x:c r="U298" s="81"/>
      <x:c r="V298" s="81"/>
      <x:c r="W298" s="81"/>
      <x:c r="X298" s="81"/>
      <x:c r="Y298" s="81"/>
      <x:c r="Z298" s="81"/>
    </x:row>
    <x:row r="299">
      <x:c r="A299" s="81"/>
      <x:c r="B299" s="81"/>
      <x:c r="C299" s="81"/>
      <x:c r="D299" s="81"/>
      <x:c r="E299" s="81"/>
      <x:c r="F299" s="81"/>
      <x:c r="G299" s="81"/>
      <x:c r="H299" s="81"/>
      <x:c r="I299" s="81"/>
      <x:c r="J299" s="81"/>
      <x:c r="K299" s="81"/>
      <x:c r="L299" s="81"/>
      <x:c r="M299" s="81"/>
      <x:c r="N299" s="81"/>
      <x:c r="O299" s="81"/>
      <x:c r="P299" s="81"/>
      <x:c r="Q299" s="81"/>
      <x:c r="R299" s="81"/>
      <x:c r="S299" s="81"/>
      <x:c r="T299" s="81"/>
      <x:c r="U299" s="81"/>
      <x:c r="V299" s="81"/>
      <x:c r="W299" s="81"/>
      <x:c r="X299" s="81"/>
      <x:c r="Y299" s="81"/>
      <x:c r="Z299" s="81"/>
    </x:row>
    <x:row r="300">
      <x:c r="A300" s="81"/>
      <x:c r="B300" s="81"/>
      <x:c r="C300" s="81"/>
      <x:c r="D300" s="81"/>
      <x:c r="E300" s="81"/>
      <x:c r="F300" s="81"/>
      <x:c r="G300" s="81"/>
      <x:c r="H300" s="81"/>
      <x:c r="I300" s="81"/>
      <x:c r="J300" s="81"/>
      <x:c r="K300" s="81"/>
      <x:c r="L300" s="81"/>
      <x:c r="M300" s="81"/>
      <x:c r="N300" s="81"/>
      <x:c r="O300" s="81"/>
      <x:c r="P300" s="81"/>
      <x:c r="Q300" s="81"/>
      <x:c r="R300" s="81"/>
      <x:c r="S300" s="81"/>
      <x:c r="T300" s="81"/>
      <x:c r="U300" s="81"/>
      <x:c r="V300" s="81"/>
      <x:c r="W300" s="81"/>
      <x:c r="X300" s="81"/>
      <x:c r="Y300" s="81"/>
      <x:c r="Z300" s="81"/>
    </x:row>
    <x:row r="301">
      <x:c r="A301" s="81"/>
      <x:c r="B301" s="81"/>
      <x:c r="C301" s="81"/>
      <x:c r="D301" s="81"/>
      <x:c r="E301" s="81"/>
      <x:c r="F301" s="81"/>
      <x:c r="G301" s="81"/>
      <x:c r="H301" s="81"/>
      <x:c r="I301" s="81"/>
      <x:c r="J301" s="81"/>
      <x:c r="K301" s="81"/>
      <x:c r="L301" s="81"/>
      <x:c r="M301" s="81"/>
      <x:c r="N301" s="81"/>
      <x:c r="O301" s="81"/>
      <x:c r="P301" s="81"/>
      <x:c r="Q301" s="81"/>
      <x:c r="R301" s="81"/>
      <x:c r="S301" s="81"/>
      <x:c r="T301" s="81"/>
      <x:c r="U301" s="81"/>
      <x:c r="V301" s="81"/>
      <x:c r="W301" s="81"/>
      <x:c r="X301" s="81"/>
      <x:c r="Y301" s="81"/>
      <x:c r="Z301" s="81"/>
    </x:row>
    <x:row r="302">
      <x:c r="A302" s="81"/>
      <x:c r="B302" s="81"/>
      <x:c r="C302" s="81"/>
      <x:c r="D302" s="81"/>
      <x:c r="E302" s="81"/>
      <x:c r="F302" s="81"/>
      <x:c r="G302" s="81"/>
      <x:c r="H302" s="81"/>
      <x:c r="I302" s="81"/>
      <x:c r="J302" s="81"/>
      <x:c r="K302" s="81"/>
      <x:c r="L302" s="81"/>
      <x:c r="M302" s="81"/>
      <x:c r="N302" s="81"/>
      <x:c r="O302" s="81"/>
      <x:c r="P302" s="81"/>
      <x:c r="Q302" s="81"/>
      <x:c r="R302" s="81"/>
      <x:c r="S302" s="81"/>
      <x:c r="T302" s="81"/>
      <x:c r="U302" s="81"/>
      <x:c r="V302" s="81"/>
      <x:c r="W302" s="81"/>
      <x:c r="X302" s="81"/>
      <x:c r="Y302" s="81"/>
      <x:c r="Z302" s="81"/>
    </x:row>
    <x:row r="303">
      <x:c r="A303" s="81"/>
      <x:c r="B303" s="81"/>
      <x:c r="C303" s="81"/>
      <x:c r="D303" s="81"/>
      <x:c r="E303" s="81"/>
      <x:c r="F303" s="81"/>
      <x:c r="G303" s="81"/>
      <x:c r="H303" s="81"/>
      <x:c r="I303" s="81"/>
      <x:c r="J303" s="81"/>
      <x:c r="K303" s="81"/>
      <x:c r="L303" s="81"/>
      <x:c r="M303" s="81"/>
      <x:c r="N303" s="81"/>
      <x:c r="O303" s="81"/>
      <x:c r="P303" s="81"/>
      <x:c r="Q303" s="81"/>
      <x:c r="R303" s="81"/>
      <x:c r="S303" s="81"/>
      <x:c r="T303" s="81"/>
      <x:c r="U303" s="81"/>
      <x:c r="V303" s="81"/>
      <x:c r="W303" s="81"/>
      <x:c r="X303" s="81"/>
      <x:c r="Y303" s="81"/>
      <x:c r="Z303" s="81"/>
    </x:row>
    <x:row r="304">
      <x:c r="A304" s="81"/>
      <x:c r="B304" s="81"/>
      <x:c r="C304" s="81"/>
      <x:c r="D304" s="81"/>
      <x:c r="E304" s="81"/>
      <x:c r="F304" s="81"/>
      <x:c r="G304" s="81"/>
      <x:c r="H304" s="81"/>
      <x:c r="I304" s="81"/>
      <x:c r="J304" s="81"/>
      <x:c r="K304" s="81"/>
      <x:c r="L304" s="81"/>
      <x:c r="M304" s="81"/>
      <x:c r="N304" s="81"/>
      <x:c r="O304" s="81"/>
      <x:c r="P304" s="81"/>
      <x:c r="Q304" s="81"/>
      <x:c r="R304" s="81"/>
      <x:c r="S304" s="81"/>
      <x:c r="T304" s="81"/>
      <x:c r="U304" s="81"/>
      <x:c r="V304" s="81"/>
      <x:c r="W304" s="81"/>
      <x:c r="X304" s="81"/>
      <x:c r="Y304" s="81"/>
      <x:c r="Z304" s="81"/>
    </x:row>
    <x:row r="305">
      <x:c r="A305" s="81"/>
      <x:c r="B305" s="81"/>
      <x:c r="C305" s="81"/>
      <x:c r="D305" s="81"/>
      <x:c r="E305" s="81"/>
      <x:c r="F305" s="81"/>
      <x:c r="G305" s="81"/>
      <x:c r="H305" s="81"/>
      <x:c r="I305" s="81"/>
      <x:c r="J305" s="81"/>
      <x:c r="K305" s="81"/>
      <x:c r="L305" s="81"/>
      <x:c r="M305" s="81"/>
      <x:c r="N305" s="81"/>
      <x:c r="O305" s="81"/>
      <x:c r="P305" s="81"/>
      <x:c r="Q305" s="81"/>
      <x:c r="R305" s="81"/>
      <x:c r="S305" s="81"/>
      <x:c r="T305" s="81"/>
      <x:c r="U305" s="81"/>
      <x:c r="V305" s="81"/>
      <x:c r="W305" s="81"/>
      <x:c r="X305" s="81"/>
      <x:c r="Y305" s="81"/>
      <x:c r="Z305" s="81"/>
    </x:row>
    <x:row r="306">
      <x:c r="A306" s="81"/>
      <x:c r="B306" s="81"/>
      <x:c r="C306" s="81"/>
      <x:c r="D306" s="81"/>
      <x:c r="E306" s="81"/>
      <x:c r="F306" s="81"/>
      <x:c r="G306" s="81"/>
      <x:c r="H306" s="81"/>
      <x:c r="I306" s="81"/>
      <x:c r="J306" s="81"/>
      <x:c r="K306" s="81"/>
      <x:c r="L306" s="81"/>
      <x:c r="M306" s="81"/>
      <x:c r="N306" s="81"/>
      <x:c r="O306" s="81"/>
      <x:c r="P306" s="81"/>
      <x:c r="Q306" s="81"/>
      <x:c r="R306" s="81"/>
      <x:c r="S306" s="81"/>
      <x:c r="T306" s="81"/>
      <x:c r="U306" s="81"/>
      <x:c r="V306" s="81"/>
      <x:c r="W306" s="81"/>
      <x:c r="X306" s="81"/>
      <x:c r="Y306" s="81"/>
      <x:c r="Z306" s="81"/>
    </x:row>
    <x:row r="307">
      <x:c r="A307" s="81"/>
      <x:c r="B307" s="81"/>
      <x:c r="C307" s="81"/>
      <x:c r="D307" s="81"/>
      <x:c r="E307" s="81"/>
      <x:c r="F307" s="81"/>
      <x:c r="G307" s="81"/>
      <x:c r="H307" s="81"/>
      <x:c r="I307" s="81"/>
      <x:c r="J307" s="81"/>
      <x:c r="K307" s="81"/>
      <x:c r="L307" s="81"/>
      <x:c r="M307" s="81"/>
      <x:c r="N307" s="81"/>
      <x:c r="O307" s="81"/>
      <x:c r="P307" s="81"/>
      <x:c r="Q307" s="81"/>
      <x:c r="R307" s="81"/>
      <x:c r="S307" s="81"/>
      <x:c r="T307" s="81"/>
      <x:c r="U307" s="81"/>
      <x:c r="V307" s="81"/>
      <x:c r="W307" s="81"/>
      <x:c r="X307" s="81"/>
      <x:c r="Y307" s="81"/>
      <x:c r="Z307" s="81"/>
    </x:row>
    <x:row r="308">
      <x:c r="A308" s="81"/>
      <x:c r="B308" s="81"/>
      <x:c r="C308" s="81"/>
      <x:c r="D308" s="81"/>
      <x:c r="E308" s="81"/>
      <x:c r="F308" s="81"/>
      <x:c r="G308" s="81"/>
      <x:c r="H308" s="81"/>
      <x:c r="I308" s="81"/>
      <x:c r="J308" s="81"/>
      <x:c r="K308" s="81"/>
      <x:c r="L308" s="81"/>
      <x:c r="M308" s="81"/>
      <x:c r="N308" s="81"/>
      <x:c r="O308" s="81"/>
      <x:c r="P308" s="81"/>
      <x:c r="Q308" s="81"/>
      <x:c r="R308" s="81"/>
      <x:c r="S308" s="81"/>
      <x:c r="T308" s="81"/>
      <x:c r="U308" s="81"/>
      <x:c r="V308" s="81"/>
      <x:c r="W308" s="81"/>
      <x:c r="X308" s="81"/>
      <x:c r="Y308" s="81"/>
      <x:c r="Z308" s="81"/>
    </x:row>
    <x:row r="309">
      <x:c r="A309" s="81"/>
      <x:c r="B309" s="81"/>
      <x:c r="C309" s="81"/>
      <x:c r="D309" s="81"/>
      <x:c r="E309" s="81"/>
      <x:c r="F309" s="81"/>
      <x:c r="G309" s="81"/>
      <x:c r="H309" s="81"/>
      <x:c r="I309" s="81"/>
      <x:c r="J309" s="81"/>
      <x:c r="K309" s="81"/>
      <x:c r="L309" s="81"/>
      <x:c r="M309" s="81"/>
      <x:c r="N309" s="81"/>
      <x:c r="O309" s="81"/>
      <x:c r="P309" s="81"/>
      <x:c r="Q309" s="81"/>
      <x:c r="R309" s="81"/>
      <x:c r="S309" s="81"/>
      <x:c r="T309" s="81"/>
      <x:c r="U309" s="81"/>
      <x:c r="V309" s="81"/>
      <x:c r="W309" s="81"/>
      <x:c r="X309" s="81"/>
      <x:c r="Y309" s="81"/>
      <x:c r="Z309" s="81"/>
    </x:row>
    <x:row r="310">
      <x:c r="A310" s="81"/>
      <x:c r="B310" s="81"/>
      <x:c r="C310" s="81"/>
      <x:c r="D310" s="81"/>
      <x:c r="E310" s="81"/>
      <x:c r="F310" s="81"/>
      <x:c r="G310" s="81"/>
      <x:c r="H310" s="81"/>
      <x:c r="I310" s="81"/>
      <x:c r="J310" s="81"/>
      <x:c r="K310" s="81"/>
      <x:c r="L310" s="81"/>
      <x:c r="M310" s="81"/>
      <x:c r="N310" s="81"/>
      <x:c r="O310" s="81"/>
      <x:c r="P310" s="81"/>
      <x:c r="Q310" s="81"/>
      <x:c r="R310" s="81"/>
      <x:c r="S310" s="81"/>
      <x:c r="T310" s="81"/>
      <x:c r="U310" s="81"/>
      <x:c r="V310" s="81"/>
      <x:c r="W310" s="81"/>
      <x:c r="X310" s="81"/>
      <x:c r="Y310" s="81"/>
      <x:c r="Z310" s="81"/>
    </x:row>
    <x:row r="311">
      <x:c r="A311" s="81"/>
      <x:c r="B311" s="81"/>
      <x:c r="C311" s="81"/>
      <x:c r="D311" s="81"/>
      <x:c r="E311" s="81"/>
      <x:c r="F311" s="81"/>
      <x:c r="G311" s="81"/>
      <x:c r="H311" s="81"/>
      <x:c r="I311" s="81"/>
      <x:c r="J311" s="81"/>
      <x:c r="K311" s="81"/>
      <x:c r="L311" s="81"/>
      <x:c r="M311" s="81"/>
      <x:c r="N311" s="81"/>
      <x:c r="O311" s="81"/>
      <x:c r="P311" s="81"/>
      <x:c r="Q311" s="81"/>
      <x:c r="R311" s="81"/>
      <x:c r="S311" s="81"/>
      <x:c r="T311" s="81"/>
      <x:c r="U311" s="81"/>
      <x:c r="V311" s="81"/>
      <x:c r="W311" s="81"/>
      <x:c r="X311" s="81"/>
      <x:c r="Y311" s="81"/>
      <x:c r="Z311" s="81"/>
    </x:row>
    <x:row r="312">
      <x:c r="A312" s="81"/>
      <x:c r="B312" s="81"/>
      <x:c r="C312" s="81"/>
      <x:c r="D312" s="81"/>
      <x:c r="E312" s="81"/>
      <x:c r="F312" s="81"/>
      <x:c r="G312" s="81"/>
      <x:c r="H312" s="81"/>
      <x:c r="I312" s="81"/>
      <x:c r="J312" s="81"/>
      <x:c r="K312" s="81"/>
      <x:c r="L312" s="81"/>
      <x:c r="M312" s="81"/>
      <x:c r="N312" s="81"/>
      <x:c r="O312" s="81"/>
      <x:c r="P312" s="81"/>
      <x:c r="Q312" s="81"/>
      <x:c r="R312" s="81"/>
      <x:c r="S312" s="81"/>
      <x:c r="T312" s="81"/>
      <x:c r="U312" s="81"/>
      <x:c r="V312" s="81"/>
      <x:c r="W312" s="81"/>
      <x:c r="X312" s="81"/>
      <x:c r="Y312" s="81"/>
      <x:c r="Z312" s="81"/>
    </x:row>
    <x:row r="313">
      <x:c r="A313" s="81"/>
      <x:c r="B313" s="81"/>
      <x:c r="C313" s="81"/>
      <x:c r="D313" s="81"/>
      <x:c r="E313" s="81"/>
      <x:c r="F313" s="81"/>
      <x:c r="G313" s="81"/>
      <x:c r="H313" s="81"/>
      <x:c r="I313" s="81"/>
      <x:c r="J313" s="81"/>
      <x:c r="K313" s="81"/>
      <x:c r="L313" s="81"/>
      <x:c r="M313" s="81"/>
      <x:c r="N313" s="81"/>
      <x:c r="O313" s="81"/>
      <x:c r="P313" s="81"/>
      <x:c r="Q313" s="81"/>
      <x:c r="R313" s="81"/>
      <x:c r="S313" s="81"/>
      <x:c r="T313" s="81"/>
      <x:c r="U313" s="81"/>
      <x:c r="V313" s="81"/>
      <x:c r="W313" s="81"/>
      <x:c r="X313" s="81"/>
      <x:c r="Y313" s="81"/>
      <x:c r="Z313" s="81"/>
    </x:row>
    <x:row r="314">
      <x:c r="A314" s="81"/>
      <x:c r="B314" s="81"/>
      <x:c r="C314" s="81"/>
      <x:c r="D314" s="81"/>
      <x:c r="E314" s="81"/>
      <x:c r="F314" s="81"/>
      <x:c r="G314" s="81"/>
      <x:c r="H314" s="81"/>
      <x:c r="I314" s="81"/>
      <x:c r="J314" s="81"/>
      <x:c r="K314" s="81"/>
      <x:c r="L314" s="81"/>
      <x:c r="M314" s="81"/>
      <x:c r="N314" s="81"/>
      <x:c r="O314" s="81"/>
      <x:c r="P314" s="81"/>
      <x:c r="Q314" s="81"/>
      <x:c r="R314" s="81"/>
      <x:c r="S314" s="81"/>
      <x:c r="T314" s="81"/>
      <x:c r="U314" s="81"/>
      <x:c r="V314" s="81"/>
      <x:c r="W314" s="81"/>
      <x:c r="X314" s="81"/>
      <x:c r="Y314" s="81"/>
      <x:c r="Z314" s="81"/>
    </x:row>
    <x:row r="315">
      <x:c r="A315" s="81"/>
      <x:c r="B315" s="81"/>
      <x:c r="C315" s="81"/>
      <x:c r="D315" s="81"/>
      <x:c r="E315" s="81"/>
      <x:c r="F315" s="81"/>
      <x:c r="G315" s="81"/>
      <x:c r="H315" s="81"/>
      <x:c r="I315" s="81"/>
      <x:c r="J315" s="81"/>
      <x:c r="K315" s="81"/>
      <x:c r="L315" s="81"/>
      <x:c r="M315" s="81"/>
      <x:c r="N315" s="81"/>
      <x:c r="O315" s="81"/>
      <x:c r="P315" s="81"/>
      <x:c r="Q315" s="81"/>
      <x:c r="R315" s="81"/>
      <x:c r="S315" s="81"/>
      <x:c r="T315" s="81"/>
      <x:c r="U315" s="81"/>
      <x:c r="V315" s="81"/>
      <x:c r="W315" s="81"/>
      <x:c r="X315" s="81"/>
      <x:c r="Y315" s="81"/>
      <x:c r="Z315" s="81"/>
    </x:row>
    <x:row r="316">
      <x:c r="A316" s="81"/>
      <x:c r="B316" s="81"/>
      <x:c r="C316" s="81"/>
      <x:c r="D316" s="81"/>
      <x:c r="E316" s="81"/>
      <x:c r="F316" s="81"/>
      <x:c r="G316" s="81"/>
      <x:c r="H316" s="81"/>
      <x:c r="I316" s="81"/>
      <x:c r="J316" s="81"/>
      <x:c r="K316" s="81"/>
      <x:c r="L316" s="81"/>
      <x:c r="M316" s="81"/>
      <x:c r="N316" s="81"/>
      <x:c r="O316" s="81"/>
      <x:c r="P316" s="81"/>
      <x:c r="Q316" s="81"/>
      <x:c r="R316" s="81"/>
      <x:c r="S316" s="81"/>
      <x:c r="T316" s="81"/>
      <x:c r="U316" s="81"/>
      <x:c r="V316" s="81"/>
      <x:c r="W316" s="81"/>
      <x:c r="X316" s="81"/>
      <x:c r="Y316" s="81"/>
      <x:c r="Z316" s="81"/>
    </x:row>
    <x:row r="317">
      <x:c r="A317" s="81"/>
      <x:c r="B317" s="81"/>
      <x:c r="C317" s="81"/>
      <x:c r="D317" s="81"/>
      <x:c r="E317" s="81"/>
      <x:c r="F317" s="81"/>
      <x:c r="G317" s="81"/>
      <x:c r="H317" s="81"/>
      <x:c r="I317" s="81"/>
      <x:c r="J317" s="81"/>
      <x:c r="K317" s="81"/>
      <x:c r="L317" s="81"/>
      <x:c r="M317" s="81"/>
      <x:c r="N317" s="81"/>
      <x:c r="O317" s="81"/>
      <x:c r="P317" s="81"/>
      <x:c r="Q317" s="81"/>
      <x:c r="R317" s="81"/>
      <x:c r="S317" s="81"/>
      <x:c r="T317" s="81"/>
      <x:c r="U317" s="81"/>
      <x:c r="V317" s="81"/>
      <x:c r="W317" s="81"/>
      <x:c r="X317" s="81"/>
      <x:c r="Y317" s="81"/>
      <x:c r="Z317" s="81"/>
    </x:row>
    <x:row r="318">
      <x:c r="A318" s="81"/>
      <x:c r="B318" s="81"/>
      <x:c r="C318" s="81"/>
      <x:c r="D318" s="81"/>
      <x:c r="E318" s="81"/>
      <x:c r="F318" s="81"/>
      <x:c r="G318" s="81"/>
      <x:c r="H318" s="81"/>
      <x:c r="I318" s="81"/>
      <x:c r="J318" s="81"/>
      <x:c r="K318" s="81"/>
      <x:c r="L318" s="81"/>
      <x:c r="M318" s="81"/>
      <x:c r="N318" s="81"/>
      <x:c r="O318" s="81"/>
      <x:c r="P318" s="81"/>
      <x:c r="Q318" s="81"/>
      <x:c r="R318" s="81"/>
      <x:c r="S318" s="81"/>
      <x:c r="T318" s="81"/>
      <x:c r="U318" s="81"/>
      <x:c r="V318" s="81"/>
      <x:c r="W318" s="81"/>
      <x:c r="X318" s="81"/>
      <x:c r="Y318" s="81"/>
      <x:c r="Z318" s="81"/>
    </x:row>
    <x:row r="319">
      <x:c r="A319" s="81"/>
      <x:c r="B319" s="81"/>
      <x:c r="C319" s="81"/>
      <x:c r="D319" s="81"/>
      <x:c r="E319" s="81"/>
      <x:c r="F319" s="81"/>
      <x:c r="G319" s="81"/>
      <x:c r="H319" s="81"/>
      <x:c r="I319" s="81"/>
      <x:c r="J319" s="81"/>
      <x:c r="K319" s="81"/>
      <x:c r="L319" s="81"/>
      <x:c r="M319" s="81"/>
      <x:c r="N319" s="81"/>
      <x:c r="O319" s="81"/>
      <x:c r="P319" s="81"/>
      <x:c r="Q319" s="81"/>
      <x:c r="R319" s="81"/>
      <x:c r="S319" s="81"/>
      <x:c r="T319" s="81"/>
      <x:c r="U319" s="81"/>
      <x:c r="V319" s="81"/>
      <x:c r="W319" s="81"/>
      <x:c r="X319" s="81"/>
      <x:c r="Y319" s="81"/>
      <x:c r="Z319" s="81"/>
    </x:row>
    <x:row r="320">
      <x:c r="A320" s="81"/>
      <x:c r="B320" s="81"/>
      <x:c r="C320" s="81"/>
      <x:c r="D320" s="81"/>
      <x:c r="E320" s="81"/>
      <x:c r="F320" s="81"/>
      <x:c r="G320" s="81"/>
      <x:c r="H320" s="81"/>
      <x:c r="I320" s="81"/>
      <x:c r="J320" s="81"/>
      <x:c r="K320" s="81"/>
      <x:c r="L320" s="81"/>
      <x:c r="M320" s="81"/>
      <x:c r="N320" s="81"/>
      <x:c r="O320" s="81"/>
      <x:c r="P320" s="81"/>
      <x:c r="Q320" s="81"/>
      <x:c r="R320" s="81"/>
      <x:c r="S320" s="81"/>
      <x:c r="T320" s="81"/>
      <x:c r="U320" s="81"/>
      <x:c r="V320" s="81"/>
      <x:c r="W320" s="81"/>
      <x:c r="X320" s="81"/>
      <x:c r="Y320" s="81"/>
      <x:c r="Z320" s="81"/>
    </x:row>
    <x:row r="321">
      <x:c r="A321" s="81"/>
      <x:c r="B321" s="81"/>
      <x:c r="C321" s="81"/>
      <x:c r="D321" s="81"/>
      <x:c r="E321" s="81"/>
      <x:c r="F321" s="81"/>
      <x:c r="G321" s="81"/>
      <x:c r="H321" s="81"/>
      <x:c r="I321" s="81"/>
      <x:c r="J321" s="81"/>
      <x:c r="K321" s="81"/>
      <x:c r="L321" s="81"/>
      <x:c r="M321" s="81"/>
      <x:c r="N321" s="81"/>
      <x:c r="O321" s="81"/>
      <x:c r="P321" s="81"/>
      <x:c r="Q321" s="81"/>
      <x:c r="R321" s="81"/>
      <x:c r="S321" s="81"/>
      <x:c r="T321" s="81"/>
      <x:c r="U321" s="81"/>
      <x:c r="V321" s="81"/>
      <x:c r="W321" s="81"/>
      <x:c r="X321" s="81"/>
      <x:c r="Y321" s="81"/>
      <x:c r="Z321" s="81"/>
    </x:row>
    <x:row r="322">
      <x:c r="A322" s="81"/>
      <x:c r="B322" s="81"/>
      <x:c r="C322" s="81"/>
      <x:c r="D322" s="81"/>
      <x:c r="E322" s="81"/>
      <x:c r="F322" s="81"/>
      <x:c r="G322" s="81"/>
      <x:c r="H322" s="81"/>
      <x:c r="I322" s="81"/>
      <x:c r="J322" s="81"/>
      <x:c r="K322" s="81"/>
      <x:c r="L322" s="81"/>
      <x:c r="M322" s="81"/>
      <x:c r="N322" s="81"/>
      <x:c r="O322" s="81"/>
      <x:c r="P322" s="81"/>
      <x:c r="Q322" s="81"/>
      <x:c r="R322" s="81"/>
      <x:c r="S322" s="81"/>
      <x:c r="T322" s="81"/>
      <x:c r="U322" s="81"/>
      <x:c r="V322" s="81"/>
      <x:c r="W322" s="81"/>
      <x:c r="X322" s="81"/>
      <x:c r="Y322" s="81"/>
      <x:c r="Z322" s="81"/>
    </x:row>
    <x:row r="323">
      <x:c r="A323" s="81"/>
      <x:c r="B323" s="81"/>
      <x:c r="C323" s="81"/>
      <x:c r="D323" s="81"/>
      <x:c r="E323" s="81"/>
      <x:c r="F323" s="81"/>
      <x:c r="G323" s="81"/>
      <x:c r="H323" s="81"/>
      <x:c r="I323" s="81"/>
      <x:c r="J323" s="81"/>
      <x:c r="K323" s="81"/>
      <x:c r="L323" s="81"/>
      <x:c r="M323" s="81"/>
      <x:c r="N323" s="81"/>
      <x:c r="O323" s="81"/>
      <x:c r="P323" s="81"/>
      <x:c r="Q323" s="81"/>
      <x:c r="R323" s="81"/>
      <x:c r="S323" s="81"/>
      <x:c r="T323" s="81"/>
      <x:c r="U323" s="81"/>
      <x:c r="V323" s="81"/>
      <x:c r="W323" s="81"/>
      <x:c r="X323" s="81"/>
      <x:c r="Y323" s="81"/>
      <x:c r="Z323" s="81"/>
    </x:row>
    <x:row r="324">
      <x:c r="A324" s="81"/>
      <x:c r="B324" s="81"/>
      <x:c r="C324" s="81"/>
      <x:c r="D324" s="81"/>
      <x:c r="E324" s="81"/>
      <x:c r="F324" s="81"/>
      <x:c r="G324" s="81"/>
      <x:c r="H324" s="81"/>
      <x:c r="I324" s="81"/>
      <x:c r="J324" s="81"/>
      <x:c r="K324" s="81"/>
      <x:c r="L324" s="81"/>
      <x:c r="M324" s="81"/>
      <x:c r="N324" s="81"/>
      <x:c r="O324" s="81"/>
      <x:c r="P324" s="81"/>
      <x:c r="Q324" s="81"/>
      <x:c r="R324" s="81"/>
      <x:c r="S324" s="81"/>
      <x:c r="T324" s="81"/>
      <x:c r="U324" s="81"/>
      <x:c r="V324" s="81"/>
      <x:c r="W324" s="81"/>
      <x:c r="X324" s="81"/>
      <x:c r="Y324" s="81"/>
      <x:c r="Z324" s="81"/>
    </x:row>
    <x:row r="325">
      <x:c r="A325" s="81"/>
      <x:c r="B325" s="81"/>
      <x:c r="C325" s="81"/>
      <x:c r="D325" s="81"/>
      <x:c r="E325" s="81"/>
      <x:c r="F325" s="81"/>
      <x:c r="G325" s="81"/>
      <x:c r="H325" s="81"/>
      <x:c r="I325" s="81"/>
      <x:c r="J325" s="81"/>
      <x:c r="K325" s="81"/>
      <x:c r="L325" s="81"/>
      <x:c r="M325" s="81"/>
      <x:c r="N325" s="81"/>
      <x:c r="O325" s="81"/>
      <x:c r="P325" s="81"/>
      <x:c r="Q325" s="81"/>
      <x:c r="R325" s="81"/>
      <x:c r="S325" s="81"/>
      <x:c r="T325" s="81"/>
      <x:c r="U325" s="81"/>
      <x:c r="V325" s="81"/>
      <x:c r="W325" s="81"/>
      <x:c r="X325" s="81"/>
      <x:c r="Y325" s="81"/>
      <x:c r="Z325" s="81"/>
    </x:row>
    <x:row r="326">
      <x:c r="A326" s="81"/>
      <x:c r="B326" s="81"/>
      <x:c r="C326" s="81"/>
      <x:c r="D326" s="81"/>
      <x:c r="E326" s="81"/>
      <x:c r="F326" s="81"/>
      <x:c r="G326" s="81"/>
      <x:c r="H326" s="81"/>
      <x:c r="I326" s="81"/>
      <x:c r="J326" s="81"/>
      <x:c r="K326" s="81"/>
      <x:c r="L326" s="81"/>
      <x:c r="M326" s="81"/>
      <x:c r="N326" s="81"/>
      <x:c r="O326" s="81"/>
      <x:c r="P326" s="81"/>
      <x:c r="Q326" s="81"/>
      <x:c r="R326" s="81"/>
      <x:c r="S326" s="81"/>
      <x:c r="T326" s="81"/>
      <x:c r="U326" s="81"/>
      <x:c r="V326" s="81"/>
      <x:c r="W326" s="81"/>
      <x:c r="X326" s="81"/>
      <x:c r="Y326" s="81"/>
      <x:c r="Z326" s="81"/>
    </x:row>
    <x:row r="327">
      <x:c r="A327" s="81"/>
      <x:c r="B327" s="81"/>
      <x:c r="C327" s="81"/>
      <x:c r="D327" s="81"/>
      <x:c r="E327" s="81"/>
      <x:c r="F327" s="81"/>
      <x:c r="G327" s="81"/>
      <x:c r="H327" s="81"/>
      <x:c r="I327" s="81"/>
      <x:c r="J327" s="81"/>
      <x:c r="K327" s="81"/>
      <x:c r="L327" s="81"/>
      <x:c r="M327" s="81"/>
      <x:c r="N327" s="81"/>
      <x:c r="O327" s="81"/>
      <x:c r="P327" s="81"/>
      <x:c r="Q327" s="81"/>
      <x:c r="R327" s="81"/>
      <x:c r="S327" s="81"/>
      <x:c r="T327" s="81"/>
      <x:c r="U327" s="81"/>
      <x:c r="V327" s="81"/>
      <x:c r="W327" s="81"/>
      <x:c r="X327" s="81"/>
      <x:c r="Y327" s="81"/>
      <x:c r="Z327" s="81"/>
    </x:row>
    <x:row r="328">
      <x:c r="A328" s="81"/>
      <x:c r="B328" s="81"/>
      <x:c r="C328" s="81"/>
      <x:c r="D328" s="81"/>
      <x:c r="E328" s="81"/>
      <x:c r="F328" s="81"/>
      <x:c r="G328" s="81"/>
      <x:c r="H328" s="81"/>
      <x:c r="I328" s="81"/>
      <x:c r="J328" s="81"/>
      <x:c r="K328" s="81"/>
      <x:c r="L328" s="81"/>
      <x:c r="M328" s="81"/>
      <x:c r="N328" s="81"/>
      <x:c r="O328" s="81"/>
      <x:c r="P328" s="81"/>
      <x:c r="Q328" s="81"/>
      <x:c r="R328" s="81"/>
      <x:c r="S328" s="81"/>
      <x:c r="T328" s="81"/>
      <x:c r="U328" s="81"/>
      <x:c r="V328" s="81"/>
      <x:c r="W328" s="81"/>
      <x:c r="X328" s="81"/>
      <x:c r="Y328" s="81"/>
      <x:c r="Z328" s="81"/>
    </x:row>
    <x:row r="329">
      <x:c r="A329" s="81"/>
      <x:c r="B329" s="81"/>
      <x:c r="C329" s="81"/>
      <x:c r="D329" s="81"/>
      <x:c r="E329" s="81"/>
      <x:c r="F329" s="81"/>
      <x:c r="G329" s="81"/>
      <x:c r="H329" s="81"/>
      <x:c r="I329" s="81"/>
      <x:c r="J329" s="81"/>
      <x:c r="K329" s="81"/>
      <x:c r="L329" s="81"/>
      <x:c r="M329" s="81"/>
      <x:c r="N329" s="81"/>
      <x:c r="O329" s="81"/>
      <x:c r="P329" s="81"/>
      <x:c r="Q329" s="81"/>
      <x:c r="R329" s="81"/>
      <x:c r="S329" s="81"/>
      <x:c r="T329" s="81"/>
      <x:c r="U329" s="81"/>
      <x:c r="V329" s="81"/>
      <x:c r="W329" s="81"/>
      <x:c r="X329" s="81"/>
      <x:c r="Y329" s="81"/>
      <x:c r="Z329" s="81"/>
    </x:row>
    <x:row r="330">
      <x:c r="A330" s="81"/>
      <x:c r="B330" s="81"/>
      <x:c r="C330" s="81"/>
      <x:c r="D330" s="81"/>
      <x:c r="E330" s="81"/>
      <x:c r="F330" s="81"/>
      <x:c r="G330" s="81"/>
      <x:c r="H330" s="81"/>
      <x:c r="I330" s="81"/>
      <x:c r="J330" s="81"/>
      <x:c r="K330" s="81"/>
      <x:c r="L330" s="81"/>
      <x:c r="M330" s="81"/>
      <x:c r="N330" s="81"/>
      <x:c r="O330" s="81"/>
      <x:c r="P330" s="81"/>
      <x:c r="Q330" s="81"/>
      <x:c r="R330" s="81"/>
      <x:c r="S330" s="81"/>
      <x:c r="T330" s="81"/>
      <x:c r="U330" s="81"/>
      <x:c r="V330" s="81"/>
      <x:c r="W330" s="81"/>
      <x:c r="X330" s="81"/>
      <x:c r="Y330" s="81"/>
      <x:c r="Z330" s="81"/>
    </x:row>
    <x:row r="331">
      <x:c r="A331" s="81"/>
      <x:c r="B331" s="81"/>
      <x:c r="C331" s="81"/>
      <x:c r="D331" s="81"/>
      <x:c r="E331" s="81"/>
      <x:c r="F331" s="81"/>
      <x:c r="G331" s="81"/>
      <x:c r="H331" s="81"/>
      <x:c r="I331" s="81"/>
      <x:c r="J331" s="81"/>
      <x:c r="K331" s="81"/>
      <x:c r="L331" s="81"/>
      <x:c r="M331" s="81"/>
      <x:c r="N331" s="81"/>
      <x:c r="O331" s="81"/>
      <x:c r="P331" s="81"/>
      <x:c r="Q331" s="81"/>
      <x:c r="R331" s="81"/>
      <x:c r="S331" s="81"/>
      <x:c r="T331" s="81"/>
      <x:c r="U331" s="81"/>
      <x:c r="V331" s="81"/>
      <x:c r="W331" s="81"/>
      <x:c r="X331" s="81"/>
      <x:c r="Y331" s="81"/>
      <x:c r="Z331" s="81"/>
    </x:row>
    <x:row r="332">
      <x:c r="A332" s="81"/>
      <x:c r="B332" s="81"/>
      <x:c r="C332" s="81"/>
      <x:c r="D332" s="81"/>
      <x:c r="E332" s="81"/>
      <x:c r="F332" s="81"/>
      <x:c r="G332" s="81"/>
      <x:c r="H332" s="81"/>
      <x:c r="I332" s="81"/>
      <x:c r="J332" s="81"/>
      <x:c r="K332" s="81"/>
      <x:c r="L332" s="81"/>
      <x:c r="M332" s="81"/>
      <x:c r="N332" s="81"/>
      <x:c r="O332" s="81"/>
      <x:c r="P332" s="81"/>
      <x:c r="Q332" s="81"/>
      <x:c r="R332" s="81"/>
      <x:c r="S332" s="81"/>
      <x:c r="T332" s="81"/>
      <x:c r="U332" s="81"/>
      <x:c r="V332" s="81"/>
      <x:c r="W332" s="81"/>
      <x:c r="X332" s="81"/>
      <x:c r="Y332" s="81"/>
      <x:c r="Z332" s="81"/>
    </x:row>
    <x:row r="333">
      <x:c r="A333" s="81"/>
      <x:c r="B333" s="81"/>
      <x:c r="C333" s="81"/>
      <x:c r="D333" s="81"/>
      <x:c r="E333" s="81"/>
      <x:c r="F333" s="81"/>
      <x:c r="G333" s="81"/>
      <x:c r="H333" s="81"/>
      <x:c r="I333" s="81"/>
      <x:c r="J333" s="81"/>
      <x:c r="K333" s="81"/>
      <x:c r="L333" s="81"/>
      <x:c r="M333" s="81"/>
      <x:c r="N333" s="81"/>
      <x:c r="O333" s="81"/>
      <x:c r="P333" s="81"/>
      <x:c r="Q333" s="81"/>
      <x:c r="R333" s="81"/>
      <x:c r="S333" s="81"/>
      <x:c r="T333" s="81"/>
      <x:c r="U333" s="81"/>
      <x:c r="V333" s="81"/>
      <x:c r="W333" s="81"/>
      <x:c r="X333" s="81"/>
      <x:c r="Y333" s="81"/>
      <x:c r="Z333" s="81"/>
    </x:row>
    <x:row r="334">
      <x:c r="A334" s="81"/>
      <x:c r="B334" s="81"/>
      <x:c r="C334" s="81"/>
      <x:c r="D334" s="81"/>
      <x:c r="E334" s="81"/>
      <x:c r="F334" s="81"/>
      <x:c r="G334" s="81"/>
      <x:c r="H334" s="81"/>
      <x:c r="I334" s="81"/>
      <x:c r="J334" s="81"/>
      <x:c r="K334" s="81"/>
      <x:c r="L334" s="81"/>
      <x:c r="M334" s="81"/>
      <x:c r="N334" s="81"/>
      <x:c r="O334" s="81"/>
      <x:c r="P334" s="81"/>
      <x:c r="Q334" s="81"/>
      <x:c r="R334" s="81"/>
      <x:c r="S334" s="81"/>
      <x:c r="T334" s="81"/>
      <x:c r="U334" s="81"/>
      <x:c r="V334" s="81"/>
      <x:c r="W334" s="81"/>
      <x:c r="X334" s="81"/>
      <x:c r="Y334" s="81"/>
      <x:c r="Z334" s="81"/>
    </x:row>
    <x:row r="335">
      <x:c r="A335" s="81"/>
      <x:c r="B335" s="81"/>
      <x:c r="C335" s="81"/>
      <x:c r="D335" s="81"/>
      <x:c r="E335" s="81"/>
      <x:c r="F335" s="81"/>
      <x:c r="G335" s="81"/>
      <x:c r="H335" s="81"/>
      <x:c r="I335" s="81"/>
      <x:c r="J335" s="81"/>
      <x:c r="K335" s="81"/>
      <x:c r="L335" s="81"/>
      <x:c r="M335" s="81"/>
      <x:c r="N335" s="81"/>
      <x:c r="O335" s="81"/>
      <x:c r="P335" s="81"/>
      <x:c r="Q335" s="81"/>
      <x:c r="R335" s="81"/>
      <x:c r="S335" s="81"/>
      <x:c r="T335" s="81"/>
      <x:c r="U335" s="81"/>
      <x:c r="V335" s="81"/>
      <x:c r="W335" s="81"/>
      <x:c r="X335" s="81"/>
      <x:c r="Y335" s="81"/>
      <x:c r="Z335" s="81"/>
    </x:row>
    <x:row r="336">
      <x:c r="A336" s="81"/>
      <x:c r="B336" s="81"/>
      <x:c r="C336" s="81"/>
      <x:c r="D336" s="81"/>
      <x:c r="E336" s="81"/>
      <x:c r="F336" s="81"/>
      <x:c r="G336" s="81"/>
      <x:c r="H336" s="81"/>
      <x:c r="I336" s="81"/>
      <x:c r="J336" s="81"/>
      <x:c r="K336" s="81"/>
      <x:c r="L336" s="81"/>
      <x:c r="M336" s="81"/>
      <x:c r="N336" s="81"/>
      <x:c r="O336" s="81"/>
      <x:c r="P336" s="81"/>
      <x:c r="Q336" s="81"/>
      <x:c r="R336" s="81"/>
      <x:c r="S336" s="81"/>
      <x:c r="T336" s="81"/>
      <x:c r="U336" s="81"/>
      <x:c r="V336" s="81"/>
      <x:c r="W336" s="81"/>
      <x:c r="X336" s="81"/>
      <x:c r="Y336" s="81"/>
      <x:c r="Z336" s="81"/>
    </x:row>
    <x:row r="337">
      <x:c r="A337" s="81"/>
      <x:c r="B337" s="81"/>
      <x:c r="C337" s="81"/>
      <x:c r="D337" s="81"/>
      <x:c r="E337" s="81"/>
      <x:c r="F337" s="81"/>
      <x:c r="G337" s="81"/>
      <x:c r="H337" s="81"/>
      <x:c r="I337" s="81"/>
      <x:c r="J337" s="81"/>
      <x:c r="K337" s="81"/>
      <x:c r="L337" s="81"/>
      <x:c r="M337" s="81"/>
      <x:c r="N337" s="81"/>
      <x:c r="O337" s="81"/>
      <x:c r="P337" s="81"/>
      <x:c r="Q337" s="81"/>
      <x:c r="R337" s="81"/>
      <x:c r="S337" s="81"/>
      <x:c r="T337" s="81"/>
      <x:c r="U337" s="81"/>
      <x:c r="V337" s="81"/>
      <x:c r="W337" s="81"/>
      <x:c r="X337" s="81"/>
      <x:c r="Y337" s="81"/>
      <x:c r="Z337" s="81"/>
    </x:row>
    <x:row r="338">
      <x:c r="A338" s="81"/>
      <x:c r="B338" s="81"/>
      <x:c r="C338" s="81"/>
      <x:c r="D338" s="81"/>
      <x:c r="E338" s="81"/>
      <x:c r="F338" s="81"/>
      <x:c r="G338" s="81"/>
      <x:c r="H338" s="81"/>
      <x:c r="I338" s="81"/>
      <x:c r="J338" s="81"/>
      <x:c r="K338" s="81"/>
      <x:c r="L338" s="81"/>
      <x:c r="M338" s="81"/>
      <x:c r="N338" s="81"/>
      <x:c r="O338" s="81"/>
      <x:c r="P338" s="81"/>
      <x:c r="Q338" s="81"/>
      <x:c r="R338" s="81"/>
      <x:c r="S338" s="81"/>
      <x:c r="T338" s="81"/>
      <x:c r="U338" s="81"/>
      <x:c r="V338" s="81"/>
      <x:c r="W338" s="81"/>
      <x:c r="X338" s="81"/>
      <x:c r="Y338" s="81"/>
      <x:c r="Z338" s="81"/>
    </x:row>
    <x:row r="339">
      <x:c r="A339" s="81"/>
      <x:c r="B339" s="81"/>
      <x:c r="C339" s="81"/>
      <x:c r="D339" s="81"/>
      <x:c r="E339" s="81"/>
      <x:c r="F339" s="81"/>
      <x:c r="G339" s="81"/>
      <x:c r="H339" s="81"/>
      <x:c r="I339" s="81"/>
      <x:c r="J339" s="81"/>
      <x:c r="K339" s="81"/>
      <x:c r="L339" s="81"/>
      <x:c r="M339" s="81"/>
      <x:c r="N339" s="81"/>
      <x:c r="O339" s="81"/>
      <x:c r="P339" s="81"/>
      <x:c r="Q339" s="81"/>
      <x:c r="R339" s="81"/>
      <x:c r="S339" s="81"/>
      <x:c r="T339" s="81"/>
      <x:c r="U339" s="81"/>
      <x:c r="V339" s="81"/>
      <x:c r="W339" s="81"/>
      <x:c r="X339" s="81"/>
      <x:c r="Y339" s="81"/>
      <x:c r="Z339" s="81"/>
    </x:row>
    <x:row r="340">
      <x:c r="A340" s="81"/>
      <x:c r="B340" s="81"/>
      <x:c r="C340" s="81"/>
      <x:c r="D340" s="81"/>
      <x:c r="E340" s="81"/>
      <x:c r="F340" s="81"/>
      <x:c r="G340" s="81"/>
      <x:c r="H340" s="81"/>
      <x:c r="I340" s="81"/>
      <x:c r="J340" s="81"/>
      <x:c r="K340" s="81"/>
      <x:c r="L340" s="81"/>
      <x:c r="M340" s="81"/>
      <x:c r="N340" s="81"/>
      <x:c r="O340" s="81"/>
      <x:c r="P340" s="81"/>
      <x:c r="Q340" s="81"/>
      <x:c r="R340" s="81"/>
      <x:c r="S340" s="81"/>
      <x:c r="T340" s="81"/>
      <x:c r="U340" s="81"/>
      <x:c r="V340" s="81"/>
      <x:c r="W340" s="81"/>
      <x:c r="X340" s="81"/>
      <x:c r="Y340" s="81"/>
      <x:c r="Z340" s="81"/>
    </x:row>
    <x:row r="341">
      <x:c r="A341" s="81"/>
      <x:c r="B341" s="81"/>
      <x:c r="C341" s="81"/>
      <x:c r="D341" s="81"/>
      <x:c r="E341" s="81"/>
      <x:c r="F341" s="81"/>
      <x:c r="G341" s="81"/>
      <x:c r="H341" s="81"/>
      <x:c r="I341" s="81"/>
      <x:c r="J341" s="81"/>
      <x:c r="K341" s="81"/>
      <x:c r="L341" s="81"/>
      <x:c r="M341" s="81"/>
      <x:c r="N341" s="81"/>
      <x:c r="O341" s="81"/>
      <x:c r="P341" s="81"/>
      <x:c r="Q341" s="81"/>
      <x:c r="R341" s="81"/>
      <x:c r="S341" s="81"/>
      <x:c r="T341" s="81"/>
      <x:c r="U341" s="81"/>
      <x:c r="V341" s="81"/>
      <x:c r="W341" s="81"/>
      <x:c r="X341" s="81"/>
      <x:c r="Y341" s="81"/>
      <x:c r="Z341" s="81"/>
    </x:row>
    <x:row r="342">
      <x:c r="A342" s="81"/>
      <x:c r="B342" s="81"/>
      <x:c r="C342" s="81"/>
      <x:c r="D342" s="81"/>
      <x:c r="E342" s="81"/>
      <x:c r="F342" s="81"/>
      <x:c r="G342" s="81"/>
      <x:c r="H342" s="81"/>
      <x:c r="I342" s="81"/>
      <x:c r="J342" s="81"/>
      <x:c r="K342" s="81"/>
      <x:c r="L342" s="81"/>
      <x:c r="M342" s="81"/>
      <x:c r="N342" s="81"/>
      <x:c r="O342" s="81"/>
      <x:c r="P342" s="81"/>
      <x:c r="Q342" s="81"/>
      <x:c r="R342" s="81"/>
      <x:c r="S342" s="81"/>
      <x:c r="T342" s="81"/>
      <x:c r="U342" s="81"/>
      <x:c r="V342" s="81"/>
      <x:c r="W342" s="81"/>
      <x:c r="X342" s="81"/>
      <x:c r="Y342" s="81"/>
      <x:c r="Z342" s="81"/>
    </x:row>
    <x:row r="343">
      <x:c r="A343" s="81"/>
      <x:c r="B343" s="81"/>
      <x:c r="C343" s="81"/>
      <x:c r="D343" s="81"/>
      <x:c r="E343" s="81"/>
      <x:c r="F343" s="81"/>
      <x:c r="G343" s="81"/>
      <x:c r="H343" s="81"/>
      <x:c r="I343" s="81"/>
      <x:c r="J343" s="81"/>
      <x:c r="K343" s="81"/>
      <x:c r="L343" s="81"/>
      <x:c r="M343" s="81"/>
      <x:c r="N343" s="81"/>
      <x:c r="O343" s="81"/>
      <x:c r="P343" s="81"/>
      <x:c r="Q343" s="81"/>
      <x:c r="R343" s="81"/>
      <x:c r="S343" s="81"/>
      <x:c r="T343" s="81"/>
      <x:c r="U343" s="81"/>
      <x:c r="V343" s="81"/>
      <x:c r="W343" s="81"/>
      <x:c r="X343" s="81"/>
      <x:c r="Y343" s="81"/>
      <x:c r="Z343" s="81"/>
    </x:row>
    <x:row r="344">
      <x:c r="A344" s="81"/>
      <x:c r="B344" s="81"/>
      <x:c r="C344" s="81"/>
      <x:c r="D344" s="81"/>
      <x:c r="E344" s="81"/>
      <x:c r="F344" s="81"/>
      <x:c r="G344" s="81"/>
      <x:c r="H344" s="81"/>
      <x:c r="I344" s="81"/>
      <x:c r="J344" s="81"/>
      <x:c r="K344" s="81"/>
      <x:c r="L344" s="81"/>
      <x:c r="M344" s="81"/>
      <x:c r="N344" s="81"/>
      <x:c r="O344" s="81"/>
      <x:c r="P344" s="81"/>
      <x:c r="Q344" s="81"/>
      <x:c r="R344" s="81"/>
      <x:c r="S344" s="81"/>
      <x:c r="T344" s="81"/>
      <x:c r="U344" s="81"/>
      <x:c r="V344" s="81"/>
      <x:c r="W344" s="81"/>
      <x:c r="X344" s="81"/>
      <x:c r="Y344" s="81"/>
      <x:c r="Z344" s="81"/>
    </x:row>
    <x:row r="345">
      <x:c r="A345" s="81"/>
      <x:c r="B345" s="81"/>
      <x:c r="C345" s="81"/>
      <x:c r="D345" s="81"/>
      <x:c r="E345" s="81"/>
      <x:c r="F345" s="81"/>
      <x:c r="G345" s="81"/>
      <x:c r="H345" s="81"/>
      <x:c r="I345" s="81"/>
      <x:c r="J345" s="81"/>
      <x:c r="K345" s="81"/>
      <x:c r="L345" s="81"/>
      <x:c r="M345" s="81"/>
      <x:c r="N345" s="81"/>
      <x:c r="O345" s="81"/>
      <x:c r="P345" s="81"/>
      <x:c r="Q345" s="81"/>
      <x:c r="R345" s="81"/>
      <x:c r="S345" s="81"/>
      <x:c r="T345" s="81"/>
      <x:c r="U345" s="81"/>
      <x:c r="V345" s="81"/>
      <x:c r="W345" s="81"/>
      <x:c r="X345" s="81"/>
      <x:c r="Y345" s="81"/>
      <x:c r="Z345" s="81"/>
    </x:row>
    <x:row r="346">
      <x:c r="A346" s="81"/>
      <x:c r="B346" s="81"/>
      <x:c r="C346" s="81"/>
      <x:c r="D346" s="81"/>
      <x:c r="E346" s="81"/>
      <x:c r="F346" s="81"/>
      <x:c r="G346" s="81"/>
      <x:c r="H346" s="81"/>
      <x:c r="I346" s="81"/>
      <x:c r="J346" s="81"/>
      <x:c r="K346" s="81"/>
      <x:c r="L346" s="81"/>
      <x:c r="M346" s="81"/>
      <x:c r="N346" s="81"/>
      <x:c r="O346" s="81"/>
      <x:c r="P346" s="81"/>
      <x:c r="Q346" s="81"/>
      <x:c r="R346" s="81"/>
      <x:c r="S346" s="81"/>
      <x:c r="T346" s="81"/>
      <x:c r="U346" s="81"/>
      <x:c r="V346" s="81"/>
      <x:c r="W346" s="81"/>
      <x:c r="X346" s="81"/>
      <x:c r="Y346" s="81"/>
      <x:c r="Z346" s="81"/>
    </x:row>
    <x:row r="347">
      <x:c r="A347" s="81"/>
      <x:c r="B347" s="81"/>
      <x:c r="C347" s="81"/>
      <x:c r="D347" s="81"/>
      <x:c r="E347" s="81"/>
      <x:c r="F347" s="81"/>
      <x:c r="G347" s="81"/>
      <x:c r="H347" s="81"/>
      <x:c r="I347" s="81"/>
      <x:c r="J347" s="81"/>
      <x:c r="K347" s="81"/>
      <x:c r="L347" s="81"/>
      <x:c r="M347" s="81"/>
      <x:c r="N347" s="81"/>
      <x:c r="O347" s="81"/>
      <x:c r="P347" s="81"/>
      <x:c r="Q347" s="81"/>
      <x:c r="R347" s="81"/>
      <x:c r="S347" s="81"/>
      <x:c r="T347" s="81"/>
      <x:c r="U347" s="81"/>
      <x:c r="V347" s="81"/>
      <x:c r="W347" s="81"/>
      <x:c r="X347" s="81"/>
      <x:c r="Y347" s="81"/>
      <x:c r="Z347" s="81"/>
    </x:row>
    <x:row r="348">
      <x:c r="A348" s="81"/>
      <x:c r="B348" s="81"/>
      <x:c r="C348" s="81"/>
      <x:c r="D348" s="81"/>
      <x:c r="E348" s="81"/>
      <x:c r="F348" s="81"/>
      <x:c r="G348" s="81"/>
      <x:c r="H348" s="81"/>
      <x:c r="I348" s="81"/>
      <x:c r="J348" s="81"/>
      <x:c r="K348" s="81"/>
      <x:c r="L348" s="81"/>
      <x:c r="M348" s="81"/>
      <x:c r="N348" s="81"/>
      <x:c r="O348" s="81"/>
      <x:c r="P348" s="81"/>
      <x:c r="Q348" s="81"/>
      <x:c r="R348" s="81"/>
      <x:c r="S348" s="81"/>
      <x:c r="T348" s="81"/>
      <x:c r="U348" s="81"/>
      <x:c r="V348" s="81"/>
      <x:c r="W348" s="81"/>
      <x:c r="X348" s="81"/>
      <x:c r="Y348" s="81"/>
      <x:c r="Z348" s="81"/>
    </x:row>
    <x:row r="349">
      <x:c r="A349" s="81"/>
      <x:c r="B349" s="81"/>
      <x:c r="C349" s="81"/>
      <x:c r="D349" s="81"/>
      <x:c r="E349" s="81"/>
      <x:c r="F349" s="81"/>
      <x:c r="G349" s="81"/>
      <x:c r="H349" s="81"/>
      <x:c r="I349" s="81"/>
      <x:c r="J349" s="81"/>
      <x:c r="K349" s="81"/>
      <x:c r="L349" s="81"/>
      <x:c r="M349" s="81"/>
      <x:c r="N349" s="81"/>
      <x:c r="O349" s="81"/>
      <x:c r="P349" s="81"/>
      <x:c r="Q349" s="81"/>
      <x:c r="R349" s="81"/>
      <x:c r="S349" s="81"/>
      <x:c r="T349" s="81"/>
      <x:c r="U349" s="81"/>
      <x:c r="V349" s="81"/>
      <x:c r="W349" s="81"/>
      <x:c r="X349" s="81"/>
      <x:c r="Y349" s="81"/>
      <x:c r="Z349" s="81"/>
    </x:row>
    <x:row r="350">
      <x:c r="A350" s="81"/>
      <x:c r="B350" s="81"/>
      <x:c r="C350" s="81"/>
      <x:c r="D350" s="81"/>
      <x:c r="E350" s="81"/>
      <x:c r="F350" s="81"/>
      <x:c r="G350" s="81"/>
      <x:c r="H350" s="81"/>
      <x:c r="I350" s="81"/>
      <x:c r="J350" s="81"/>
      <x:c r="K350" s="81"/>
      <x:c r="L350" s="81"/>
      <x:c r="M350" s="81"/>
      <x:c r="N350" s="81"/>
      <x:c r="O350" s="81"/>
      <x:c r="P350" s="81"/>
      <x:c r="Q350" s="81"/>
      <x:c r="R350" s="81"/>
      <x:c r="S350" s="81"/>
      <x:c r="T350" s="81"/>
      <x:c r="U350" s="81"/>
      <x:c r="V350" s="81"/>
      <x:c r="W350" s="81"/>
      <x:c r="X350" s="81"/>
      <x:c r="Y350" s="81"/>
      <x:c r="Z350" s="81"/>
    </x:row>
    <x:row r="351">
      <x:c r="A351" s="81"/>
      <x:c r="B351" s="81"/>
      <x:c r="C351" s="81"/>
      <x:c r="D351" s="81"/>
      <x:c r="E351" s="81"/>
      <x:c r="F351" s="81"/>
      <x:c r="G351" s="81"/>
      <x:c r="H351" s="81"/>
      <x:c r="I351" s="81"/>
      <x:c r="J351" s="81"/>
      <x:c r="K351" s="81"/>
      <x:c r="L351" s="81"/>
      <x:c r="M351" s="81"/>
      <x:c r="N351" s="81"/>
      <x:c r="O351" s="81"/>
      <x:c r="P351" s="81"/>
      <x:c r="Q351" s="81"/>
      <x:c r="R351" s="81"/>
      <x:c r="S351" s="81"/>
      <x:c r="T351" s="81"/>
      <x:c r="U351" s="81"/>
      <x:c r="V351" s="81"/>
      <x:c r="W351" s="81"/>
      <x:c r="X351" s="81"/>
      <x:c r="Y351" s="81"/>
      <x:c r="Z351" s="81"/>
    </x:row>
    <x:row r="352">
      <x:c r="A352" s="81"/>
      <x:c r="B352" s="81"/>
      <x:c r="C352" s="81"/>
      <x:c r="D352" s="81"/>
      <x:c r="E352" s="81"/>
      <x:c r="F352" s="81"/>
      <x:c r="G352" s="81"/>
      <x:c r="H352" s="81"/>
      <x:c r="I352" s="81"/>
      <x:c r="J352" s="81"/>
      <x:c r="K352" s="81"/>
      <x:c r="L352" s="81"/>
      <x:c r="M352" s="81"/>
      <x:c r="N352" s="81"/>
      <x:c r="O352" s="81"/>
      <x:c r="P352" s="81"/>
      <x:c r="Q352" s="81"/>
      <x:c r="R352" s="81"/>
      <x:c r="S352" s="81"/>
      <x:c r="T352" s="81"/>
      <x:c r="U352" s="81"/>
      <x:c r="V352" s="81"/>
      <x:c r="W352" s="81"/>
      <x:c r="X352" s="81"/>
      <x:c r="Y352" s="81"/>
      <x:c r="Z352" s="81"/>
    </x:row>
    <x:row r="353">
      <x:c r="A353" s="81"/>
      <x:c r="B353" s="81"/>
      <x:c r="C353" s="81"/>
      <x:c r="D353" s="81"/>
      <x:c r="E353" s="81"/>
      <x:c r="F353" s="81"/>
      <x:c r="G353" s="81"/>
      <x:c r="H353" s="81"/>
      <x:c r="I353" s="81"/>
      <x:c r="J353" s="81"/>
      <x:c r="K353" s="81"/>
      <x:c r="L353" s="81"/>
      <x:c r="M353" s="81"/>
      <x:c r="N353" s="81"/>
      <x:c r="O353" s="81"/>
      <x:c r="P353" s="81"/>
      <x:c r="Q353" s="81"/>
      <x:c r="R353" s="81"/>
      <x:c r="S353" s="81"/>
      <x:c r="T353" s="81"/>
      <x:c r="U353" s="81"/>
      <x:c r="V353" s="81"/>
      <x:c r="W353" s="81"/>
      <x:c r="X353" s="81"/>
      <x:c r="Y353" s="81"/>
      <x:c r="Z353" s="81"/>
    </x:row>
    <x:row r="354">
      <x:c r="A354" s="81"/>
      <x:c r="B354" s="81"/>
      <x:c r="C354" s="81"/>
      <x:c r="D354" s="81"/>
      <x:c r="E354" s="81"/>
      <x:c r="F354" s="81"/>
      <x:c r="G354" s="81"/>
      <x:c r="H354" s="81"/>
      <x:c r="I354" s="81"/>
      <x:c r="J354" s="81"/>
      <x:c r="K354" s="81"/>
      <x:c r="L354" s="81"/>
      <x:c r="M354" s="81"/>
      <x:c r="N354" s="81"/>
      <x:c r="O354" s="81"/>
      <x:c r="P354" s="81"/>
      <x:c r="Q354" s="81"/>
      <x:c r="R354" s="81"/>
      <x:c r="S354" s="81"/>
      <x:c r="T354" s="81"/>
      <x:c r="U354" s="81"/>
      <x:c r="V354" s="81"/>
      <x:c r="W354" s="81"/>
      <x:c r="X354" s="81"/>
      <x:c r="Y354" s="81"/>
      <x:c r="Z354" s="81"/>
    </x:row>
    <x:row r="355">
      <x:c r="A355" s="81"/>
      <x:c r="B355" s="81"/>
      <x:c r="C355" s="81"/>
      <x:c r="D355" s="81"/>
      <x:c r="E355" s="81"/>
      <x:c r="F355" s="81"/>
      <x:c r="G355" s="81"/>
      <x:c r="H355" s="81"/>
      <x:c r="I355" s="81"/>
      <x:c r="J355" s="81"/>
      <x:c r="K355" s="81"/>
      <x:c r="L355" s="81"/>
      <x:c r="M355" s="81"/>
      <x:c r="N355" s="81"/>
      <x:c r="O355" s="81"/>
      <x:c r="P355" s="81"/>
      <x:c r="Q355" s="81"/>
      <x:c r="R355" s="81"/>
      <x:c r="S355" s="81"/>
      <x:c r="T355" s="81"/>
      <x:c r="U355" s="81"/>
      <x:c r="V355" s="81"/>
      <x:c r="W355" s="81"/>
      <x:c r="X355" s="81"/>
      <x:c r="Y355" s="81"/>
      <x:c r="Z355" s="81"/>
    </x:row>
    <x:row r="356">
      <x:c r="A356" s="81"/>
      <x:c r="B356" s="81"/>
      <x:c r="C356" s="81"/>
      <x:c r="D356" s="81"/>
      <x:c r="E356" s="81"/>
      <x:c r="F356" s="81"/>
      <x:c r="G356" s="81"/>
      <x:c r="H356" s="81"/>
      <x:c r="I356" s="81"/>
      <x:c r="J356" s="81"/>
      <x:c r="K356" s="81"/>
      <x:c r="L356" s="81"/>
      <x:c r="M356" s="81"/>
      <x:c r="N356" s="81"/>
      <x:c r="O356" s="81"/>
      <x:c r="P356" s="81"/>
      <x:c r="Q356" s="81"/>
      <x:c r="R356" s="81"/>
      <x:c r="S356" s="81"/>
      <x:c r="T356" s="81"/>
      <x:c r="U356" s="81"/>
      <x:c r="V356" s="81"/>
      <x:c r="W356" s="81"/>
      <x:c r="X356" s="81"/>
      <x:c r="Y356" s="81"/>
      <x:c r="Z356" s="81"/>
    </x:row>
    <x:row r="357">
      <x:c r="A357" s="81"/>
      <x:c r="B357" s="81"/>
      <x:c r="C357" s="81"/>
      <x:c r="D357" s="81"/>
      <x:c r="E357" s="81"/>
      <x:c r="F357" s="81"/>
      <x:c r="G357" s="81"/>
      <x:c r="H357" s="81"/>
      <x:c r="I357" s="81"/>
      <x:c r="J357" s="81"/>
      <x:c r="K357" s="81"/>
      <x:c r="L357" s="81"/>
      <x:c r="M357" s="81"/>
      <x:c r="N357" s="81"/>
      <x:c r="O357" s="81"/>
      <x:c r="P357" s="81"/>
      <x:c r="Q357" s="81"/>
      <x:c r="R357" s="81"/>
      <x:c r="S357" s="81"/>
      <x:c r="T357" s="81"/>
      <x:c r="U357" s="81"/>
      <x:c r="V357" s="81"/>
      <x:c r="W357" s="81"/>
      <x:c r="X357" s="81"/>
      <x:c r="Y357" s="81"/>
      <x:c r="Z357" s="81"/>
    </x:row>
    <x:row r="358">
      <x:c r="A358" s="81"/>
      <x:c r="B358" s="81"/>
      <x:c r="C358" s="81"/>
      <x:c r="D358" s="81"/>
      <x:c r="E358" s="81"/>
      <x:c r="F358" s="81"/>
      <x:c r="G358" s="81"/>
      <x:c r="H358" s="81"/>
      <x:c r="I358" s="81"/>
      <x:c r="J358" s="81"/>
      <x:c r="K358" s="81"/>
      <x:c r="L358" s="81"/>
      <x:c r="M358" s="81"/>
      <x:c r="N358" s="81"/>
      <x:c r="O358" s="81"/>
      <x:c r="P358" s="81"/>
      <x:c r="Q358" s="81"/>
      <x:c r="R358" s="81"/>
      <x:c r="S358" s="81"/>
      <x:c r="T358" s="81"/>
      <x:c r="U358" s="81"/>
      <x:c r="V358" s="81"/>
      <x:c r="W358" s="81"/>
      <x:c r="X358" s="81"/>
      <x:c r="Y358" s="81"/>
      <x:c r="Z358" s="81"/>
    </x:row>
    <x:row r="359">
      <x:c r="A359" s="81"/>
      <x:c r="B359" s="81"/>
      <x:c r="C359" s="81"/>
      <x:c r="D359" s="81"/>
      <x:c r="E359" s="81"/>
      <x:c r="F359" s="81"/>
      <x:c r="G359" s="81"/>
      <x:c r="H359" s="81"/>
      <x:c r="I359" s="81"/>
      <x:c r="J359" s="81"/>
      <x:c r="K359" s="81"/>
      <x:c r="L359" s="81"/>
      <x:c r="M359" s="81"/>
      <x:c r="N359" s="81"/>
      <x:c r="O359" s="81"/>
      <x:c r="P359" s="81"/>
      <x:c r="Q359" s="81"/>
      <x:c r="R359" s="81"/>
      <x:c r="S359" s="81"/>
      <x:c r="T359" s="81"/>
      <x:c r="U359" s="81"/>
      <x:c r="V359" s="81"/>
      <x:c r="W359" s="81"/>
      <x:c r="X359" s="81"/>
      <x:c r="Y359" s="81"/>
      <x:c r="Z359" s="81"/>
    </x:row>
    <x:row r="360">
      <x:c r="A360" s="81"/>
      <x:c r="B360" s="81"/>
      <x:c r="C360" s="81"/>
      <x:c r="D360" s="81"/>
      <x:c r="E360" s="81"/>
      <x:c r="F360" s="81"/>
      <x:c r="G360" s="81"/>
      <x:c r="H360" s="81"/>
      <x:c r="I360" s="81"/>
      <x:c r="J360" s="81"/>
      <x:c r="K360" s="81"/>
      <x:c r="L360" s="81"/>
      <x:c r="M360" s="81"/>
      <x:c r="N360" s="81"/>
      <x:c r="O360" s="81"/>
      <x:c r="P360" s="81"/>
      <x:c r="Q360" s="81"/>
      <x:c r="R360" s="81"/>
      <x:c r="S360" s="81"/>
      <x:c r="T360" s="81"/>
      <x:c r="U360" s="81"/>
      <x:c r="V360" s="81"/>
      <x:c r="W360" s="81"/>
      <x:c r="X360" s="81"/>
      <x:c r="Y360" s="81"/>
      <x:c r="Z360" s="81"/>
    </x:row>
    <x:row r="361">
      <x:c r="A361" s="81"/>
      <x:c r="B361" s="81"/>
      <x:c r="C361" s="81"/>
      <x:c r="D361" s="81"/>
      <x:c r="E361" s="81"/>
      <x:c r="F361" s="81"/>
      <x:c r="G361" s="81"/>
      <x:c r="H361" s="81"/>
      <x:c r="I361" s="81"/>
      <x:c r="J361" s="81"/>
      <x:c r="K361" s="81"/>
      <x:c r="L361" s="81"/>
      <x:c r="M361" s="81"/>
      <x:c r="N361" s="81"/>
      <x:c r="O361" s="81"/>
      <x:c r="P361" s="81"/>
      <x:c r="Q361" s="81"/>
      <x:c r="R361" s="81"/>
      <x:c r="S361" s="81"/>
      <x:c r="T361" s="81"/>
      <x:c r="U361" s="81"/>
      <x:c r="V361" s="81"/>
      <x:c r="W361" s="81"/>
      <x:c r="X361" s="81"/>
      <x:c r="Y361" s="81"/>
      <x:c r="Z361" s="81"/>
    </x:row>
    <x:row r="362">
      <x:c r="A362" s="81"/>
      <x:c r="B362" s="81"/>
      <x:c r="C362" s="81"/>
      <x:c r="D362" s="81"/>
      <x:c r="E362" s="81"/>
      <x:c r="F362" s="81"/>
      <x:c r="G362" s="81"/>
      <x:c r="H362" s="81"/>
      <x:c r="I362" s="81"/>
      <x:c r="J362" s="81"/>
      <x:c r="K362" s="81"/>
      <x:c r="L362" s="81"/>
      <x:c r="M362" s="81"/>
      <x:c r="N362" s="81"/>
      <x:c r="O362" s="81"/>
      <x:c r="P362" s="81"/>
      <x:c r="Q362" s="81"/>
      <x:c r="R362" s="81"/>
      <x:c r="S362" s="81"/>
      <x:c r="T362" s="81"/>
      <x:c r="U362" s="81"/>
      <x:c r="V362" s="81"/>
      <x:c r="W362" s="81"/>
      <x:c r="X362" s="81"/>
      <x:c r="Y362" s="81"/>
      <x:c r="Z362" s="81"/>
    </x:row>
    <x:row r="363">
      <x:c r="A363" s="81"/>
      <x:c r="B363" s="81"/>
      <x:c r="C363" s="81"/>
      <x:c r="D363" s="81"/>
      <x:c r="E363" s="81"/>
      <x:c r="F363" s="81"/>
      <x:c r="G363" s="81"/>
      <x:c r="H363" s="81"/>
      <x:c r="I363" s="81"/>
      <x:c r="J363" s="81"/>
      <x:c r="K363" s="81"/>
      <x:c r="L363" s="81"/>
      <x:c r="M363" s="81"/>
      <x:c r="N363" s="81"/>
      <x:c r="O363" s="81"/>
      <x:c r="P363" s="81"/>
      <x:c r="Q363" s="81"/>
      <x:c r="R363" s="81"/>
      <x:c r="S363" s="81"/>
      <x:c r="T363" s="81"/>
      <x:c r="U363" s="81"/>
      <x:c r="V363" s="81"/>
      <x:c r="W363" s="81"/>
      <x:c r="X363" s="81"/>
      <x:c r="Y363" s="81"/>
      <x:c r="Z363" s="81"/>
    </x:row>
    <x:row r="364">
      <x:c r="A364" s="81"/>
      <x:c r="B364" s="81"/>
      <x:c r="C364" s="81"/>
      <x:c r="D364" s="81"/>
      <x:c r="E364" s="81"/>
      <x:c r="F364" s="81"/>
      <x:c r="G364" s="81"/>
      <x:c r="H364" s="81"/>
      <x:c r="I364" s="81"/>
      <x:c r="J364" s="81"/>
      <x:c r="K364" s="81"/>
      <x:c r="L364" s="81"/>
      <x:c r="M364" s="81"/>
      <x:c r="N364" s="81"/>
      <x:c r="O364" s="81"/>
      <x:c r="P364" s="81"/>
      <x:c r="Q364" s="81"/>
      <x:c r="R364" s="81"/>
      <x:c r="S364" s="81"/>
      <x:c r="T364" s="81"/>
      <x:c r="U364" s="81"/>
      <x:c r="V364" s="81"/>
      <x:c r="W364" s="81"/>
      <x:c r="X364" s="81"/>
      <x:c r="Y364" s="81"/>
      <x:c r="Z364" s="81"/>
    </x:row>
    <x:row r="365">
      <x:c r="A365" s="81"/>
      <x:c r="B365" s="81"/>
      <x:c r="C365" s="81"/>
      <x:c r="D365" s="81"/>
      <x:c r="E365" s="81"/>
      <x:c r="F365" s="81"/>
      <x:c r="G365" s="81"/>
      <x:c r="H365" s="81"/>
      <x:c r="I365" s="81"/>
      <x:c r="J365" s="81"/>
      <x:c r="K365" s="81"/>
      <x:c r="L365" s="81"/>
      <x:c r="M365" s="81"/>
      <x:c r="N365" s="81"/>
      <x:c r="O365" s="81"/>
      <x:c r="P365" s="81"/>
      <x:c r="Q365" s="81"/>
      <x:c r="R365" s="81"/>
      <x:c r="S365" s="81"/>
      <x:c r="T365" s="81"/>
      <x:c r="U365" s="81"/>
      <x:c r="V365" s="81"/>
      <x:c r="W365" s="81"/>
      <x:c r="X365" s="81"/>
      <x:c r="Y365" s="81"/>
      <x:c r="Z365" s="81"/>
    </x:row>
    <x:row r="366">
      <x:c r="A366" s="81"/>
      <x:c r="B366" s="81"/>
      <x:c r="C366" s="81"/>
      <x:c r="D366" s="81"/>
      <x:c r="E366" s="81"/>
      <x:c r="F366" s="81"/>
      <x:c r="G366" s="81"/>
      <x:c r="H366" s="81"/>
      <x:c r="I366" s="81"/>
      <x:c r="J366" s="81"/>
      <x:c r="K366" s="81"/>
      <x:c r="L366" s="81"/>
      <x:c r="M366" s="81"/>
      <x:c r="N366" s="81"/>
      <x:c r="O366" s="81"/>
      <x:c r="P366" s="81"/>
      <x:c r="Q366" s="81"/>
      <x:c r="R366" s="81"/>
      <x:c r="S366" s="81"/>
      <x:c r="T366" s="81"/>
      <x:c r="U366" s="81"/>
      <x:c r="V366" s="81"/>
      <x:c r="W366" s="81"/>
      <x:c r="X366" s="81"/>
      <x:c r="Y366" s="81"/>
      <x:c r="Z366" s="81"/>
    </x:row>
    <x:row r="367">
      <x:c r="A367" s="81"/>
      <x:c r="B367" s="81"/>
      <x:c r="C367" s="81"/>
      <x:c r="D367" s="81"/>
      <x:c r="E367" s="81"/>
      <x:c r="F367" s="81"/>
      <x:c r="G367" s="81"/>
      <x:c r="H367" s="81"/>
      <x:c r="I367" s="81"/>
      <x:c r="J367" s="81"/>
      <x:c r="K367" s="81"/>
      <x:c r="L367" s="81"/>
      <x:c r="M367" s="81"/>
      <x:c r="N367" s="81"/>
      <x:c r="O367" s="81"/>
      <x:c r="P367" s="81"/>
      <x:c r="Q367" s="81"/>
      <x:c r="R367" s="81"/>
      <x:c r="S367" s="81"/>
      <x:c r="T367" s="81"/>
      <x:c r="U367" s="81"/>
      <x:c r="V367" s="81"/>
      <x:c r="W367" s="81"/>
      <x:c r="X367" s="81"/>
      <x:c r="Y367" s="81"/>
      <x:c r="Z367" s="81"/>
    </x:row>
    <x:row r="368">
      <x:c r="A368" s="81"/>
      <x:c r="B368" s="81"/>
      <x:c r="C368" s="81"/>
      <x:c r="D368" s="81"/>
      <x:c r="E368" s="81"/>
      <x:c r="F368" s="81"/>
      <x:c r="G368" s="81"/>
      <x:c r="H368" s="81"/>
      <x:c r="I368" s="81"/>
      <x:c r="J368" s="81"/>
      <x:c r="K368" s="81"/>
      <x:c r="L368" s="81"/>
      <x:c r="M368" s="81"/>
      <x:c r="N368" s="81"/>
      <x:c r="O368" s="81"/>
      <x:c r="P368" s="81"/>
      <x:c r="Q368" s="81"/>
      <x:c r="R368" s="81"/>
      <x:c r="S368" s="81"/>
      <x:c r="T368" s="81"/>
      <x:c r="U368" s="81"/>
      <x:c r="V368" s="81"/>
      <x:c r="W368" s="81"/>
      <x:c r="X368" s="81"/>
      <x:c r="Y368" s="81"/>
      <x:c r="Z368" s="81"/>
    </x:row>
    <x:row r="369">
      <x:c r="A369" s="81"/>
      <x:c r="B369" s="81"/>
      <x:c r="C369" s="81"/>
      <x:c r="D369" s="81"/>
      <x:c r="E369" s="81"/>
      <x:c r="F369" s="81"/>
      <x:c r="G369" s="81"/>
      <x:c r="H369" s="81"/>
      <x:c r="I369" s="81"/>
      <x:c r="J369" s="81"/>
      <x:c r="K369" s="81"/>
      <x:c r="L369" s="81"/>
      <x:c r="M369" s="81"/>
      <x:c r="N369" s="81"/>
      <x:c r="O369" s="81"/>
      <x:c r="P369" s="81"/>
      <x:c r="Q369" s="81"/>
      <x:c r="R369" s="81"/>
      <x:c r="S369" s="81"/>
      <x:c r="T369" s="81"/>
      <x:c r="U369" s="81"/>
      <x:c r="V369" s="81"/>
      <x:c r="W369" s="81"/>
      <x:c r="X369" s="81"/>
      <x:c r="Y369" s="81"/>
      <x:c r="Z369" s="81"/>
    </x:row>
    <x:row r="370">
      <x:c r="A370" s="81"/>
      <x:c r="B370" s="81"/>
      <x:c r="C370" s="81"/>
      <x:c r="D370" s="81"/>
      <x:c r="E370" s="81"/>
      <x:c r="F370" s="81"/>
      <x:c r="G370" s="81"/>
      <x:c r="H370" s="81"/>
      <x:c r="I370" s="81"/>
      <x:c r="J370" s="81"/>
      <x:c r="K370" s="81"/>
      <x:c r="L370" s="81"/>
      <x:c r="M370" s="81"/>
      <x:c r="N370" s="81"/>
      <x:c r="O370" s="81"/>
      <x:c r="P370" s="81"/>
      <x:c r="Q370" s="81"/>
      <x:c r="R370" s="81"/>
      <x:c r="S370" s="81"/>
      <x:c r="T370" s="81"/>
      <x:c r="U370" s="81"/>
      <x:c r="V370" s="81"/>
      <x:c r="W370" s="81"/>
      <x:c r="X370" s="81"/>
      <x:c r="Y370" s="81"/>
      <x:c r="Z370" s="81"/>
    </x:row>
    <x:row r="371">
      <x:c r="A371" s="81"/>
      <x:c r="B371" s="81"/>
      <x:c r="C371" s="81"/>
      <x:c r="D371" s="81"/>
      <x:c r="E371" s="81"/>
      <x:c r="F371" s="81"/>
      <x:c r="G371" s="81"/>
      <x:c r="H371" s="81"/>
      <x:c r="I371" s="81"/>
      <x:c r="J371" s="81"/>
      <x:c r="K371" s="81"/>
      <x:c r="L371" s="81"/>
      <x:c r="M371" s="81"/>
      <x:c r="N371" s="81"/>
      <x:c r="O371" s="81"/>
      <x:c r="P371" s="81"/>
      <x:c r="Q371" s="81"/>
      <x:c r="R371" s="81"/>
      <x:c r="S371" s="81"/>
      <x:c r="T371" s="81"/>
      <x:c r="U371" s="81"/>
      <x:c r="V371" s="81"/>
      <x:c r="W371" s="81"/>
      <x:c r="X371" s="81"/>
      <x:c r="Y371" s="81"/>
      <x:c r="Z371" s="81"/>
    </x:row>
    <x:row r="372">
      <x:c r="A372" s="81"/>
      <x:c r="B372" s="81"/>
      <x:c r="C372" s="81"/>
      <x:c r="D372" s="81"/>
      <x:c r="E372" s="81"/>
      <x:c r="F372" s="81"/>
      <x:c r="G372" s="81"/>
      <x:c r="H372" s="81"/>
      <x:c r="I372" s="81"/>
      <x:c r="J372" s="81"/>
      <x:c r="K372" s="81"/>
      <x:c r="L372" s="81"/>
      <x:c r="M372" s="81"/>
      <x:c r="N372" s="81"/>
      <x:c r="O372" s="81"/>
      <x:c r="P372" s="81"/>
      <x:c r="Q372" s="81"/>
      <x:c r="R372" s="81"/>
      <x:c r="S372" s="81"/>
      <x:c r="T372" s="81"/>
      <x:c r="U372" s="81"/>
      <x:c r="V372" s="81"/>
      <x:c r="W372" s="81"/>
      <x:c r="X372" s="81"/>
      <x:c r="Y372" s="81"/>
      <x:c r="Z372" s="81"/>
    </x:row>
    <x:row r="373">
      <x:c r="A373" s="81"/>
      <x:c r="B373" s="81"/>
      <x:c r="C373" s="81"/>
      <x:c r="D373" s="81"/>
      <x:c r="E373" s="81"/>
      <x:c r="F373" s="81"/>
      <x:c r="G373" s="81"/>
      <x:c r="H373" s="81"/>
      <x:c r="I373" s="81"/>
      <x:c r="J373" s="81"/>
      <x:c r="K373" s="81"/>
      <x:c r="L373" s="81"/>
      <x:c r="M373" s="81"/>
      <x:c r="N373" s="81"/>
      <x:c r="O373" s="81"/>
      <x:c r="P373" s="81"/>
      <x:c r="Q373" s="81"/>
      <x:c r="R373" s="81"/>
      <x:c r="S373" s="81"/>
      <x:c r="T373" s="81"/>
      <x:c r="U373" s="81"/>
      <x:c r="V373" s="81"/>
      <x:c r="W373" s="81"/>
      <x:c r="X373" s="81"/>
      <x:c r="Y373" s="81"/>
      <x:c r="Z373" s="81"/>
    </x:row>
    <x:row r="374">
      <x:c r="A374" s="81"/>
      <x:c r="B374" s="81"/>
      <x:c r="C374" s="81"/>
      <x:c r="D374" s="81"/>
      <x:c r="E374" s="81"/>
      <x:c r="F374" s="81"/>
      <x:c r="G374" s="81"/>
      <x:c r="H374" s="81"/>
      <x:c r="I374" s="81"/>
      <x:c r="J374" s="81"/>
      <x:c r="K374" s="81"/>
      <x:c r="L374" s="81"/>
      <x:c r="M374" s="81"/>
      <x:c r="N374" s="81"/>
      <x:c r="O374" s="81"/>
      <x:c r="P374" s="81"/>
      <x:c r="Q374" s="81"/>
      <x:c r="R374" s="81"/>
      <x:c r="S374" s="81"/>
      <x:c r="T374" s="81"/>
      <x:c r="U374" s="81"/>
      <x:c r="V374" s="81"/>
      <x:c r="W374" s="81"/>
      <x:c r="X374" s="81"/>
      <x:c r="Y374" s="81"/>
      <x:c r="Z374" s="81"/>
    </x:row>
    <x:row r="375">
      <x:c r="A375" s="81"/>
      <x:c r="B375" s="81"/>
      <x:c r="C375" s="81"/>
      <x:c r="D375" s="81"/>
      <x:c r="E375" s="81"/>
      <x:c r="F375" s="81"/>
      <x:c r="G375" s="81"/>
      <x:c r="H375" s="81"/>
      <x:c r="I375" s="81"/>
      <x:c r="J375" s="81"/>
      <x:c r="K375" s="81"/>
      <x:c r="L375" s="81"/>
      <x:c r="M375" s="81"/>
      <x:c r="N375" s="81"/>
      <x:c r="O375" s="81"/>
      <x:c r="P375" s="81"/>
      <x:c r="Q375" s="81"/>
      <x:c r="R375" s="81"/>
      <x:c r="S375" s="81"/>
      <x:c r="T375" s="81"/>
      <x:c r="U375" s="81"/>
      <x:c r="V375" s="81"/>
      <x:c r="W375" s="81"/>
      <x:c r="X375" s="81"/>
      <x:c r="Y375" s="81"/>
      <x:c r="Z375" s="81"/>
    </x:row>
    <x:row r="376">
      <x:c r="A376" s="81"/>
      <x:c r="B376" s="81"/>
      <x:c r="C376" s="81"/>
      <x:c r="D376" s="81"/>
      <x:c r="E376" s="81"/>
      <x:c r="F376" s="81"/>
      <x:c r="G376" s="81"/>
      <x:c r="H376" s="81"/>
      <x:c r="I376" s="81"/>
      <x:c r="J376" s="81"/>
      <x:c r="K376" s="81"/>
      <x:c r="L376" s="81"/>
      <x:c r="M376" s="81"/>
      <x:c r="N376" s="81"/>
      <x:c r="O376" s="81"/>
      <x:c r="P376" s="81"/>
      <x:c r="Q376" s="81"/>
      <x:c r="R376" s="81"/>
      <x:c r="S376" s="81"/>
      <x:c r="T376" s="81"/>
      <x:c r="U376" s="81"/>
      <x:c r="V376" s="81"/>
      <x:c r="W376" s="81"/>
      <x:c r="X376" s="81"/>
      <x:c r="Y376" s="81"/>
      <x:c r="Z376" s="81"/>
    </x:row>
    <x:row r="377">
      <x:c r="A377" s="81"/>
      <x:c r="B377" s="81"/>
      <x:c r="C377" s="81"/>
      <x:c r="D377" s="81"/>
      <x:c r="E377" s="81"/>
      <x:c r="F377" s="81"/>
      <x:c r="G377" s="81"/>
      <x:c r="H377" s="81"/>
      <x:c r="I377" s="81"/>
      <x:c r="J377" s="81"/>
      <x:c r="K377" s="81"/>
      <x:c r="L377" s="81"/>
      <x:c r="M377" s="81"/>
      <x:c r="N377" s="81"/>
      <x:c r="O377" s="81"/>
      <x:c r="P377" s="81"/>
      <x:c r="Q377" s="81"/>
      <x:c r="R377" s="81"/>
      <x:c r="S377" s="81"/>
      <x:c r="T377" s="81"/>
      <x:c r="U377" s="81"/>
      <x:c r="V377" s="81"/>
      <x:c r="W377" s="81"/>
      <x:c r="X377" s="81"/>
      <x:c r="Y377" s="81"/>
      <x:c r="Z377" s="81"/>
    </x:row>
    <x:row r="378">
      <x:c r="A378" s="81"/>
      <x:c r="B378" s="81"/>
      <x:c r="C378" s="81"/>
      <x:c r="D378" s="81"/>
      <x:c r="E378" s="81"/>
      <x:c r="F378" s="81"/>
      <x:c r="G378" s="81"/>
      <x:c r="H378" s="81"/>
      <x:c r="I378" s="81"/>
      <x:c r="J378" s="81"/>
      <x:c r="K378" s="81"/>
      <x:c r="L378" s="81"/>
      <x:c r="M378" s="81"/>
      <x:c r="N378" s="81"/>
      <x:c r="O378" s="81"/>
      <x:c r="P378" s="81"/>
      <x:c r="Q378" s="81"/>
      <x:c r="R378" s="81"/>
      <x:c r="S378" s="81"/>
      <x:c r="T378" s="81"/>
      <x:c r="U378" s="81"/>
      <x:c r="V378" s="81"/>
      <x:c r="W378" s="81"/>
      <x:c r="X378" s="81"/>
      <x:c r="Y378" s="81"/>
      <x:c r="Z378" s="81"/>
    </x:row>
    <x:row r="379">
      <x:c r="A379" s="81"/>
      <x:c r="B379" s="81"/>
      <x:c r="C379" s="81"/>
      <x:c r="D379" s="81"/>
      <x:c r="E379" s="81"/>
      <x:c r="F379" s="81"/>
      <x:c r="G379" s="81"/>
      <x:c r="H379" s="81"/>
      <x:c r="I379" s="81"/>
      <x:c r="J379" s="81"/>
      <x:c r="K379" s="81"/>
      <x:c r="L379" s="81"/>
      <x:c r="M379" s="81"/>
      <x:c r="N379" s="81"/>
      <x:c r="O379" s="81"/>
      <x:c r="P379" s="81"/>
      <x:c r="Q379" s="81"/>
      <x:c r="R379" s="81"/>
      <x:c r="S379" s="81"/>
      <x:c r="T379" s="81"/>
      <x:c r="U379" s="81"/>
      <x:c r="V379" s="81"/>
      <x:c r="W379" s="81"/>
      <x:c r="X379" s="81"/>
      <x:c r="Y379" s="81"/>
      <x:c r="Z379" s="81"/>
    </x:row>
    <x:row r="380">
      <x:c r="A380" s="81"/>
      <x:c r="B380" s="81"/>
      <x:c r="C380" s="81"/>
      <x:c r="D380" s="81"/>
      <x:c r="E380" s="81"/>
      <x:c r="F380" s="81"/>
      <x:c r="G380" s="81"/>
      <x:c r="H380" s="81"/>
      <x:c r="I380" s="81"/>
      <x:c r="J380" s="81"/>
      <x:c r="K380" s="81"/>
      <x:c r="L380" s="81"/>
      <x:c r="M380" s="81"/>
      <x:c r="N380" s="81"/>
      <x:c r="O380" s="81"/>
      <x:c r="P380" s="81"/>
      <x:c r="Q380" s="81"/>
      <x:c r="R380" s="81"/>
      <x:c r="S380" s="81"/>
      <x:c r="T380" s="81"/>
      <x:c r="U380" s="81"/>
      <x:c r="V380" s="81"/>
      <x:c r="W380" s="81"/>
      <x:c r="X380" s="81"/>
      <x:c r="Y380" s="81"/>
      <x:c r="Z380" s="81"/>
    </x:row>
    <x:row r="381">
      <x:c r="A381" s="81"/>
      <x:c r="B381" s="81"/>
      <x:c r="C381" s="81"/>
      <x:c r="D381" s="81"/>
      <x:c r="E381" s="81"/>
      <x:c r="F381" s="81"/>
      <x:c r="G381" s="81"/>
      <x:c r="H381" s="81"/>
      <x:c r="I381" s="81"/>
      <x:c r="J381" s="81"/>
      <x:c r="K381" s="81"/>
      <x:c r="L381" s="81"/>
      <x:c r="M381" s="81"/>
      <x:c r="N381" s="81"/>
      <x:c r="O381" s="81"/>
      <x:c r="P381" s="81"/>
      <x:c r="Q381" s="81"/>
      <x:c r="R381" s="81"/>
      <x:c r="S381" s="81"/>
      <x:c r="T381" s="81"/>
      <x:c r="U381" s="81"/>
      <x:c r="V381" s="81"/>
      <x:c r="W381" s="81"/>
      <x:c r="X381" s="81"/>
      <x:c r="Y381" s="81"/>
      <x:c r="Z381" s="81"/>
    </x:row>
    <x:row r="382">
      <x:c r="A382" s="81"/>
      <x:c r="B382" s="81"/>
      <x:c r="C382" s="81"/>
      <x:c r="D382" s="81"/>
      <x:c r="E382" s="81"/>
      <x:c r="F382" s="81"/>
      <x:c r="G382" s="81"/>
      <x:c r="H382" s="81"/>
      <x:c r="I382" s="81"/>
      <x:c r="J382" s="81"/>
      <x:c r="K382" s="81"/>
      <x:c r="L382" s="81"/>
      <x:c r="M382" s="81"/>
      <x:c r="N382" s="81"/>
      <x:c r="O382" s="81"/>
      <x:c r="P382" s="81"/>
      <x:c r="Q382" s="81"/>
      <x:c r="R382" s="81"/>
      <x:c r="S382" s="81"/>
      <x:c r="T382" s="81"/>
      <x:c r="U382" s="81"/>
      <x:c r="V382" s="81"/>
      <x:c r="W382" s="81"/>
      <x:c r="X382" s="81"/>
      <x:c r="Y382" s="81"/>
      <x:c r="Z382" s="81"/>
    </x:row>
    <x:row r="383">
      <x:c r="A383" s="81"/>
      <x:c r="B383" s="81"/>
      <x:c r="C383" s="81"/>
      <x:c r="D383" s="81"/>
      <x:c r="E383" s="81"/>
      <x:c r="F383" s="81"/>
      <x:c r="G383" s="81"/>
      <x:c r="H383" s="81"/>
      <x:c r="I383" s="81"/>
      <x:c r="J383" s="81"/>
      <x:c r="K383" s="81"/>
      <x:c r="L383" s="81"/>
      <x:c r="M383" s="81"/>
      <x:c r="N383" s="81"/>
      <x:c r="O383" s="81"/>
      <x:c r="P383" s="81"/>
      <x:c r="Q383" s="81"/>
      <x:c r="R383" s="81"/>
      <x:c r="S383" s="81"/>
      <x:c r="T383" s="81"/>
      <x:c r="U383" s="81"/>
      <x:c r="V383" s="81"/>
      <x:c r="W383" s="81"/>
      <x:c r="X383" s="81"/>
      <x:c r="Y383" s="81"/>
      <x:c r="Z383" s="81"/>
    </x:row>
    <x:row r="384">
      <x:c r="A384" s="81"/>
      <x:c r="B384" s="81"/>
      <x:c r="C384" s="81"/>
      <x:c r="D384" s="81"/>
      <x:c r="E384" s="81"/>
      <x:c r="F384" s="81"/>
      <x:c r="G384" s="81"/>
      <x:c r="H384" s="81"/>
      <x:c r="I384" s="81"/>
      <x:c r="J384" s="81"/>
      <x:c r="K384" s="81"/>
      <x:c r="L384" s="81"/>
      <x:c r="M384" s="81"/>
      <x:c r="N384" s="81"/>
      <x:c r="O384" s="81"/>
      <x:c r="P384" s="81"/>
      <x:c r="Q384" s="81"/>
      <x:c r="R384" s="81"/>
      <x:c r="S384" s="81"/>
      <x:c r="T384" s="81"/>
      <x:c r="U384" s="81"/>
      <x:c r="V384" s="81"/>
      <x:c r="W384" s="81"/>
      <x:c r="X384" s="81"/>
      <x:c r="Y384" s="81"/>
      <x:c r="Z384" s="81"/>
    </x:row>
    <x:row r="385">
      <x:c r="A385" s="81"/>
      <x:c r="B385" s="81"/>
      <x:c r="C385" s="81"/>
      <x:c r="D385" s="81"/>
      <x:c r="E385" s="81"/>
      <x:c r="F385" s="81"/>
      <x:c r="G385" s="81"/>
      <x:c r="H385" s="81"/>
      <x:c r="I385" s="81"/>
      <x:c r="J385" s="81"/>
      <x:c r="K385" s="81"/>
      <x:c r="L385" s="81"/>
      <x:c r="M385" s="81"/>
      <x:c r="N385" s="81"/>
      <x:c r="O385" s="81"/>
      <x:c r="P385" s="81"/>
      <x:c r="Q385" s="81"/>
      <x:c r="R385" s="81"/>
      <x:c r="S385" s="81"/>
      <x:c r="T385" s="81"/>
      <x:c r="U385" s="81"/>
      <x:c r="V385" s="81"/>
      <x:c r="W385" s="81"/>
      <x:c r="X385" s="81"/>
      <x:c r="Y385" s="81"/>
      <x:c r="Z385" s="81"/>
    </x:row>
    <x:row r="386">
      <x:c r="A386" s="81"/>
      <x:c r="B386" s="81"/>
      <x:c r="C386" s="81"/>
      <x:c r="D386" s="81"/>
      <x:c r="E386" s="81"/>
      <x:c r="F386" s="81"/>
      <x:c r="G386" s="81"/>
      <x:c r="H386" s="81"/>
      <x:c r="I386" s="81"/>
      <x:c r="J386" s="81"/>
      <x:c r="K386" s="81"/>
      <x:c r="L386" s="81"/>
      <x:c r="M386" s="81"/>
      <x:c r="N386" s="81"/>
      <x:c r="O386" s="81"/>
      <x:c r="P386" s="81"/>
      <x:c r="Q386" s="81"/>
      <x:c r="R386" s="81"/>
      <x:c r="S386" s="81"/>
      <x:c r="T386" s="81"/>
      <x:c r="U386" s="81"/>
      <x:c r="V386" s="81"/>
      <x:c r="W386" s="81"/>
      <x:c r="X386" s="81"/>
      <x:c r="Y386" s="81"/>
      <x:c r="Z386" s="81"/>
    </x:row>
    <x:row r="387">
      <x:c r="A387" s="81"/>
      <x:c r="B387" s="81"/>
      <x:c r="C387" s="81"/>
      <x:c r="D387" s="81"/>
      <x:c r="E387" s="81"/>
      <x:c r="F387" s="81"/>
      <x:c r="G387" s="81"/>
      <x:c r="H387" s="81"/>
      <x:c r="I387" s="81"/>
      <x:c r="J387" s="81"/>
      <x:c r="K387" s="81"/>
      <x:c r="L387" s="81"/>
      <x:c r="M387" s="81"/>
      <x:c r="N387" s="81"/>
      <x:c r="O387" s="81"/>
      <x:c r="P387" s="81"/>
      <x:c r="Q387" s="81"/>
      <x:c r="R387" s="81"/>
      <x:c r="S387" s="81"/>
      <x:c r="T387" s="81"/>
      <x:c r="U387" s="81"/>
      <x:c r="V387" s="81"/>
      <x:c r="W387" s="81"/>
      <x:c r="X387" s="81"/>
      <x:c r="Y387" s="81"/>
      <x:c r="Z387" s="81"/>
    </x:row>
    <x:row r="388">
      <x:c r="A388" s="81"/>
      <x:c r="B388" s="81"/>
      <x:c r="C388" s="81"/>
      <x:c r="D388" s="81"/>
      <x:c r="E388" s="81"/>
      <x:c r="F388" s="81"/>
      <x:c r="G388" s="81"/>
      <x:c r="H388" s="81"/>
      <x:c r="I388" s="81"/>
      <x:c r="J388" s="81"/>
      <x:c r="K388" s="81"/>
      <x:c r="L388" s="81"/>
      <x:c r="M388" s="81"/>
      <x:c r="N388" s="81"/>
      <x:c r="O388" s="81"/>
      <x:c r="P388" s="81"/>
      <x:c r="Q388" s="81"/>
      <x:c r="R388" s="81"/>
      <x:c r="S388" s="81"/>
      <x:c r="T388" s="81"/>
      <x:c r="U388" s="81"/>
      <x:c r="V388" s="81"/>
      <x:c r="W388" s="81"/>
      <x:c r="X388" s="81"/>
      <x:c r="Y388" s="81"/>
      <x:c r="Z388" s="81"/>
    </x:row>
    <x:row r="389">
      <x:c r="A389" s="81"/>
      <x:c r="B389" s="81"/>
      <x:c r="C389" s="81"/>
      <x:c r="D389" s="81"/>
      <x:c r="E389" s="81"/>
      <x:c r="F389" s="81"/>
      <x:c r="G389" s="81"/>
      <x:c r="H389" s="81"/>
      <x:c r="I389" s="81"/>
      <x:c r="J389" s="81"/>
      <x:c r="K389" s="81"/>
      <x:c r="L389" s="81"/>
      <x:c r="M389" s="81"/>
      <x:c r="N389" s="81"/>
      <x:c r="O389" s="81"/>
      <x:c r="P389" s="81"/>
      <x:c r="Q389" s="81"/>
      <x:c r="R389" s="81"/>
      <x:c r="S389" s="81"/>
      <x:c r="T389" s="81"/>
      <x:c r="U389" s="81"/>
      <x:c r="V389" s="81"/>
      <x:c r="W389" s="81"/>
      <x:c r="X389" s="81"/>
      <x:c r="Y389" s="81"/>
      <x:c r="Z389" s="81"/>
    </x:row>
    <x:row r="390">
      <x:c r="A390" s="81"/>
      <x:c r="B390" s="81"/>
      <x:c r="C390" s="81"/>
      <x:c r="D390" s="81"/>
      <x:c r="E390" s="81"/>
      <x:c r="F390" s="81"/>
      <x:c r="G390" s="81"/>
      <x:c r="H390" s="81"/>
      <x:c r="I390" s="81"/>
      <x:c r="J390" s="81"/>
      <x:c r="K390" s="81"/>
      <x:c r="L390" s="81"/>
      <x:c r="M390" s="81"/>
      <x:c r="N390" s="81"/>
      <x:c r="O390" s="81"/>
      <x:c r="P390" s="81"/>
      <x:c r="Q390" s="81"/>
      <x:c r="R390" s="81"/>
      <x:c r="S390" s="81"/>
      <x:c r="T390" s="81"/>
      <x:c r="U390" s="81"/>
      <x:c r="V390" s="81"/>
      <x:c r="W390" s="81"/>
      <x:c r="X390" s="81"/>
      <x:c r="Y390" s="81"/>
      <x:c r="Z390" s="81"/>
    </x:row>
    <x:row r="391">
      <x:c r="A391" s="81"/>
      <x:c r="B391" s="81"/>
      <x:c r="C391" s="81"/>
      <x:c r="D391" s="81"/>
      <x:c r="E391" s="81"/>
      <x:c r="F391" s="81"/>
      <x:c r="G391" s="81"/>
      <x:c r="H391" s="81"/>
      <x:c r="I391" s="81"/>
      <x:c r="J391" s="81"/>
      <x:c r="K391" s="81"/>
      <x:c r="L391" s="81"/>
      <x:c r="M391" s="81"/>
      <x:c r="N391" s="81"/>
      <x:c r="O391" s="81"/>
      <x:c r="P391" s="81"/>
      <x:c r="Q391" s="81"/>
      <x:c r="R391" s="81"/>
      <x:c r="S391" s="81"/>
      <x:c r="T391" s="81"/>
      <x:c r="U391" s="81"/>
      <x:c r="V391" s="81"/>
      <x:c r="W391" s="81"/>
      <x:c r="X391" s="81"/>
      <x:c r="Y391" s="81"/>
      <x:c r="Z391" s="81"/>
    </x:row>
    <x:row r="392">
      <x:c r="A392" s="81"/>
      <x:c r="B392" s="81"/>
      <x:c r="C392" s="81"/>
      <x:c r="D392" s="81"/>
      <x:c r="E392" s="81"/>
      <x:c r="F392" s="81"/>
      <x:c r="G392" s="81"/>
      <x:c r="H392" s="81"/>
      <x:c r="I392" s="81"/>
      <x:c r="J392" s="81"/>
      <x:c r="K392" s="81"/>
      <x:c r="L392" s="81"/>
      <x:c r="M392" s="81"/>
      <x:c r="N392" s="81"/>
      <x:c r="O392" s="81"/>
      <x:c r="P392" s="81"/>
      <x:c r="Q392" s="81"/>
      <x:c r="R392" s="81"/>
      <x:c r="S392" s="81"/>
      <x:c r="T392" s="81"/>
      <x:c r="U392" s="81"/>
      <x:c r="V392" s="81"/>
      <x:c r="W392" s="81"/>
      <x:c r="X392" s="81"/>
      <x:c r="Y392" s="81"/>
      <x:c r="Z392" s="81"/>
    </x:row>
    <x:row r="393">
      <x:c r="A393" s="81"/>
      <x:c r="B393" s="81"/>
      <x:c r="C393" s="81"/>
      <x:c r="D393" s="81"/>
      <x:c r="E393" s="81"/>
      <x:c r="F393" s="81"/>
      <x:c r="G393" s="81"/>
      <x:c r="H393" s="81"/>
      <x:c r="I393" s="81"/>
      <x:c r="J393" s="81"/>
      <x:c r="K393" s="81"/>
      <x:c r="L393" s="81"/>
      <x:c r="M393" s="81"/>
      <x:c r="N393" s="81"/>
      <x:c r="O393" s="81"/>
      <x:c r="P393" s="81"/>
      <x:c r="Q393" s="81"/>
      <x:c r="R393" s="81"/>
      <x:c r="S393" s="81"/>
      <x:c r="T393" s="81"/>
      <x:c r="U393" s="81"/>
      <x:c r="V393" s="81"/>
      <x:c r="W393" s="81"/>
      <x:c r="X393" s="81"/>
      <x:c r="Y393" s="81"/>
      <x:c r="Z393" s="81"/>
    </x:row>
    <x:row r="394">
      <x:c r="A394" s="81"/>
      <x:c r="B394" s="81"/>
      <x:c r="C394" s="81"/>
      <x:c r="D394" s="81"/>
      <x:c r="E394" s="81"/>
      <x:c r="F394" s="81"/>
      <x:c r="G394" s="81"/>
      <x:c r="H394" s="81"/>
      <x:c r="I394" s="81"/>
      <x:c r="J394" s="81"/>
      <x:c r="K394" s="81"/>
      <x:c r="L394" s="81"/>
      <x:c r="M394" s="81"/>
      <x:c r="N394" s="81"/>
      <x:c r="O394" s="81"/>
      <x:c r="P394" s="81"/>
      <x:c r="Q394" s="81"/>
      <x:c r="R394" s="81"/>
      <x:c r="S394" s="81"/>
      <x:c r="T394" s="81"/>
      <x:c r="U394" s="81"/>
      <x:c r="V394" s="81"/>
      <x:c r="W394" s="81"/>
      <x:c r="X394" s="81"/>
      <x:c r="Y394" s="81"/>
      <x:c r="Z394" s="81"/>
    </x:row>
    <x:row r="395">
      <x:c r="A395" s="81"/>
      <x:c r="B395" s="81"/>
      <x:c r="C395" s="81"/>
      <x:c r="D395" s="81"/>
      <x:c r="E395" s="81"/>
      <x:c r="F395" s="81"/>
      <x:c r="G395" s="81"/>
      <x:c r="H395" s="81"/>
      <x:c r="I395" s="81"/>
      <x:c r="J395" s="81"/>
      <x:c r="K395" s="81"/>
      <x:c r="L395" s="81"/>
      <x:c r="M395" s="81"/>
      <x:c r="N395" s="81"/>
      <x:c r="O395" s="81"/>
      <x:c r="P395" s="81"/>
      <x:c r="Q395" s="81"/>
      <x:c r="R395" s="81"/>
      <x:c r="S395" s="81"/>
      <x:c r="T395" s="81"/>
      <x:c r="U395" s="81"/>
      <x:c r="V395" s="81"/>
      <x:c r="W395" s="81"/>
      <x:c r="X395" s="81"/>
      <x:c r="Y395" s="81"/>
      <x:c r="Z395" s="81"/>
    </x:row>
    <x:row r="396">
      <x:c r="A396" s="81"/>
      <x:c r="B396" s="81"/>
      <x:c r="C396" s="81"/>
      <x:c r="D396" s="81"/>
      <x:c r="E396" s="81"/>
      <x:c r="F396" s="81"/>
      <x:c r="G396" s="81"/>
      <x:c r="H396" s="81"/>
      <x:c r="I396" s="81"/>
      <x:c r="J396" s="81"/>
      <x:c r="K396" s="81"/>
      <x:c r="L396" s="81"/>
      <x:c r="M396" s="81"/>
      <x:c r="N396" s="81"/>
      <x:c r="O396" s="81"/>
      <x:c r="P396" s="81"/>
      <x:c r="Q396" s="81"/>
      <x:c r="R396" s="81"/>
      <x:c r="S396" s="81"/>
      <x:c r="T396" s="81"/>
      <x:c r="U396" s="81"/>
      <x:c r="V396" s="81"/>
      <x:c r="W396" s="81"/>
      <x:c r="X396" s="81"/>
      <x:c r="Y396" s="81"/>
      <x:c r="Z396" s="81"/>
    </x:row>
    <x:row r="397">
      <x:c r="A397" s="81"/>
      <x:c r="B397" s="81"/>
      <x:c r="C397" s="81"/>
      <x:c r="D397" s="81"/>
      <x:c r="E397" s="81"/>
      <x:c r="F397" s="81"/>
      <x:c r="G397" s="81"/>
      <x:c r="H397" s="81"/>
      <x:c r="I397" s="81"/>
      <x:c r="J397" s="81"/>
      <x:c r="K397" s="81"/>
      <x:c r="L397" s="81"/>
      <x:c r="M397" s="81"/>
      <x:c r="N397" s="81"/>
      <x:c r="O397" s="81"/>
      <x:c r="P397" s="81"/>
      <x:c r="Q397" s="81"/>
      <x:c r="R397" s="81"/>
      <x:c r="S397" s="81"/>
      <x:c r="T397" s="81"/>
      <x:c r="U397" s="81"/>
      <x:c r="V397" s="81"/>
      <x:c r="W397" s="81"/>
      <x:c r="X397" s="81"/>
      <x:c r="Y397" s="81"/>
      <x:c r="Z397" s="81"/>
    </x:row>
    <x:row r="398">
      <x:c r="A398" s="81"/>
      <x:c r="B398" s="81"/>
      <x:c r="C398" s="81"/>
      <x:c r="D398" s="81"/>
      <x:c r="E398" s="81"/>
      <x:c r="F398" s="81"/>
      <x:c r="G398" s="81"/>
      <x:c r="H398" s="81"/>
      <x:c r="I398" s="81"/>
      <x:c r="J398" s="81"/>
      <x:c r="K398" s="81"/>
      <x:c r="L398" s="81"/>
      <x:c r="M398" s="81"/>
      <x:c r="N398" s="81"/>
      <x:c r="O398" s="81"/>
      <x:c r="P398" s="81"/>
      <x:c r="Q398" s="81"/>
      <x:c r="R398" s="81"/>
      <x:c r="S398" s="81"/>
      <x:c r="T398" s="81"/>
      <x:c r="U398" s="81"/>
      <x:c r="V398" s="81"/>
      <x:c r="W398" s="81"/>
      <x:c r="X398" s="81"/>
      <x:c r="Y398" s="81"/>
      <x:c r="Z398" s="81"/>
    </x:row>
    <x:row r="399">
      <x:c r="A399" s="81"/>
      <x:c r="B399" s="81"/>
      <x:c r="C399" s="81"/>
      <x:c r="D399" s="81"/>
      <x:c r="E399" s="81"/>
      <x:c r="F399" s="81"/>
      <x:c r="G399" s="81"/>
      <x:c r="H399" s="81"/>
      <x:c r="I399" s="81"/>
      <x:c r="J399" s="81"/>
      <x:c r="K399" s="81"/>
      <x:c r="L399" s="81"/>
      <x:c r="M399" s="81"/>
      <x:c r="N399" s="81"/>
      <x:c r="O399" s="81"/>
      <x:c r="P399" s="81"/>
      <x:c r="Q399" s="81"/>
      <x:c r="R399" s="81"/>
      <x:c r="S399" s="81"/>
      <x:c r="T399" s="81"/>
      <x:c r="U399" s="81"/>
      <x:c r="V399" s="81"/>
      <x:c r="W399" s="81"/>
      <x:c r="X399" s="81"/>
      <x:c r="Y399" s="81"/>
      <x:c r="Z399" s="81"/>
    </x:row>
    <x:row r="400">
      <x:c r="A400" s="81"/>
      <x:c r="B400" s="81"/>
      <x:c r="C400" s="81"/>
      <x:c r="D400" s="81"/>
      <x:c r="E400" s="81"/>
      <x:c r="F400" s="81"/>
      <x:c r="G400" s="81"/>
      <x:c r="H400" s="81"/>
      <x:c r="I400" s="81"/>
      <x:c r="J400" s="81"/>
      <x:c r="K400" s="81"/>
      <x:c r="L400" s="81"/>
      <x:c r="M400" s="81"/>
      <x:c r="N400" s="81"/>
      <x:c r="O400" s="81"/>
      <x:c r="P400" s="81"/>
      <x:c r="Q400" s="81"/>
      <x:c r="R400" s="81"/>
      <x:c r="S400" s="81"/>
      <x:c r="T400" s="81"/>
      <x:c r="U400" s="81"/>
      <x:c r="V400" s="81"/>
      <x:c r="W400" s="81"/>
      <x:c r="X400" s="81"/>
      <x:c r="Y400" s="81"/>
      <x:c r="Z400" s="81"/>
    </x:row>
    <x:row r="401">
      <x:c r="A401" s="81"/>
      <x:c r="B401" s="81"/>
      <x:c r="C401" s="81"/>
      <x:c r="D401" s="81"/>
      <x:c r="E401" s="81"/>
      <x:c r="F401" s="81"/>
      <x:c r="G401" s="81"/>
      <x:c r="H401" s="81"/>
      <x:c r="I401" s="81"/>
      <x:c r="J401" s="81"/>
      <x:c r="K401" s="81"/>
      <x:c r="L401" s="81"/>
      <x:c r="M401" s="81"/>
      <x:c r="N401" s="81"/>
      <x:c r="O401" s="81"/>
      <x:c r="P401" s="81"/>
      <x:c r="Q401" s="81"/>
      <x:c r="R401" s="81"/>
      <x:c r="S401" s="81"/>
      <x:c r="T401" s="81"/>
      <x:c r="U401" s="81"/>
      <x:c r="V401" s="81"/>
      <x:c r="W401" s="81"/>
      <x:c r="X401" s="81"/>
      <x:c r="Y401" s="81"/>
      <x:c r="Z401" s="81"/>
    </x:row>
    <x:row r="402">
      <x:c r="A402" s="81"/>
      <x:c r="B402" s="81"/>
      <x:c r="C402" s="81"/>
      <x:c r="D402" s="81"/>
      <x:c r="E402" s="81"/>
      <x:c r="F402" s="81"/>
      <x:c r="G402" s="81"/>
      <x:c r="H402" s="81"/>
      <x:c r="I402" s="81"/>
      <x:c r="J402" s="81"/>
      <x:c r="K402" s="81"/>
      <x:c r="L402" s="81"/>
      <x:c r="M402" s="81"/>
      <x:c r="N402" s="81"/>
      <x:c r="O402" s="81"/>
      <x:c r="P402" s="81"/>
      <x:c r="Q402" s="81"/>
      <x:c r="R402" s="81"/>
      <x:c r="S402" s="81"/>
      <x:c r="T402" s="81"/>
      <x:c r="U402" s="81"/>
      <x:c r="V402" s="81"/>
      <x:c r="W402" s="81"/>
      <x:c r="X402" s="81"/>
      <x:c r="Y402" s="81"/>
      <x:c r="Z402" s="81"/>
    </x:row>
    <x:row r="403">
      <x:c r="A403" s="81"/>
      <x:c r="B403" s="81"/>
      <x:c r="C403" s="81"/>
      <x:c r="D403" s="81"/>
      <x:c r="E403" s="81"/>
      <x:c r="F403" s="81"/>
      <x:c r="G403" s="81"/>
      <x:c r="H403" s="81"/>
      <x:c r="I403" s="81"/>
      <x:c r="J403" s="81"/>
      <x:c r="K403" s="81"/>
      <x:c r="L403" s="81"/>
      <x:c r="M403" s="81"/>
      <x:c r="N403" s="81"/>
      <x:c r="O403" s="81"/>
      <x:c r="P403" s="81"/>
      <x:c r="Q403" s="81"/>
      <x:c r="R403" s="81"/>
      <x:c r="S403" s="81"/>
      <x:c r="T403" s="81"/>
      <x:c r="U403" s="81"/>
      <x:c r="V403" s="81"/>
      <x:c r="W403" s="81"/>
      <x:c r="X403" s="81"/>
      <x:c r="Y403" s="81"/>
      <x:c r="Z403" s="81"/>
    </x:row>
    <x:row r="404">
      <x:c r="A404" s="81"/>
      <x:c r="B404" s="81"/>
      <x:c r="C404" s="81"/>
      <x:c r="D404" s="81"/>
      <x:c r="E404" s="81"/>
      <x:c r="F404" s="81"/>
      <x:c r="G404" s="81"/>
      <x:c r="H404" s="81"/>
      <x:c r="I404" s="81"/>
      <x:c r="J404" s="81"/>
      <x:c r="K404" s="81"/>
      <x:c r="L404" s="81"/>
      <x:c r="M404" s="81"/>
      <x:c r="N404" s="81"/>
      <x:c r="O404" s="81"/>
      <x:c r="P404" s="81"/>
      <x:c r="Q404" s="81"/>
      <x:c r="R404" s="81"/>
      <x:c r="S404" s="81"/>
      <x:c r="T404" s="81"/>
      <x:c r="U404" s="81"/>
      <x:c r="V404" s="81"/>
      <x:c r="W404" s="81"/>
      <x:c r="X404" s="81"/>
      <x:c r="Y404" s="81"/>
      <x:c r="Z404" s="81"/>
    </x:row>
    <x:row r="405">
      <x:c r="A405" s="81"/>
      <x:c r="B405" s="81"/>
      <x:c r="C405" s="81"/>
      <x:c r="D405" s="81"/>
      <x:c r="E405" s="81"/>
      <x:c r="F405" s="81"/>
      <x:c r="G405" s="81"/>
      <x:c r="H405" s="81"/>
      <x:c r="I405" s="81"/>
      <x:c r="J405" s="81"/>
      <x:c r="K405" s="81"/>
      <x:c r="L405" s="81"/>
      <x:c r="M405" s="81"/>
      <x:c r="N405" s="81"/>
      <x:c r="O405" s="81"/>
      <x:c r="P405" s="81"/>
      <x:c r="Q405" s="81"/>
      <x:c r="R405" s="81"/>
      <x:c r="S405" s="81"/>
      <x:c r="T405" s="81"/>
      <x:c r="U405" s="81"/>
      <x:c r="V405" s="81"/>
      <x:c r="W405" s="81"/>
      <x:c r="X405" s="81"/>
      <x:c r="Y405" s="81"/>
      <x:c r="Z405" s="81"/>
    </x:row>
    <x:row r="406">
      <x:c r="A406" s="81"/>
      <x:c r="B406" s="81"/>
      <x:c r="C406" s="81"/>
      <x:c r="D406" s="81"/>
      <x:c r="E406" s="81"/>
      <x:c r="F406" s="81"/>
      <x:c r="G406" s="81"/>
      <x:c r="H406" s="81"/>
      <x:c r="I406" s="81"/>
      <x:c r="J406" s="81"/>
      <x:c r="K406" s="81"/>
      <x:c r="L406" s="81"/>
      <x:c r="M406" s="81"/>
      <x:c r="N406" s="81"/>
      <x:c r="O406" s="81"/>
      <x:c r="P406" s="81"/>
      <x:c r="Q406" s="81"/>
      <x:c r="R406" s="81"/>
      <x:c r="S406" s="81"/>
      <x:c r="T406" s="81"/>
      <x:c r="U406" s="81"/>
      <x:c r="V406" s="81"/>
      <x:c r="W406" s="81"/>
      <x:c r="X406" s="81"/>
      <x:c r="Y406" s="81"/>
      <x:c r="Z406" s="81"/>
    </x:row>
    <x:row r="407">
      <x:c r="A407" s="81"/>
      <x:c r="B407" s="81"/>
      <x:c r="C407" s="81"/>
      <x:c r="D407" s="81"/>
      <x:c r="E407" s="81"/>
      <x:c r="F407" s="81"/>
      <x:c r="G407" s="81"/>
      <x:c r="H407" s="81"/>
      <x:c r="I407" s="81"/>
      <x:c r="J407" s="81"/>
      <x:c r="K407" s="81"/>
      <x:c r="L407" s="81"/>
      <x:c r="M407" s="81"/>
      <x:c r="N407" s="81"/>
      <x:c r="O407" s="81"/>
      <x:c r="P407" s="81"/>
      <x:c r="Q407" s="81"/>
      <x:c r="R407" s="81"/>
      <x:c r="S407" s="81"/>
      <x:c r="T407" s="81"/>
      <x:c r="U407" s="81"/>
      <x:c r="V407" s="81"/>
      <x:c r="W407" s="81"/>
      <x:c r="X407" s="81"/>
      <x:c r="Y407" s="81"/>
      <x:c r="Z407" s="81"/>
    </x:row>
    <x:row r="408">
      <x:c r="A408" s="81"/>
      <x:c r="B408" s="81"/>
      <x:c r="C408" s="81"/>
      <x:c r="D408" s="81"/>
      <x:c r="E408" s="81"/>
      <x:c r="F408" s="81"/>
      <x:c r="G408" s="81"/>
      <x:c r="H408" s="81"/>
      <x:c r="I408" s="81"/>
      <x:c r="J408" s="81"/>
      <x:c r="K408" s="81"/>
      <x:c r="L408" s="81"/>
      <x:c r="M408" s="81"/>
      <x:c r="N408" s="81"/>
      <x:c r="O408" s="81"/>
      <x:c r="P408" s="81"/>
      <x:c r="Q408" s="81"/>
      <x:c r="R408" s="81"/>
      <x:c r="S408" s="81"/>
      <x:c r="T408" s="81"/>
      <x:c r="U408" s="81"/>
      <x:c r="V408" s="81"/>
      <x:c r="W408" s="81"/>
      <x:c r="X408" s="81"/>
      <x:c r="Y408" s="81"/>
      <x:c r="Z408" s="81"/>
    </x:row>
    <x:row r="409">
      <x:c r="A409" s="81"/>
      <x:c r="B409" s="81"/>
      <x:c r="C409" s="81"/>
      <x:c r="D409" s="81"/>
      <x:c r="E409" s="81"/>
      <x:c r="F409" s="81"/>
      <x:c r="G409" s="81"/>
      <x:c r="H409" s="81"/>
      <x:c r="I409" s="81"/>
      <x:c r="J409" s="81"/>
      <x:c r="K409" s="81"/>
      <x:c r="L409" s="81"/>
      <x:c r="M409" s="81"/>
      <x:c r="N409" s="81"/>
      <x:c r="O409" s="81"/>
      <x:c r="P409" s="81"/>
      <x:c r="Q409" s="81"/>
      <x:c r="R409" s="81"/>
      <x:c r="S409" s="81"/>
      <x:c r="T409" s="81"/>
      <x:c r="U409" s="81"/>
      <x:c r="V409" s="81"/>
      <x:c r="W409" s="81"/>
      <x:c r="X409" s="81"/>
      <x:c r="Y409" s="81"/>
      <x:c r="Z409" s="81"/>
    </x:row>
    <x:row r="410">
      <x:c r="A410" s="81"/>
      <x:c r="B410" s="81"/>
      <x:c r="C410" s="81"/>
      <x:c r="D410" s="81"/>
      <x:c r="E410" s="81"/>
      <x:c r="F410" s="81"/>
      <x:c r="G410" s="81"/>
      <x:c r="H410" s="81"/>
      <x:c r="I410" s="81"/>
      <x:c r="J410" s="81"/>
      <x:c r="K410" s="81"/>
      <x:c r="L410" s="81"/>
      <x:c r="M410" s="81"/>
      <x:c r="N410" s="81"/>
      <x:c r="O410" s="81"/>
      <x:c r="P410" s="81"/>
      <x:c r="Q410" s="81"/>
      <x:c r="R410" s="81"/>
      <x:c r="S410" s="81"/>
      <x:c r="T410" s="81"/>
      <x:c r="U410" s="81"/>
      <x:c r="V410" s="81"/>
      <x:c r="W410" s="81"/>
      <x:c r="X410" s="81"/>
      <x:c r="Y410" s="81"/>
      <x:c r="Z410" s="81"/>
    </x:row>
    <x:row r="411">
      <x:c r="A411" s="81"/>
      <x:c r="B411" s="81"/>
      <x:c r="C411" s="81"/>
      <x:c r="D411" s="81"/>
      <x:c r="E411" s="81"/>
      <x:c r="F411" s="81"/>
      <x:c r="G411" s="81"/>
      <x:c r="H411" s="81"/>
      <x:c r="I411" s="81"/>
      <x:c r="J411" s="81"/>
      <x:c r="K411" s="81"/>
      <x:c r="L411" s="81"/>
      <x:c r="M411" s="81"/>
      <x:c r="N411" s="81"/>
      <x:c r="O411" s="81"/>
      <x:c r="P411" s="81"/>
      <x:c r="Q411" s="81"/>
      <x:c r="R411" s="81"/>
      <x:c r="S411" s="81"/>
      <x:c r="T411" s="81"/>
      <x:c r="U411" s="81"/>
      <x:c r="V411" s="81"/>
      <x:c r="W411" s="81"/>
      <x:c r="X411" s="81"/>
      <x:c r="Y411" s="81"/>
      <x:c r="Z411" s="81"/>
    </x:row>
    <x:row r="412">
      <x:c r="A412" s="81"/>
      <x:c r="B412" s="81"/>
      <x:c r="C412" s="81"/>
      <x:c r="D412" s="81"/>
      <x:c r="E412" s="81"/>
      <x:c r="F412" s="81"/>
      <x:c r="G412" s="81"/>
      <x:c r="H412" s="81"/>
      <x:c r="I412" s="81"/>
      <x:c r="J412" s="81"/>
      <x:c r="K412" s="81"/>
      <x:c r="L412" s="81"/>
      <x:c r="M412" s="81"/>
      <x:c r="N412" s="81"/>
      <x:c r="O412" s="81"/>
      <x:c r="P412" s="81"/>
      <x:c r="Q412" s="81"/>
      <x:c r="R412" s="81"/>
      <x:c r="S412" s="81"/>
      <x:c r="T412" s="81"/>
      <x:c r="U412" s="81"/>
      <x:c r="V412" s="81"/>
      <x:c r="W412" s="81"/>
      <x:c r="X412" s="81"/>
      <x:c r="Y412" s="81"/>
      <x:c r="Z412" s="81"/>
    </x:row>
    <x:row r="413">
      <x:c r="A413" s="81"/>
      <x:c r="B413" s="81"/>
      <x:c r="C413" s="81"/>
      <x:c r="D413" s="81"/>
      <x:c r="E413" s="81"/>
      <x:c r="F413" s="81"/>
      <x:c r="G413" s="81"/>
      <x:c r="H413" s="81"/>
      <x:c r="I413" s="81"/>
      <x:c r="J413" s="81"/>
      <x:c r="K413" s="81"/>
      <x:c r="L413" s="81"/>
      <x:c r="M413" s="81"/>
      <x:c r="N413" s="81"/>
      <x:c r="O413" s="81"/>
      <x:c r="P413" s="81"/>
      <x:c r="Q413" s="81"/>
      <x:c r="R413" s="81"/>
      <x:c r="S413" s="81"/>
      <x:c r="T413" s="81"/>
      <x:c r="U413" s="81"/>
      <x:c r="V413" s="81"/>
      <x:c r="W413" s="81"/>
      <x:c r="X413" s="81"/>
      <x:c r="Y413" s="81"/>
      <x:c r="Z413" s="81"/>
    </x:row>
    <x:row r="414">
      <x:c r="A414" s="81"/>
      <x:c r="B414" s="81"/>
      <x:c r="C414" s="81"/>
      <x:c r="D414" s="81"/>
      <x:c r="E414" s="81"/>
      <x:c r="F414" s="81"/>
      <x:c r="G414" s="81"/>
      <x:c r="H414" s="81"/>
      <x:c r="I414" s="81"/>
      <x:c r="J414" s="81"/>
      <x:c r="K414" s="81"/>
      <x:c r="L414" s="81"/>
      <x:c r="M414" s="81"/>
      <x:c r="N414" s="81"/>
      <x:c r="O414" s="81"/>
      <x:c r="P414" s="81"/>
      <x:c r="Q414" s="81"/>
      <x:c r="R414" s="81"/>
      <x:c r="S414" s="81"/>
      <x:c r="T414" s="81"/>
      <x:c r="U414" s="81"/>
      <x:c r="V414" s="81"/>
      <x:c r="W414" s="81"/>
      <x:c r="X414" s="81"/>
      <x:c r="Y414" s="81"/>
      <x:c r="Z414" s="81"/>
    </x:row>
    <x:row r="415">
      <x:c r="A415" s="81"/>
      <x:c r="B415" s="81"/>
      <x:c r="C415" s="81"/>
      <x:c r="D415" s="81"/>
      <x:c r="E415" s="81"/>
      <x:c r="F415" s="81"/>
      <x:c r="G415" s="81"/>
      <x:c r="H415" s="81"/>
      <x:c r="I415" s="81"/>
      <x:c r="J415" s="81"/>
      <x:c r="K415" s="81"/>
      <x:c r="L415" s="81"/>
      <x:c r="M415" s="81"/>
      <x:c r="N415" s="81"/>
      <x:c r="O415" s="81"/>
      <x:c r="P415" s="81"/>
      <x:c r="Q415" s="81"/>
      <x:c r="R415" s="81"/>
      <x:c r="S415" s="81"/>
      <x:c r="T415" s="81"/>
      <x:c r="U415" s="81"/>
      <x:c r="V415" s="81"/>
      <x:c r="W415" s="81"/>
      <x:c r="X415" s="81"/>
      <x:c r="Y415" s="81"/>
      <x:c r="Z415" s="81"/>
    </x:row>
    <x:row r="416">
      <x:c r="A416" s="81"/>
      <x:c r="B416" s="81"/>
      <x:c r="C416" s="81"/>
      <x:c r="D416" s="81"/>
      <x:c r="E416" s="81"/>
      <x:c r="F416" s="81"/>
      <x:c r="G416" s="81"/>
      <x:c r="H416" s="81"/>
      <x:c r="I416" s="81"/>
      <x:c r="J416" s="81"/>
      <x:c r="K416" s="81"/>
      <x:c r="L416" s="81"/>
      <x:c r="M416" s="81"/>
      <x:c r="N416" s="81"/>
      <x:c r="O416" s="81"/>
      <x:c r="P416" s="81"/>
      <x:c r="Q416" s="81"/>
      <x:c r="R416" s="81"/>
      <x:c r="S416" s="81"/>
      <x:c r="T416" s="81"/>
      <x:c r="U416" s="81"/>
      <x:c r="V416" s="81"/>
      <x:c r="W416" s="81"/>
      <x:c r="X416" s="81"/>
      <x:c r="Y416" s="81"/>
      <x:c r="Z416" s="81"/>
    </x:row>
    <x:row r="417">
      <x:c r="A417" s="81"/>
      <x:c r="B417" s="81"/>
      <x:c r="C417" s="81"/>
      <x:c r="D417" s="81"/>
      <x:c r="E417" s="81"/>
      <x:c r="F417" s="81"/>
      <x:c r="G417" s="81"/>
      <x:c r="H417" s="81"/>
      <x:c r="I417" s="81"/>
      <x:c r="J417" s="81"/>
      <x:c r="K417" s="81"/>
      <x:c r="L417" s="81"/>
      <x:c r="M417" s="81"/>
      <x:c r="N417" s="81"/>
      <x:c r="O417" s="81"/>
      <x:c r="P417" s="81"/>
      <x:c r="Q417" s="81"/>
      <x:c r="R417" s="81"/>
      <x:c r="S417" s="81"/>
      <x:c r="T417" s="81"/>
      <x:c r="U417" s="81"/>
      <x:c r="V417" s="81"/>
      <x:c r="W417" s="81"/>
      <x:c r="X417" s="81"/>
      <x:c r="Y417" s="81"/>
      <x:c r="Z417" s="81"/>
    </x:row>
    <x:row r="418">
      <x:c r="A418" s="81"/>
      <x:c r="B418" s="81"/>
      <x:c r="C418" s="81"/>
      <x:c r="D418" s="81"/>
      <x:c r="E418" s="81"/>
      <x:c r="F418" s="81"/>
      <x:c r="G418" s="81"/>
      <x:c r="H418" s="81"/>
      <x:c r="I418" s="81"/>
      <x:c r="J418" s="81"/>
      <x:c r="K418" s="81"/>
      <x:c r="L418" s="81"/>
      <x:c r="M418" s="81"/>
      <x:c r="N418" s="81"/>
      <x:c r="O418" s="81"/>
      <x:c r="P418" s="81"/>
      <x:c r="Q418" s="81"/>
      <x:c r="R418" s="81"/>
      <x:c r="S418" s="81"/>
      <x:c r="T418" s="81"/>
      <x:c r="U418" s="81"/>
      <x:c r="V418" s="81"/>
      <x:c r="W418" s="81"/>
      <x:c r="X418" s="81"/>
      <x:c r="Y418" s="81"/>
      <x:c r="Z418" s="81"/>
    </x:row>
    <x:row r="419">
      <x:c r="A419" s="81"/>
      <x:c r="B419" s="81"/>
      <x:c r="C419" s="81"/>
      <x:c r="D419" s="81"/>
      <x:c r="E419" s="81"/>
      <x:c r="F419" s="81"/>
      <x:c r="G419" s="81"/>
      <x:c r="H419" s="81"/>
      <x:c r="I419" s="81"/>
      <x:c r="J419" s="81"/>
      <x:c r="K419" s="81"/>
      <x:c r="L419" s="81"/>
      <x:c r="M419" s="81"/>
      <x:c r="N419" s="81"/>
      <x:c r="O419" s="81"/>
      <x:c r="P419" s="81"/>
      <x:c r="Q419" s="81"/>
      <x:c r="R419" s="81"/>
      <x:c r="S419" s="81"/>
      <x:c r="T419" s="81"/>
      <x:c r="U419" s="81"/>
      <x:c r="V419" s="81"/>
      <x:c r="W419" s="81"/>
      <x:c r="X419" s="81"/>
      <x:c r="Y419" s="81"/>
      <x:c r="Z419" s="81"/>
    </x:row>
    <x:row r="420">
      <x:c r="A420" s="81"/>
      <x:c r="B420" s="81"/>
      <x:c r="C420" s="81"/>
      <x:c r="D420" s="81"/>
      <x:c r="E420" s="81"/>
      <x:c r="F420" s="81"/>
      <x:c r="G420" s="81"/>
      <x:c r="H420" s="81"/>
      <x:c r="I420" s="81"/>
      <x:c r="J420" s="81"/>
      <x:c r="K420" s="81"/>
      <x:c r="L420" s="81"/>
      <x:c r="M420" s="81"/>
      <x:c r="N420" s="81"/>
      <x:c r="O420" s="81"/>
      <x:c r="P420" s="81"/>
      <x:c r="Q420" s="81"/>
      <x:c r="R420" s="81"/>
      <x:c r="S420" s="81"/>
      <x:c r="T420" s="81"/>
      <x:c r="U420" s="81"/>
      <x:c r="V420" s="81"/>
      <x:c r="W420" s="81"/>
      <x:c r="X420" s="81"/>
      <x:c r="Y420" s="81"/>
      <x:c r="Z420" s="81"/>
    </x:row>
    <x:row r="421">
      <x:c r="A421" s="81"/>
      <x:c r="B421" s="81"/>
      <x:c r="C421" s="81"/>
      <x:c r="D421" s="81"/>
      <x:c r="E421" s="81"/>
      <x:c r="F421" s="81"/>
      <x:c r="G421" s="81"/>
      <x:c r="H421" s="81"/>
      <x:c r="I421" s="81"/>
      <x:c r="J421" s="81"/>
      <x:c r="K421" s="81"/>
      <x:c r="L421" s="81"/>
      <x:c r="M421" s="81"/>
      <x:c r="N421" s="81"/>
      <x:c r="O421" s="81"/>
      <x:c r="P421" s="81"/>
      <x:c r="Q421" s="81"/>
      <x:c r="R421" s="81"/>
      <x:c r="S421" s="81"/>
      <x:c r="T421" s="81"/>
      <x:c r="U421" s="81"/>
      <x:c r="V421" s="81"/>
      <x:c r="W421" s="81"/>
      <x:c r="X421" s="81"/>
      <x:c r="Y421" s="81"/>
      <x:c r="Z421" s="81"/>
    </x:row>
    <x:row r="422">
      <x:c r="A422" s="81"/>
      <x:c r="B422" s="81"/>
      <x:c r="C422" s="81"/>
      <x:c r="D422" s="81"/>
      <x:c r="E422" s="81"/>
      <x:c r="F422" s="81"/>
      <x:c r="G422" s="81"/>
      <x:c r="H422" s="81"/>
      <x:c r="I422" s="81"/>
      <x:c r="J422" s="81"/>
      <x:c r="K422" s="81"/>
      <x:c r="L422" s="81"/>
      <x:c r="M422" s="81"/>
      <x:c r="N422" s="81"/>
      <x:c r="O422" s="81"/>
      <x:c r="P422" s="81"/>
      <x:c r="Q422" s="81"/>
      <x:c r="R422" s="81"/>
      <x:c r="S422" s="81"/>
      <x:c r="T422" s="81"/>
      <x:c r="U422" s="81"/>
      <x:c r="V422" s="81"/>
      <x:c r="W422" s="81"/>
      <x:c r="X422" s="81"/>
      <x:c r="Y422" s="81"/>
      <x:c r="Z422" s="81"/>
    </x:row>
    <x:row r="423">
      <x:c r="A423" s="81"/>
      <x:c r="B423" s="81"/>
      <x:c r="C423" s="81"/>
      <x:c r="D423" s="81"/>
      <x:c r="E423" s="81"/>
      <x:c r="F423" s="81"/>
      <x:c r="G423" s="81"/>
      <x:c r="H423" s="81"/>
      <x:c r="I423" s="81"/>
      <x:c r="J423" s="81"/>
      <x:c r="K423" s="81"/>
      <x:c r="L423" s="81"/>
      <x:c r="M423" s="81"/>
      <x:c r="N423" s="81"/>
      <x:c r="O423" s="81"/>
      <x:c r="P423" s="81"/>
      <x:c r="Q423" s="81"/>
      <x:c r="R423" s="81"/>
      <x:c r="S423" s="81"/>
      <x:c r="T423" s="81"/>
      <x:c r="U423" s="81"/>
      <x:c r="V423" s="81"/>
      <x:c r="W423" s="81"/>
      <x:c r="X423" s="81"/>
      <x:c r="Y423" s="81"/>
      <x:c r="Z423" s="81"/>
    </x:row>
    <x:row r="424">
      <x:c r="A424" s="81"/>
      <x:c r="B424" s="81"/>
      <x:c r="C424" s="81"/>
      <x:c r="D424" s="81"/>
      <x:c r="E424" s="81"/>
      <x:c r="F424" s="81"/>
      <x:c r="G424" s="81"/>
      <x:c r="H424" s="81"/>
      <x:c r="I424" s="81"/>
      <x:c r="J424" s="81"/>
      <x:c r="K424" s="81"/>
      <x:c r="L424" s="81"/>
      <x:c r="M424" s="81"/>
      <x:c r="N424" s="81"/>
      <x:c r="O424" s="81"/>
      <x:c r="P424" s="81"/>
      <x:c r="Q424" s="81"/>
      <x:c r="R424" s="81"/>
      <x:c r="S424" s="81"/>
      <x:c r="T424" s="81"/>
      <x:c r="U424" s="81"/>
      <x:c r="V424" s="81"/>
      <x:c r="W424" s="81"/>
      <x:c r="X424" s="81"/>
      <x:c r="Y424" s="81"/>
      <x:c r="Z424" s="81"/>
    </x:row>
    <x:row r="425">
      <x:c r="A425" s="81"/>
      <x:c r="B425" s="81"/>
      <x:c r="C425" s="81"/>
      <x:c r="D425" s="81"/>
      <x:c r="E425" s="81"/>
      <x:c r="F425" s="81"/>
      <x:c r="G425" s="81"/>
      <x:c r="H425" s="81"/>
      <x:c r="I425" s="81"/>
      <x:c r="J425" s="81"/>
      <x:c r="K425" s="81"/>
      <x:c r="L425" s="81"/>
      <x:c r="M425" s="81"/>
      <x:c r="N425" s="81"/>
      <x:c r="O425" s="81"/>
      <x:c r="P425" s="81"/>
      <x:c r="Q425" s="81"/>
      <x:c r="R425" s="81"/>
      <x:c r="S425" s="81"/>
      <x:c r="T425" s="81"/>
      <x:c r="U425" s="81"/>
      <x:c r="V425" s="81"/>
      <x:c r="W425" s="81"/>
      <x:c r="X425" s="81"/>
      <x:c r="Y425" s="81"/>
      <x:c r="Z425" s="81"/>
    </x:row>
    <x:row r="426">
      <x:c r="A426" s="81"/>
      <x:c r="B426" s="81"/>
      <x:c r="C426" s="81"/>
      <x:c r="D426" s="81"/>
      <x:c r="E426" s="81"/>
      <x:c r="F426" s="81"/>
      <x:c r="G426" s="81"/>
      <x:c r="H426" s="81"/>
      <x:c r="I426" s="81"/>
      <x:c r="J426" s="81"/>
      <x:c r="K426" s="81"/>
      <x:c r="L426" s="81"/>
      <x:c r="M426" s="81"/>
      <x:c r="N426" s="81"/>
      <x:c r="O426" s="81"/>
      <x:c r="P426" s="81"/>
      <x:c r="Q426" s="81"/>
      <x:c r="R426" s="81"/>
      <x:c r="S426" s="81"/>
      <x:c r="T426" s="81"/>
      <x:c r="U426" s="81"/>
      <x:c r="V426" s="81"/>
      <x:c r="W426" s="81"/>
      <x:c r="X426" s="81"/>
      <x:c r="Y426" s="81"/>
      <x:c r="Z426" s="81"/>
    </x:row>
    <x:row r="427">
      <x:c r="A427" s="81"/>
      <x:c r="B427" s="81"/>
      <x:c r="C427" s="81"/>
      <x:c r="D427" s="81"/>
      <x:c r="E427" s="81"/>
      <x:c r="F427" s="81"/>
      <x:c r="G427" s="81"/>
      <x:c r="H427" s="81"/>
      <x:c r="I427" s="81"/>
      <x:c r="J427" s="81"/>
      <x:c r="K427" s="81"/>
      <x:c r="L427" s="81"/>
      <x:c r="M427" s="81"/>
      <x:c r="N427" s="81"/>
      <x:c r="O427" s="81"/>
      <x:c r="P427" s="81"/>
      <x:c r="Q427" s="81"/>
      <x:c r="R427" s="81"/>
      <x:c r="S427" s="81"/>
      <x:c r="T427" s="81"/>
      <x:c r="U427" s="81"/>
      <x:c r="V427" s="81"/>
      <x:c r="W427" s="81"/>
      <x:c r="X427" s="81"/>
      <x:c r="Y427" s="81"/>
      <x:c r="Z427" s="81"/>
    </x:row>
    <x:row r="428">
      <x:c r="A428" s="81"/>
      <x:c r="B428" s="81"/>
      <x:c r="C428" s="81"/>
      <x:c r="D428" s="81"/>
      <x:c r="E428" s="81"/>
      <x:c r="F428" s="81"/>
      <x:c r="G428" s="81"/>
      <x:c r="H428" s="81"/>
      <x:c r="I428" s="81"/>
      <x:c r="J428" s="81"/>
      <x:c r="K428" s="81"/>
      <x:c r="L428" s="81"/>
      <x:c r="M428" s="81"/>
      <x:c r="N428" s="81"/>
      <x:c r="O428" s="81"/>
      <x:c r="P428" s="81"/>
      <x:c r="Q428" s="81"/>
      <x:c r="R428" s="81"/>
      <x:c r="S428" s="81"/>
      <x:c r="T428" s="81"/>
      <x:c r="U428" s="81"/>
      <x:c r="V428" s="81"/>
      <x:c r="W428" s="81"/>
      <x:c r="X428" s="81"/>
      <x:c r="Y428" s="81"/>
      <x:c r="Z428" s="81"/>
    </x:row>
    <x:row r="429">
      <x:c r="A429" s="81"/>
      <x:c r="B429" s="81"/>
      <x:c r="C429" s="81"/>
      <x:c r="D429" s="81"/>
      <x:c r="E429" s="81"/>
      <x:c r="F429" s="81"/>
      <x:c r="G429" s="81"/>
      <x:c r="H429" s="81"/>
      <x:c r="I429" s="81"/>
      <x:c r="J429" s="81"/>
      <x:c r="K429" s="81"/>
      <x:c r="L429" s="81"/>
      <x:c r="M429" s="81"/>
      <x:c r="N429" s="81"/>
      <x:c r="O429" s="81"/>
      <x:c r="P429" s="81"/>
      <x:c r="Q429" s="81"/>
      <x:c r="R429" s="81"/>
      <x:c r="S429" s="81"/>
      <x:c r="T429" s="81"/>
      <x:c r="U429" s="81"/>
      <x:c r="V429" s="81"/>
      <x:c r="W429" s="81"/>
      <x:c r="X429" s="81"/>
      <x:c r="Y429" s="81"/>
      <x:c r="Z429" s="81"/>
    </x:row>
    <x:row r="430">
      <x:c r="A430" s="81"/>
      <x:c r="B430" s="81"/>
      <x:c r="C430" s="81"/>
      <x:c r="D430" s="81"/>
      <x:c r="E430" s="81"/>
      <x:c r="F430" s="81"/>
      <x:c r="G430" s="81"/>
      <x:c r="H430" s="81"/>
      <x:c r="I430" s="81"/>
      <x:c r="J430" s="81"/>
      <x:c r="K430" s="81"/>
      <x:c r="L430" s="81"/>
      <x:c r="M430" s="81"/>
      <x:c r="N430" s="81"/>
      <x:c r="O430" s="81"/>
      <x:c r="P430" s="81"/>
      <x:c r="Q430" s="81"/>
      <x:c r="R430" s="81"/>
      <x:c r="S430" s="81"/>
      <x:c r="T430" s="81"/>
      <x:c r="U430" s="81"/>
      <x:c r="V430" s="81"/>
      <x:c r="W430" s="81"/>
      <x:c r="X430" s="81"/>
      <x:c r="Y430" s="81"/>
      <x:c r="Z430" s="81"/>
    </x:row>
    <x:row r="431">
      <x:c r="A431" s="81"/>
      <x:c r="B431" s="81"/>
      <x:c r="C431" s="81"/>
      <x:c r="D431" s="81"/>
      <x:c r="E431" s="81"/>
      <x:c r="F431" s="81"/>
      <x:c r="G431" s="81"/>
      <x:c r="H431" s="81"/>
      <x:c r="I431" s="81"/>
      <x:c r="J431" s="81"/>
      <x:c r="K431" s="81"/>
      <x:c r="L431" s="81"/>
      <x:c r="M431" s="81"/>
      <x:c r="N431" s="81"/>
      <x:c r="O431" s="81"/>
      <x:c r="P431" s="81"/>
      <x:c r="Q431" s="81"/>
      <x:c r="R431" s="81"/>
      <x:c r="S431" s="81"/>
      <x:c r="T431" s="81"/>
      <x:c r="U431" s="81"/>
      <x:c r="V431" s="81"/>
      <x:c r="W431" s="81"/>
      <x:c r="X431" s="81"/>
      <x:c r="Y431" s="81"/>
      <x:c r="Z431" s="81"/>
    </x:row>
    <x:row r="432">
      <x:c r="A432" s="81"/>
      <x:c r="B432" s="81"/>
      <x:c r="C432" s="81"/>
      <x:c r="D432" s="81"/>
      <x:c r="E432" s="81"/>
      <x:c r="F432" s="81"/>
      <x:c r="G432" s="81"/>
      <x:c r="H432" s="81"/>
      <x:c r="I432" s="81"/>
      <x:c r="J432" s="81"/>
      <x:c r="K432" s="81"/>
      <x:c r="L432" s="81"/>
      <x:c r="M432" s="81"/>
      <x:c r="N432" s="81"/>
      <x:c r="O432" s="81"/>
      <x:c r="P432" s="81"/>
      <x:c r="Q432" s="81"/>
      <x:c r="R432" s="81"/>
      <x:c r="S432" s="81"/>
      <x:c r="T432" s="81"/>
      <x:c r="U432" s="81"/>
      <x:c r="V432" s="81"/>
      <x:c r="W432" s="81"/>
      <x:c r="X432" s="81"/>
      <x:c r="Y432" s="81"/>
      <x:c r="Z432" s="81"/>
    </x:row>
    <x:row r="433">
      <x:c r="A433" s="81"/>
      <x:c r="B433" s="81"/>
      <x:c r="C433" s="81"/>
      <x:c r="D433" s="81"/>
      <x:c r="E433" s="81"/>
      <x:c r="F433" s="81"/>
      <x:c r="G433" s="81"/>
      <x:c r="H433" s="81"/>
      <x:c r="I433" s="81"/>
      <x:c r="J433" s="81"/>
      <x:c r="K433" s="81"/>
      <x:c r="L433" s="81"/>
      <x:c r="M433" s="81"/>
      <x:c r="N433" s="81"/>
      <x:c r="O433" s="81"/>
      <x:c r="P433" s="81"/>
      <x:c r="Q433" s="81"/>
      <x:c r="R433" s="81"/>
      <x:c r="S433" s="81"/>
      <x:c r="T433" s="81"/>
      <x:c r="U433" s="81"/>
      <x:c r="V433" s="81"/>
      <x:c r="W433" s="81"/>
      <x:c r="X433" s="81"/>
      <x:c r="Y433" s="81"/>
      <x:c r="Z433" s="81"/>
    </x:row>
    <x:row r="434">
      <x:c r="A434" s="81"/>
      <x:c r="B434" s="81"/>
      <x:c r="C434" s="81"/>
      <x:c r="D434" s="81"/>
      <x:c r="E434" s="81"/>
      <x:c r="F434" s="81"/>
      <x:c r="G434" s="81"/>
      <x:c r="H434" s="81"/>
      <x:c r="I434" s="81"/>
      <x:c r="J434" s="81"/>
      <x:c r="K434" s="81"/>
      <x:c r="L434" s="81"/>
      <x:c r="M434" s="81"/>
      <x:c r="N434" s="81"/>
      <x:c r="O434" s="81"/>
      <x:c r="P434" s="81"/>
      <x:c r="Q434" s="81"/>
      <x:c r="R434" s="81"/>
      <x:c r="S434" s="81"/>
      <x:c r="T434" s="81"/>
      <x:c r="U434" s="81"/>
      <x:c r="V434" s="81"/>
      <x:c r="W434" s="81"/>
      <x:c r="X434" s="81"/>
      <x:c r="Y434" s="81"/>
      <x:c r="Z434" s="81"/>
    </x:row>
    <x:row r="435">
      <x:c r="A435" s="81"/>
      <x:c r="B435" s="81"/>
      <x:c r="C435" s="81"/>
      <x:c r="D435" s="81"/>
      <x:c r="E435" s="81"/>
      <x:c r="F435" s="81"/>
      <x:c r="G435" s="81"/>
      <x:c r="H435" s="81"/>
      <x:c r="I435" s="81"/>
      <x:c r="J435" s="81"/>
      <x:c r="K435" s="81"/>
      <x:c r="L435" s="81"/>
      <x:c r="M435" s="81"/>
      <x:c r="N435" s="81"/>
      <x:c r="O435" s="81"/>
      <x:c r="P435" s="81"/>
      <x:c r="Q435" s="81"/>
      <x:c r="R435" s="81"/>
      <x:c r="S435" s="81"/>
      <x:c r="T435" s="81"/>
      <x:c r="U435" s="81"/>
      <x:c r="V435" s="81"/>
      <x:c r="W435" s="81"/>
      <x:c r="X435" s="81"/>
      <x:c r="Y435" s="81"/>
      <x:c r="Z435" s="81"/>
    </x:row>
    <x:row r="436">
      <x:c r="A436" s="81"/>
      <x:c r="B436" s="81"/>
      <x:c r="C436" s="81"/>
      <x:c r="D436" s="81"/>
      <x:c r="E436" s="81"/>
      <x:c r="F436" s="81"/>
      <x:c r="G436" s="81"/>
      <x:c r="H436" s="81"/>
      <x:c r="I436" s="81"/>
      <x:c r="J436" s="81"/>
      <x:c r="K436" s="81"/>
      <x:c r="L436" s="81"/>
      <x:c r="M436" s="81"/>
      <x:c r="N436" s="81"/>
      <x:c r="O436" s="81"/>
      <x:c r="P436" s="81"/>
      <x:c r="Q436" s="81"/>
      <x:c r="R436" s="81"/>
      <x:c r="S436" s="81"/>
      <x:c r="T436" s="81"/>
      <x:c r="U436" s="81"/>
      <x:c r="V436" s="81"/>
      <x:c r="W436" s="81"/>
      <x:c r="X436" s="81"/>
      <x:c r="Y436" s="81"/>
      <x:c r="Z436" s="81"/>
    </x:row>
    <x:row r="437">
      <x:c r="A437" s="81"/>
      <x:c r="B437" s="81"/>
      <x:c r="C437" s="81"/>
      <x:c r="D437" s="81"/>
      <x:c r="E437" s="81"/>
      <x:c r="F437" s="81"/>
      <x:c r="G437" s="81"/>
      <x:c r="H437" s="81"/>
      <x:c r="I437" s="81"/>
      <x:c r="J437" s="81"/>
      <x:c r="K437" s="81"/>
      <x:c r="L437" s="81"/>
      <x:c r="M437" s="81"/>
      <x:c r="N437" s="81"/>
      <x:c r="O437" s="81"/>
      <x:c r="P437" s="81"/>
      <x:c r="Q437" s="81"/>
      <x:c r="R437" s="81"/>
      <x:c r="S437" s="81"/>
      <x:c r="T437" s="81"/>
      <x:c r="U437" s="81"/>
      <x:c r="V437" s="81"/>
      <x:c r="W437" s="81"/>
      <x:c r="X437" s="81"/>
      <x:c r="Y437" s="81"/>
      <x:c r="Z437" s="81"/>
    </x:row>
    <x:row r="438">
      <x:c r="A438" s="81"/>
      <x:c r="B438" s="81"/>
      <x:c r="C438" s="81"/>
      <x:c r="D438" s="81"/>
      <x:c r="E438" s="81"/>
      <x:c r="F438" s="81"/>
      <x:c r="G438" s="81"/>
      <x:c r="H438" s="81"/>
      <x:c r="I438" s="81"/>
      <x:c r="J438" s="81"/>
      <x:c r="K438" s="81"/>
      <x:c r="L438" s="81"/>
      <x:c r="M438" s="81"/>
      <x:c r="N438" s="81"/>
      <x:c r="O438" s="81"/>
      <x:c r="P438" s="81"/>
      <x:c r="Q438" s="81"/>
      <x:c r="R438" s="81"/>
      <x:c r="S438" s="81"/>
      <x:c r="T438" s="81"/>
      <x:c r="U438" s="81"/>
      <x:c r="V438" s="81"/>
      <x:c r="W438" s="81"/>
      <x:c r="X438" s="81"/>
      <x:c r="Y438" s="81"/>
      <x:c r="Z438" s="81"/>
    </x:row>
    <x:row r="439">
      <x:c r="A439" s="81"/>
      <x:c r="B439" s="81"/>
      <x:c r="C439" s="81"/>
      <x:c r="D439" s="81"/>
      <x:c r="E439" s="81"/>
      <x:c r="F439" s="81"/>
      <x:c r="G439" s="81"/>
      <x:c r="H439" s="81"/>
      <x:c r="I439" s="81"/>
      <x:c r="J439" s="81"/>
      <x:c r="K439" s="81"/>
      <x:c r="L439" s="81"/>
      <x:c r="M439" s="81"/>
      <x:c r="N439" s="81"/>
      <x:c r="O439" s="81"/>
      <x:c r="P439" s="81"/>
      <x:c r="Q439" s="81"/>
      <x:c r="R439" s="81"/>
      <x:c r="S439" s="81"/>
      <x:c r="T439" s="81"/>
      <x:c r="U439" s="81"/>
      <x:c r="V439" s="81"/>
      <x:c r="W439" s="81"/>
      <x:c r="X439" s="81"/>
      <x:c r="Y439" s="81"/>
      <x:c r="Z439" s="81"/>
    </x:row>
    <x:row r="440">
      <x:c r="A440" s="81"/>
      <x:c r="B440" s="81"/>
      <x:c r="C440" s="81"/>
      <x:c r="D440" s="81"/>
      <x:c r="E440" s="81"/>
      <x:c r="F440" s="81"/>
      <x:c r="G440" s="81"/>
      <x:c r="H440" s="81"/>
      <x:c r="I440" s="81"/>
      <x:c r="J440" s="81"/>
      <x:c r="K440" s="81"/>
      <x:c r="L440" s="81"/>
      <x:c r="M440" s="81"/>
      <x:c r="N440" s="81"/>
      <x:c r="O440" s="81"/>
      <x:c r="P440" s="81"/>
      <x:c r="Q440" s="81"/>
      <x:c r="R440" s="81"/>
      <x:c r="S440" s="81"/>
      <x:c r="T440" s="81"/>
      <x:c r="U440" s="81"/>
      <x:c r="V440" s="81"/>
      <x:c r="W440" s="81"/>
      <x:c r="X440" s="81"/>
      <x:c r="Y440" s="81"/>
      <x:c r="Z440" s="81"/>
    </x:row>
    <x:row r="441">
      <x:c r="A441" s="81"/>
      <x:c r="B441" s="81"/>
      <x:c r="C441" s="81"/>
      <x:c r="D441" s="81"/>
      <x:c r="E441" s="81"/>
      <x:c r="F441" s="81"/>
      <x:c r="G441" s="81"/>
      <x:c r="H441" s="81"/>
      <x:c r="I441" s="81"/>
      <x:c r="J441" s="81"/>
      <x:c r="K441" s="81"/>
      <x:c r="L441" s="81"/>
      <x:c r="M441" s="81"/>
      <x:c r="N441" s="81"/>
      <x:c r="O441" s="81"/>
      <x:c r="P441" s="81"/>
      <x:c r="Q441" s="81"/>
      <x:c r="R441" s="81"/>
      <x:c r="S441" s="81"/>
      <x:c r="T441" s="81"/>
      <x:c r="U441" s="81"/>
      <x:c r="V441" s="81"/>
      <x:c r="W441" s="81"/>
      <x:c r="X441" s="81"/>
      <x:c r="Y441" s="81"/>
      <x:c r="Z441" s="81"/>
    </x:row>
    <x:row r="442">
      <x:c r="A442" s="81"/>
      <x:c r="B442" s="81"/>
      <x:c r="C442" s="81"/>
      <x:c r="D442" s="81"/>
      <x:c r="E442" s="81"/>
      <x:c r="F442" s="81"/>
      <x:c r="G442" s="81"/>
      <x:c r="H442" s="81"/>
      <x:c r="I442" s="81"/>
      <x:c r="J442" s="81"/>
      <x:c r="K442" s="81"/>
      <x:c r="L442" s="81"/>
      <x:c r="M442" s="81"/>
      <x:c r="N442" s="81"/>
      <x:c r="O442" s="81"/>
      <x:c r="P442" s="81"/>
      <x:c r="Q442" s="81"/>
      <x:c r="R442" s="81"/>
      <x:c r="S442" s="81"/>
      <x:c r="T442" s="81"/>
      <x:c r="U442" s="81"/>
      <x:c r="V442" s="81"/>
      <x:c r="W442" s="81"/>
      <x:c r="X442" s="81"/>
      <x:c r="Y442" s="81"/>
      <x:c r="Z442" s="81"/>
    </x:row>
    <x:row r="443">
      <x:c r="A443" s="81"/>
      <x:c r="B443" s="81"/>
      <x:c r="C443" s="81"/>
      <x:c r="D443" s="81"/>
      <x:c r="E443" s="81"/>
      <x:c r="F443" s="81"/>
      <x:c r="G443" s="81"/>
      <x:c r="H443" s="81"/>
      <x:c r="I443" s="81"/>
      <x:c r="J443" s="81"/>
      <x:c r="K443" s="81"/>
      <x:c r="L443" s="81"/>
      <x:c r="M443" s="81"/>
      <x:c r="N443" s="81"/>
      <x:c r="O443" s="81"/>
      <x:c r="P443" s="81"/>
      <x:c r="Q443" s="81"/>
      <x:c r="R443" s="81"/>
      <x:c r="S443" s="81"/>
      <x:c r="T443" s="81"/>
      <x:c r="U443" s="81"/>
      <x:c r="V443" s="81"/>
      <x:c r="W443" s="81"/>
      <x:c r="X443" s="81"/>
      <x:c r="Y443" s="81"/>
      <x:c r="Z443" s="81"/>
    </x:row>
    <x:row r="444">
      <x:c r="A444" s="81"/>
      <x:c r="B444" s="81"/>
      <x:c r="C444" s="81"/>
      <x:c r="D444" s="81"/>
      <x:c r="E444" s="81"/>
      <x:c r="F444" s="81"/>
      <x:c r="G444" s="81"/>
      <x:c r="H444" s="81"/>
      <x:c r="I444" s="81"/>
      <x:c r="J444" s="81"/>
      <x:c r="K444" s="81"/>
      <x:c r="L444" s="81"/>
      <x:c r="M444" s="81"/>
      <x:c r="N444" s="81"/>
      <x:c r="O444" s="81"/>
      <x:c r="P444" s="81"/>
      <x:c r="Q444" s="81"/>
      <x:c r="R444" s="81"/>
      <x:c r="S444" s="81"/>
      <x:c r="T444" s="81"/>
      <x:c r="U444" s="81"/>
      <x:c r="V444" s="81"/>
      <x:c r="W444" s="81"/>
      <x:c r="X444" s="81"/>
      <x:c r="Y444" s="81"/>
      <x:c r="Z444" s="81"/>
    </x:row>
    <x:row r="445">
      <x:c r="A445" s="81"/>
      <x:c r="B445" s="81"/>
      <x:c r="C445" s="81"/>
      <x:c r="D445" s="81"/>
      <x:c r="E445" s="81"/>
      <x:c r="F445" s="81"/>
      <x:c r="G445" s="81"/>
      <x:c r="H445" s="81"/>
      <x:c r="I445" s="81"/>
      <x:c r="J445" s="81"/>
      <x:c r="K445" s="81"/>
      <x:c r="L445" s="81"/>
      <x:c r="M445" s="81"/>
      <x:c r="N445" s="81"/>
      <x:c r="O445" s="81"/>
      <x:c r="P445" s="81"/>
      <x:c r="Q445" s="81"/>
      <x:c r="R445" s="81"/>
      <x:c r="S445" s="81"/>
      <x:c r="T445" s="81"/>
      <x:c r="U445" s="81"/>
      <x:c r="V445" s="81"/>
      <x:c r="W445" s="81"/>
      <x:c r="X445" s="81"/>
      <x:c r="Y445" s="81"/>
      <x:c r="Z445" s="81"/>
    </x:row>
    <x:row r="446">
      <x:c r="A446" s="81"/>
      <x:c r="B446" s="81"/>
      <x:c r="C446" s="81"/>
      <x:c r="D446" s="81"/>
      <x:c r="E446" s="81"/>
      <x:c r="F446" s="81"/>
      <x:c r="G446" s="81"/>
      <x:c r="H446" s="81"/>
      <x:c r="I446" s="81"/>
      <x:c r="J446" s="81"/>
      <x:c r="K446" s="81"/>
      <x:c r="L446" s="81"/>
      <x:c r="M446" s="81"/>
      <x:c r="N446" s="81"/>
      <x:c r="O446" s="81"/>
      <x:c r="P446" s="81"/>
      <x:c r="Q446" s="81"/>
      <x:c r="R446" s="81"/>
      <x:c r="S446" s="81"/>
      <x:c r="T446" s="81"/>
      <x:c r="U446" s="81"/>
      <x:c r="V446" s="81"/>
      <x:c r="W446" s="81"/>
      <x:c r="X446" s="81"/>
      <x:c r="Y446" s="81"/>
      <x:c r="Z446" s="81"/>
    </x:row>
    <x:row r="447">
      <x:c r="A447" s="81"/>
      <x:c r="B447" s="81"/>
      <x:c r="C447" s="81"/>
      <x:c r="D447" s="81"/>
      <x:c r="E447" s="81"/>
      <x:c r="F447" s="81"/>
      <x:c r="G447" s="81"/>
      <x:c r="H447" s="81"/>
      <x:c r="I447" s="81"/>
      <x:c r="J447" s="81"/>
      <x:c r="K447" s="81"/>
      <x:c r="L447" s="81"/>
      <x:c r="M447" s="81"/>
      <x:c r="N447" s="81"/>
      <x:c r="O447" s="81"/>
      <x:c r="P447" s="81"/>
      <x:c r="Q447" s="81"/>
      <x:c r="R447" s="81"/>
      <x:c r="S447" s="81"/>
      <x:c r="T447" s="81"/>
      <x:c r="U447" s="81"/>
      <x:c r="V447" s="81"/>
      <x:c r="W447" s="81"/>
      <x:c r="X447" s="81"/>
      <x:c r="Y447" s="81"/>
      <x:c r="Z447" s="81"/>
    </x:row>
    <x:row r="448">
      <x:c r="A448" s="81"/>
      <x:c r="B448" s="81"/>
      <x:c r="C448" s="81"/>
      <x:c r="D448" s="81"/>
      <x:c r="E448" s="81"/>
      <x:c r="F448" s="81"/>
      <x:c r="G448" s="81"/>
      <x:c r="H448" s="81"/>
      <x:c r="I448" s="81"/>
      <x:c r="J448" s="81"/>
      <x:c r="K448" s="81"/>
      <x:c r="L448" s="81"/>
      <x:c r="M448" s="81"/>
      <x:c r="N448" s="81"/>
      <x:c r="O448" s="81"/>
      <x:c r="P448" s="81"/>
      <x:c r="Q448" s="81"/>
      <x:c r="R448" s="81"/>
      <x:c r="S448" s="81"/>
      <x:c r="T448" s="81"/>
      <x:c r="U448" s="81"/>
      <x:c r="V448" s="81"/>
      <x:c r="W448" s="81"/>
      <x:c r="X448" s="81"/>
      <x:c r="Y448" s="81"/>
      <x:c r="Z448" s="81"/>
    </x:row>
    <x:row r="449">
      <x:c r="A449" s="81"/>
      <x:c r="B449" s="81"/>
      <x:c r="C449" s="81"/>
      <x:c r="D449" s="81"/>
      <x:c r="E449" s="81"/>
      <x:c r="F449" s="81"/>
      <x:c r="G449" s="81"/>
      <x:c r="H449" s="81"/>
      <x:c r="I449" s="81"/>
      <x:c r="J449" s="81"/>
      <x:c r="K449" s="81"/>
      <x:c r="L449" s="81"/>
      <x:c r="M449" s="81"/>
      <x:c r="N449" s="81"/>
      <x:c r="O449" s="81"/>
      <x:c r="P449" s="81"/>
      <x:c r="Q449" s="81"/>
      <x:c r="R449" s="81"/>
      <x:c r="S449" s="81"/>
      <x:c r="T449" s="81"/>
      <x:c r="U449" s="81"/>
      <x:c r="V449" s="81"/>
      <x:c r="W449" s="81"/>
      <x:c r="X449" s="81"/>
      <x:c r="Y449" s="81"/>
      <x:c r="Z449" s="81"/>
    </x:row>
    <x:row r="450">
      <x:c r="A450" s="81"/>
      <x:c r="B450" s="81"/>
      <x:c r="C450" s="81"/>
      <x:c r="D450" s="81"/>
      <x:c r="E450" s="81"/>
      <x:c r="F450" s="81"/>
      <x:c r="G450" s="81"/>
      <x:c r="H450" s="81"/>
      <x:c r="I450" s="81"/>
      <x:c r="J450" s="81"/>
      <x:c r="K450" s="81"/>
      <x:c r="L450" s="81"/>
      <x:c r="M450" s="81"/>
      <x:c r="N450" s="81"/>
      <x:c r="O450" s="81"/>
      <x:c r="P450" s="81"/>
      <x:c r="Q450" s="81"/>
      <x:c r="R450" s="81"/>
      <x:c r="S450" s="81"/>
      <x:c r="T450" s="81"/>
      <x:c r="U450" s="81"/>
      <x:c r="V450" s="81"/>
      <x:c r="W450" s="81"/>
      <x:c r="X450" s="81"/>
      <x:c r="Y450" s="81"/>
      <x:c r="Z450" s="81"/>
    </x:row>
    <x:row r="451">
      <x:c r="A451" s="81"/>
      <x:c r="B451" s="81"/>
      <x:c r="C451" s="81"/>
      <x:c r="D451" s="81"/>
      <x:c r="E451" s="81"/>
      <x:c r="F451" s="81"/>
      <x:c r="G451" s="81"/>
      <x:c r="H451" s="81"/>
      <x:c r="I451" s="81"/>
      <x:c r="J451" s="81"/>
      <x:c r="K451" s="81"/>
      <x:c r="L451" s="81"/>
      <x:c r="M451" s="81"/>
      <x:c r="N451" s="81"/>
      <x:c r="O451" s="81"/>
      <x:c r="P451" s="81"/>
      <x:c r="Q451" s="81"/>
      <x:c r="R451" s="81"/>
      <x:c r="S451" s="81"/>
      <x:c r="T451" s="81"/>
      <x:c r="U451" s="81"/>
      <x:c r="V451" s="81"/>
      <x:c r="W451" s="81"/>
      <x:c r="X451" s="81"/>
      <x:c r="Y451" s="81"/>
      <x:c r="Z451" s="81"/>
    </x:row>
    <x:row r="452">
      <x:c r="A452" s="81"/>
      <x:c r="B452" s="81"/>
      <x:c r="C452" s="81"/>
      <x:c r="D452" s="81"/>
      <x:c r="E452" s="81"/>
      <x:c r="F452" s="81"/>
      <x:c r="G452" s="81"/>
      <x:c r="H452" s="81"/>
      <x:c r="I452" s="81"/>
      <x:c r="J452" s="81"/>
      <x:c r="K452" s="81"/>
      <x:c r="L452" s="81"/>
      <x:c r="M452" s="81"/>
      <x:c r="N452" s="81"/>
      <x:c r="O452" s="81"/>
      <x:c r="P452" s="81"/>
      <x:c r="Q452" s="81"/>
      <x:c r="R452" s="81"/>
      <x:c r="S452" s="81"/>
      <x:c r="T452" s="81"/>
      <x:c r="U452" s="81"/>
      <x:c r="V452" s="81"/>
      <x:c r="W452" s="81"/>
      <x:c r="X452" s="81"/>
      <x:c r="Y452" s="81"/>
      <x:c r="Z452" s="81"/>
    </x:row>
    <x:row r="453">
      <x:c r="A453" s="81"/>
      <x:c r="B453" s="81"/>
      <x:c r="C453" s="81"/>
      <x:c r="D453" s="81"/>
      <x:c r="E453" s="81"/>
      <x:c r="F453" s="81"/>
      <x:c r="G453" s="81"/>
      <x:c r="H453" s="81"/>
      <x:c r="I453" s="81"/>
      <x:c r="J453" s="81"/>
      <x:c r="K453" s="81"/>
      <x:c r="L453" s="81"/>
      <x:c r="M453" s="81"/>
      <x:c r="N453" s="81"/>
      <x:c r="O453" s="81"/>
      <x:c r="P453" s="81"/>
      <x:c r="Q453" s="81"/>
      <x:c r="R453" s="81"/>
      <x:c r="S453" s="81"/>
      <x:c r="T453" s="81"/>
      <x:c r="U453" s="81"/>
      <x:c r="V453" s="81"/>
      <x:c r="W453" s="81"/>
      <x:c r="X453" s="81"/>
      <x:c r="Y453" s="81"/>
      <x:c r="Z453" s="81"/>
    </x:row>
    <x:row r="454">
      <x:c r="A454" s="81"/>
      <x:c r="B454" s="81"/>
      <x:c r="C454" s="81"/>
      <x:c r="D454" s="81"/>
      <x:c r="E454" s="81"/>
      <x:c r="F454" s="81"/>
      <x:c r="G454" s="81"/>
      <x:c r="H454" s="81"/>
      <x:c r="I454" s="81"/>
      <x:c r="J454" s="81"/>
      <x:c r="K454" s="81"/>
      <x:c r="L454" s="81"/>
      <x:c r="M454" s="81"/>
      <x:c r="N454" s="81"/>
      <x:c r="O454" s="81"/>
      <x:c r="P454" s="81"/>
      <x:c r="Q454" s="81"/>
      <x:c r="R454" s="81"/>
      <x:c r="S454" s="81"/>
      <x:c r="T454" s="81"/>
      <x:c r="U454" s="81"/>
      <x:c r="V454" s="81"/>
      <x:c r="W454" s="81"/>
      <x:c r="X454" s="81"/>
      <x:c r="Y454" s="81"/>
      <x:c r="Z454" s="81"/>
    </x:row>
    <x:row r="455">
      <x:c r="A455" s="81"/>
      <x:c r="B455" s="81"/>
      <x:c r="C455" s="81"/>
      <x:c r="D455" s="81"/>
      <x:c r="E455" s="81"/>
      <x:c r="F455" s="81"/>
      <x:c r="G455" s="81"/>
      <x:c r="H455" s="81"/>
      <x:c r="I455" s="81"/>
      <x:c r="J455" s="81"/>
      <x:c r="K455" s="81"/>
      <x:c r="L455" s="81"/>
      <x:c r="M455" s="81"/>
      <x:c r="N455" s="81"/>
      <x:c r="O455" s="81"/>
      <x:c r="P455" s="81"/>
      <x:c r="Q455" s="81"/>
      <x:c r="R455" s="81"/>
      <x:c r="S455" s="81"/>
      <x:c r="T455" s="81"/>
      <x:c r="U455" s="81"/>
      <x:c r="V455" s="81"/>
      <x:c r="W455" s="81"/>
      <x:c r="X455" s="81"/>
      <x:c r="Y455" s="81"/>
      <x:c r="Z455" s="81"/>
    </x:row>
    <x:row r="456">
      <x:c r="A456" s="81"/>
      <x:c r="B456" s="81"/>
      <x:c r="C456" s="81"/>
      <x:c r="D456" s="81"/>
      <x:c r="E456" s="81"/>
      <x:c r="F456" s="81"/>
      <x:c r="G456" s="81"/>
      <x:c r="H456" s="81"/>
      <x:c r="I456" s="81"/>
      <x:c r="J456" s="81"/>
      <x:c r="K456" s="81"/>
      <x:c r="L456" s="81"/>
      <x:c r="M456" s="81"/>
      <x:c r="N456" s="81"/>
      <x:c r="O456" s="81"/>
      <x:c r="P456" s="81"/>
      <x:c r="Q456" s="81"/>
      <x:c r="R456" s="81"/>
      <x:c r="S456" s="81"/>
      <x:c r="T456" s="81"/>
      <x:c r="U456" s="81"/>
      <x:c r="V456" s="81"/>
      <x:c r="W456" s="81"/>
      <x:c r="X456" s="81"/>
      <x:c r="Y456" s="81"/>
      <x:c r="Z456" s="81"/>
    </x:row>
    <x:row r="457">
      <x:c r="A457" s="81"/>
      <x:c r="B457" s="81"/>
      <x:c r="C457" s="81"/>
      <x:c r="D457" s="81"/>
      <x:c r="E457" s="81"/>
      <x:c r="F457" s="81"/>
      <x:c r="G457" s="81"/>
      <x:c r="H457" s="81"/>
      <x:c r="I457" s="81"/>
      <x:c r="J457" s="81"/>
      <x:c r="K457" s="81"/>
      <x:c r="L457" s="81"/>
      <x:c r="M457" s="81"/>
      <x:c r="N457" s="81"/>
      <x:c r="O457" s="81"/>
      <x:c r="P457" s="81"/>
      <x:c r="Q457" s="81"/>
      <x:c r="R457" s="81"/>
      <x:c r="S457" s="81"/>
      <x:c r="T457" s="81"/>
      <x:c r="U457" s="81"/>
      <x:c r="V457" s="81"/>
      <x:c r="W457" s="81"/>
      <x:c r="X457" s="81"/>
      <x:c r="Y457" s="81"/>
      <x:c r="Z457" s="81"/>
    </x:row>
    <x:row r="458">
      <x:c r="A458" s="81"/>
      <x:c r="B458" s="81"/>
      <x:c r="C458" s="81"/>
      <x:c r="D458" s="81"/>
      <x:c r="E458" s="81"/>
      <x:c r="F458" s="81"/>
      <x:c r="G458" s="81"/>
      <x:c r="H458" s="81"/>
      <x:c r="I458" s="81"/>
      <x:c r="J458" s="81"/>
      <x:c r="K458" s="81"/>
      <x:c r="L458" s="81"/>
      <x:c r="M458" s="81"/>
      <x:c r="N458" s="81"/>
      <x:c r="O458" s="81"/>
      <x:c r="P458" s="81"/>
      <x:c r="Q458" s="81"/>
      <x:c r="R458" s="81"/>
      <x:c r="S458" s="81"/>
      <x:c r="T458" s="81"/>
      <x:c r="U458" s="81"/>
      <x:c r="V458" s="81"/>
      <x:c r="W458" s="81"/>
      <x:c r="X458" s="81"/>
      <x:c r="Y458" s="81"/>
      <x:c r="Z458" s="81"/>
    </x:row>
    <x:row r="459">
      <x:c r="A459" s="81"/>
      <x:c r="B459" s="81"/>
      <x:c r="C459" s="81"/>
      <x:c r="D459" s="81"/>
      <x:c r="E459" s="81"/>
      <x:c r="F459" s="81"/>
      <x:c r="G459" s="81"/>
      <x:c r="H459" s="81"/>
      <x:c r="I459" s="81"/>
      <x:c r="J459" s="81"/>
      <x:c r="K459" s="81"/>
      <x:c r="L459" s="81"/>
      <x:c r="M459" s="81"/>
      <x:c r="N459" s="81"/>
      <x:c r="O459" s="81"/>
      <x:c r="P459" s="81"/>
      <x:c r="Q459" s="81"/>
      <x:c r="R459" s="81"/>
      <x:c r="S459" s="81"/>
      <x:c r="T459" s="81"/>
      <x:c r="U459" s="81"/>
      <x:c r="V459" s="81"/>
      <x:c r="W459" s="81"/>
      <x:c r="X459" s="81"/>
      <x:c r="Y459" s="81"/>
      <x:c r="Z459" s="81"/>
    </x:row>
    <x:row r="460">
      <x:c r="A460" s="81"/>
      <x:c r="B460" s="81"/>
      <x:c r="C460" s="81"/>
      <x:c r="D460" s="81"/>
      <x:c r="E460" s="81"/>
      <x:c r="F460" s="81"/>
      <x:c r="G460" s="81"/>
      <x:c r="H460" s="81"/>
      <x:c r="I460" s="81"/>
      <x:c r="J460" s="81"/>
      <x:c r="K460" s="81"/>
      <x:c r="L460" s="81"/>
      <x:c r="M460" s="81"/>
      <x:c r="N460" s="81"/>
      <x:c r="O460" s="81"/>
      <x:c r="P460" s="81"/>
      <x:c r="Q460" s="81"/>
      <x:c r="R460" s="81"/>
      <x:c r="S460" s="81"/>
      <x:c r="T460" s="81"/>
      <x:c r="U460" s="81"/>
      <x:c r="V460" s="81"/>
      <x:c r="W460" s="81"/>
      <x:c r="X460" s="81"/>
      <x:c r="Y460" s="81"/>
      <x:c r="Z460" s="81"/>
    </x:row>
    <x:row r="461">
      <x:c r="A461" s="81"/>
      <x:c r="B461" s="81"/>
      <x:c r="C461" s="81"/>
      <x:c r="D461" s="81"/>
      <x:c r="E461" s="81"/>
      <x:c r="F461" s="81"/>
      <x:c r="G461" s="81"/>
      <x:c r="H461" s="81"/>
      <x:c r="I461" s="81"/>
      <x:c r="J461" s="81"/>
      <x:c r="K461" s="81"/>
      <x:c r="L461" s="81"/>
      <x:c r="M461" s="81"/>
      <x:c r="N461" s="81"/>
      <x:c r="O461" s="81"/>
      <x:c r="P461" s="81"/>
      <x:c r="Q461" s="81"/>
      <x:c r="R461" s="81"/>
      <x:c r="S461" s="81"/>
      <x:c r="T461" s="81"/>
      <x:c r="U461" s="81"/>
      <x:c r="V461" s="81"/>
      <x:c r="W461" s="81"/>
      <x:c r="X461" s="81"/>
      <x:c r="Y461" s="81"/>
      <x:c r="Z461" s="81"/>
    </x:row>
    <x:row r="462">
      <x:c r="A462" s="81"/>
      <x:c r="B462" s="81"/>
      <x:c r="C462" s="81"/>
      <x:c r="D462" s="81"/>
      <x:c r="E462" s="81"/>
      <x:c r="F462" s="81"/>
      <x:c r="G462" s="81"/>
      <x:c r="H462" s="81"/>
      <x:c r="I462" s="81"/>
      <x:c r="J462" s="81"/>
      <x:c r="K462" s="81"/>
      <x:c r="L462" s="81"/>
      <x:c r="M462" s="81"/>
      <x:c r="N462" s="81"/>
      <x:c r="O462" s="81"/>
      <x:c r="P462" s="81"/>
      <x:c r="Q462" s="81"/>
      <x:c r="R462" s="81"/>
      <x:c r="S462" s="81"/>
      <x:c r="T462" s="81"/>
      <x:c r="U462" s="81"/>
      <x:c r="V462" s="81"/>
      <x:c r="W462" s="81"/>
      <x:c r="X462" s="81"/>
      <x:c r="Y462" s="81"/>
      <x:c r="Z462" s="81"/>
    </x:row>
    <x:row r="463">
      <x:c r="A463" s="81"/>
      <x:c r="B463" s="81"/>
      <x:c r="C463" s="81"/>
      <x:c r="D463" s="81"/>
      <x:c r="E463" s="81"/>
      <x:c r="F463" s="81"/>
      <x:c r="G463" s="81"/>
      <x:c r="H463" s="81"/>
      <x:c r="I463" s="81"/>
      <x:c r="J463" s="81"/>
      <x:c r="K463" s="81"/>
      <x:c r="L463" s="81"/>
      <x:c r="M463" s="81"/>
      <x:c r="N463" s="81"/>
      <x:c r="O463" s="81"/>
      <x:c r="P463" s="81"/>
      <x:c r="Q463" s="81"/>
      <x:c r="R463" s="81"/>
      <x:c r="S463" s="81"/>
      <x:c r="T463" s="81"/>
      <x:c r="U463" s="81"/>
      <x:c r="V463" s="81"/>
      <x:c r="W463" s="81"/>
      <x:c r="X463" s="81"/>
      <x:c r="Y463" s="81"/>
      <x:c r="Z463" s="81"/>
    </x:row>
    <x:row r="464">
      <x:c r="A464" s="81"/>
      <x:c r="B464" s="81"/>
      <x:c r="C464" s="81"/>
      <x:c r="D464" s="81"/>
      <x:c r="E464" s="81"/>
      <x:c r="F464" s="81"/>
      <x:c r="G464" s="81"/>
      <x:c r="H464" s="81"/>
      <x:c r="I464" s="81"/>
      <x:c r="J464" s="81"/>
      <x:c r="K464" s="81"/>
      <x:c r="L464" s="81"/>
      <x:c r="M464" s="81"/>
      <x:c r="N464" s="81"/>
      <x:c r="O464" s="81"/>
      <x:c r="P464" s="81"/>
      <x:c r="Q464" s="81"/>
      <x:c r="R464" s="81"/>
      <x:c r="S464" s="81"/>
      <x:c r="T464" s="81"/>
      <x:c r="U464" s="81"/>
      <x:c r="V464" s="81"/>
      <x:c r="W464" s="81"/>
      <x:c r="X464" s="81"/>
      <x:c r="Y464" s="81"/>
      <x:c r="Z464" s="81"/>
    </x:row>
    <x:row r="465">
      <x:c r="A465" s="81"/>
      <x:c r="B465" s="81"/>
      <x:c r="C465" s="81"/>
      <x:c r="D465" s="81"/>
      <x:c r="E465" s="81"/>
      <x:c r="F465" s="81"/>
      <x:c r="G465" s="81"/>
      <x:c r="H465" s="81"/>
      <x:c r="I465" s="81"/>
      <x:c r="J465" s="81"/>
      <x:c r="K465" s="81"/>
      <x:c r="L465" s="81"/>
      <x:c r="M465" s="81"/>
      <x:c r="N465" s="81"/>
      <x:c r="O465" s="81"/>
      <x:c r="P465" s="81"/>
      <x:c r="Q465" s="81"/>
      <x:c r="R465" s="81"/>
      <x:c r="S465" s="81"/>
      <x:c r="T465" s="81"/>
      <x:c r="U465" s="81"/>
      <x:c r="V465" s="81"/>
      <x:c r="W465" s="81"/>
      <x:c r="X465" s="81"/>
      <x:c r="Y465" s="81"/>
      <x:c r="Z465" s="81"/>
    </x:row>
    <x:row r="466">
      <x:c r="A466" s="81"/>
      <x:c r="B466" s="81"/>
      <x:c r="C466" s="81"/>
      <x:c r="D466" s="81"/>
      <x:c r="E466" s="81"/>
      <x:c r="F466" s="81"/>
      <x:c r="G466" s="81"/>
      <x:c r="H466" s="81"/>
      <x:c r="I466" s="81"/>
      <x:c r="J466" s="81"/>
      <x:c r="K466" s="81"/>
      <x:c r="L466" s="81"/>
      <x:c r="M466" s="81"/>
      <x:c r="N466" s="81"/>
      <x:c r="O466" s="81"/>
      <x:c r="P466" s="81"/>
      <x:c r="Q466" s="81"/>
      <x:c r="R466" s="81"/>
      <x:c r="S466" s="81"/>
      <x:c r="T466" s="81"/>
      <x:c r="U466" s="81"/>
      <x:c r="V466" s="81"/>
      <x:c r="W466" s="81"/>
      <x:c r="X466" s="81"/>
      <x:c r="Y466" s="81"/>
      <x:c r="Z466" s="81"/>
    </x:row>
    <x:row r="467">
      <x:c r="A467" s="81"/>
      <x:c r="B467" s="81"/>
      <x:c r="C467" s="81"/>
      <x:c r="D467" s="81"/>
      <x:c r="E467" s="81"/>
      <x:c r="F467" s="81"/>
      <x:c r="G467" s="81"/>
      <x:c r="H467" s="81"/>
      <x:c r="I467" s="81"/>
      <x:c r="J467" s="81"/>
      <x:c r="K467" s="81"/>
      <x:c r="L467" s="81"/>
      <x:c r="M467" s="81"/>
      <x:c r="N467" s="81"/>
      <x:c r="O467" s="81"/>
      <x:c r="P467" s="81"/>
      <x:c r="Q467" s="81"/>
      <x:c r="R467" s="81"/>
      <x:c r="S467" s="81"/>
      <x:c r="T467" s="81"/>
      <x:c r="U467" s="81"/>
      <x:c r="V467" s="81"/>
      <x:c r="W467" s="81"/>
      <x:c r="X467" s="81"/>
      <x:c r="Y467" s="81"/>
      <x:c r="Z467" s="81"/>
    </x:row>
    <x:row r="468">
      <x:c r="A468" s="81"/>
      <x:c r="B468" s="81"/>
      <x:c r="C468" s="81"/>
      <x:c r="D468" s="81"/>
      <x:c r="E468" s="81"/>
      <x:c r="F468" s="81"/>
      <x:c r="G468" s="81"/>
      <x:c r="H468" s="81"/>
      <x:c r="I468" s="81"/>
      <x:c r="J468" s="81"/>
      <x:c r="K468" s="81"/>
      <x:c r="L468" s="81"/>
      <x:c r="M468" s="81"/>
      <x:c r="N468" s="81"/>
      <x:c r="O468" s="81"/>
      <x:c r="P468" s="81"/>
      <x:c r="Q468" s="81"/>
      <x:c r="R468" s="81"/>
      <x:c r="S468" s="81"/>
      <x:c r="T468" s="81"/>
      <x:c r="U468" s="81"/>
      <x:c r="V468" s="81"/>
      <x:c r="W468" s="81"/>
      <x:c r="X468" s="81"/>
      <x:c r="Y468" s="81"/>
      <x:c r="Z468" s="81"/>
    </x:row>
    <x:row r="469">
      <x:c r="A469" s="81"/>
      <x:c r="B469" s="81"/>
      <x:c r="C469" s="81"/>
      <x:c r="D469" s="81"/>
      <x:c r="E469" s="81"/>
      <x:c r="F469" s="81"/>
      <x:c r="G469" s="81"/>
      <x:c r="H469" s="81"/>
      <x:c r="I469" s="81"/>
      <x:c r="J469" s="81"/>
      <x:c r="K469" s="81"/>
      <x:c r="L469" s="81"/>
      <x:c r="M469" s="81"/>
      <x:c r="N469" s="81"/>
      <x:c r="O469" s="81"/>
      <x:c r="P469" s="81"/>
      <x:c r="Q469" s="81"/>
      <x:c r="R469" s="81"/>
      <x:c r="S469" s="81"/>
      <x:c r="T469" s="81"/>
      <x:c r="U469" s="81"/>
      <x:c r="V469" s="81"/>
      <x:c r="W469" s="81"/>
      <x:c r="X469" s="81"/>
      <x:c r="Y469" s="81"/>
      <x:c r="Z469" s="81"/>
    </x:row>
    <x:row r="470">
      <x:c r="A470" s="81"/>
      <x:c r="B470" s="81"/>
      <x:c r="C470" s="81"/>
      <x:c r="D470" s="81"/>
      <x:c r="E470" s="81"/>
      <x:c r="F470" s="81"/>
      <x:c r="G470" s="81"/>
      <x:c r="H470" s="81"/>
      <x:c r="I470" s="81"/>
      <x:c r="J470" s="81"/>
      <x:c r="K470" s="81"/>
      <x:c r="L470" s="81"/>
      <x:c r="M470" s="81"/>
      <x:c r="N470" s="81"/>
      <x:c r="O470" s="81"/>
      <x:c r="P470" s="81"/>
      <x:c r="Q470" s="81"/>
      <x:c r="R470" s="81"/>
      <x:c r="S470" s="81"/>
      <x:c r="T470" s="81"/>
      <x:c r="U470" s="81"/>
      <x:c r="V470" s="81"/>
      <x:c r="W470" s="81"/>
      <x:c r="X470" s="81"/>
      <x:c r="Y470" s="81"/>
      <x:c r="Z470" s="81"/>
    </x:row>
    <x:row r="471">
      <x:c r="A471" s="81"/>
      <x:c r="B471" s="81"/>
      <x:c r="C471" s="81"/>
      <x:c r="D471" s="81"/>
      <x:c r="E471" s="81"/>
      <x:c r="F471" s="81"/>
      <x:c r="G471" s="81"/>
      <x:c r="H471" s="81"/>
      <x:c r="I471" s="81"/>
      <x:c r="J471" s="81"/>
      <x:c r="K471" s="81"/>
      <x:c r="L471" s="81"/>
      <x:c r="M471" s="81"/>
      <x:c r="N471" s="81"/>
      <x:c r="O471" s="81"/>
      <x:c r="P471" s="81"/>
      <x:c r="Q471" s="81"/>
      <x:c r="R471" s="81"/>
      <x:c r="S471" s="81"/>
      <x:c r="T471" s="81"/>
      <x:c r="U471" s="81"/>
      <x:c r="V471" s="81"/>
      <x:c r="W471" s="81"/>
      <x:c r="X471" s="81"/>
      <x:c r="Y471" s="81"/>
      <x:c r="Z471" s="81"/>
    </x:row>
    <x:row r="472">
      <x:c r="A472" s="81"/>
      <x:c r="B472" s="81"/>
      <x:c r="C472" s="81"/>
      <x:c r="D472" s="81"/>
      <x:c r="E472" s="81"/>
      <x:c r="F472" s="81"/>
      <x:c r="G472" s="81"/>
      <x:c r="H472" s="81"/>
      <x:c r="I472" s="81"/>
      <x:c r="J472" s="81"/>
      <x:c r="K472" s="81"/>
      <x:c r="L472" s="81"/>
      <x:c r="M472" s="81"/>
      <x:c r="N472" s="81"/>
      <x:c r="O472" s="81"/>
      <x:c r="P472" s="81"/>
      <x:c r="Q472" s="81"/>
      <x:c r="R472" s="81"/>
      <x:c r="S472" s="81"/>
      <x:c r="T472" s="81"/>
      <x:c r="U472" s="81"/>
      <x:c r="V472" s="81"/>
      <x:c r="W472" s="81"/>
      <x:c r="X472" s="81"/>
      <x:c r="Y472" s="81"/>
      <x:c r="Z472" s="81"/>
    </x:row>
    <x:row r="473">
      <x:c r="A473" s="81"/>
      <x:c r="B473" s="81"/>
      <x:c r="C473" s="81"/>
      <x:c r="D473" s="81"/>
      <x:c r="E473" s="81"/>
      <x:c r="F473" s="81"/>
      <x:c r="G473" s="81"/>
      <x:c r="H473" s="81"/>
      <x:c r="I473" s="81"/>
      <x:c r="J473" s="81"/>
      <x:c r="K473" s="81"/>
      <x:c r="L473" s="81"/>
      <x:c r="M473" s="81"/>
      <x:c r="N473" s="81"/>
      <x:c r="O473" s="81"/>
      <x:c r="P473" s="81"/>
      <x:c r="Q473" s="81"/>
      <x:c r="R473" s="81"/>
      <x:c r="S473" s="81"/>
      <x:c r="T473" s="81"/>
      <x:c r="U473" s="81"/>
      <x:c r="V473" s="81"/>
      <x:c r="W473" s="81"/>
      <x:c r="X473" s="81"/>
      <x:c r="Y473" s="81"/>
      <x:c r="Z473" s="81"/>
    </x:row>
    <x:row r="474">
      <x:c r="A474" s="81"/>
      <x:c r="B474" s="81"/>
      <x:c r="C474" s="81"/>
      <x:c r="D474" s="81"/>
      <x:c r="E474" s="81"/>
      <x:c r="F474" s="81"/>
      <x:c r="G474" s="81"/>
      <x:c r="H474" s="81"/>
      <x:c r="I474" s="81"/>
      <x:c r="J474" s="81"/>
      <x:c r="K474" s="81"/>
      <x:c r="L474" s="81"/>
      <x:c r="M474" s="81"/>
      <x:c r="N474" s="81"/>
      <x:c r="O474" s="81"/>
      <x:c r="P474" s="81"/>
      <x:c r="Q474" s="81"/>
      <x:c r="R474" s="81"/>
      <x:c r="S474" s="81"/>
      <x:c r="T474" s="81"/>
      <x:c r="U474" s="81"/>
      <x:c r="V474" s="81"/>
      <x:c r="W474" s="81"/>
      <x:c r="X474" s="81"/>
      <x:c r="Y474" s="81"/>
      <x:c r="Z474" s="81"/>
    </x:row>
    <x:row r="475">
      <x:c r="A475" s="81"/>
      <x:c r="B475" s="81"/>
      <x:c r="C475" s="81"/>
      <x:c r="D475" s="81"/>
      <x:c r="E475" s="81"/>
      <x:c r="F475" s="81"/>
      <x:c r="G475" s="81"/>
      <x:c r="H475" s="81"/>
      <x:c r="I475" s="81"/>
      <x:c r="J475" s="81"/>
      <x:c r="K475" s="81"/>
      <x:c r="L475" s="81"/>
      <x:c r="M475" s="81"/>
      <x:c r="N475" s="81"/>
      <x:c r="O475" s="81"/>
      <x:c r="P475" s="81"/>
      <x:c r="Q475" s="81"/>
      <x:c r="R475" s="81"/>
      <x:c r="S475" s="81"/>
      <x:c r="T475" s="81"/>
      <x:c r="U475" s="81"/>
      <x:c r="V475" s="81"/>
      <x:c r="W475" s="81"/>
      <x:c r="X475" s="81"/>
      <x:c r="Y475" s="81"/>
      <x:c r="Z475" s="81"/>
    </x:row>
    <x:row r="476">
      <x:c r="A476" s="81"/>
      <x:c r="B476" s="81"/>
      <x:c r="C476" s="81"/>
      <x:c r="D476" s="81"/>
      <x:c r="E476" s="81"/>
      <x:c r="F476" s="81"/>
      <x:c r="G476" s="81"/>
      <x:c r="H476" s="81"/>
      <x:c r="I476" s="81"/>
      <x:c r="J476" s="81"/>
      <x:c r="K476" s="81"/>
      <x:c r="L476" s="81"/>
      <x:c r="M476" s="81"/>
      <x:c r="N476" s="81"/>
      <x:c r="O476" s="81"/>
      <x:c r="P476" s="81"/>
      <x:c r="Q476" s="81"/>
      <x:c r="R476" s="81"/>
      <x:c r="S476" s="81"/>
      <x:c r="T476" s="81"/>
      <x:c r="U476" s="81"/>
      <x:c r="V476" s="81"/>
      <x:c r="W476" s="81"/>
      <x:c r="X476" s="81"/>
      <x:c r="Y476" s="81"/>
      <x:c r="Z476" s="81"/>
    </x:row>
    <x:row r="477">
      <x:c r="A477" s="81"/>
      <x:c r="B477" s="81"/>
      <x:c r="C477" s="81"/>
      <x:c r="D477" s="81"/>
      <x:c r="E477" s="81"/>
      <x:c r="F477" s="81"/>
      <x:c r="G477" s="81"/>
      <x:c r="H477" s="81"/>
      <x:c r="I477" s="81"/>
      <x:c r="J477" s="81"/>
      <x:c r="K477" s="81"/>
      <x:c r="L477" s="81"/>
      <x:c r="M477" s="81"/>
      <x:c r="N477" s="81"/>
      <x:c r="O477" s="81"/>
      <x:c r="P477" s="81"/>
      <x:c r="Q477" s="81"/>
      <x:c r="R477" s="81"/>
      <x:c r="S477" s="81"/>
      <x:c r="T477" s="81"/>
      <x:c r="U477" s="81"/>
      <x:c r="V477" s="81"/>
      <x:c r="W477" s="81"/>
      <x:c r="X477" s="81"/>
      <x:c r="Y477" s="81"/>
      <x:c r="Z477" s="81"/>
    </x:row>
    <x:row r="478">
      <x:c r="A478" s="81"/>
      <x:c r="B478" s="81"/>
      <x:c r="C478" s="81"/>
      <x:c r="D478" s="81"/>
      <x:c r="E478" s="81"/>
      <x:c r="F478" s="81"/>
      <x:c r="G478" s="81"/>
      <x:c r="H478" s="81"/>
      <x:c r="I478" s="81"/>
      <x:c r="J478" s="81"/>
      <x:c r="K478" s="81"/>
      <x:c r="L478" s="81"/>
      <x:c r="M478" s="81"/>
      <x:c r="N478" s="81"/>
      <x:c r="O478" s="81"/>
      <x:c r="P478" s="81"/>
      <x:c r="Q478" s="81"/>
      <x:c r="R478" s="81"/>
      <x:c r="S478" s="81"/>
      <x:c r="T478" s="81"/>
      <x:c r="U478" s="81"/>
      <x:c r="V478" s="81"/>
      <x:c r="W478" s="81"/>
      <x:c r="X478" s="81"/>
      <x:c r="Y478" s="81"/>
      <x:c r="Z478" s="81"/>
    </x:row>
    <x:row r="479">
      <x:c r="A479" s="81"/>
      <x:c r="B479" s="81"/>
      <x:c r="C479" s="81"/>
      <x:c r="D479" s="81"/>
      <x:c r="E479" s="81"/>
      <x:c r="F479" s="81"/>
      <x:c r="G479" s="81"/>
      <x:c r="H479" s="81"/>
      <x:c r="I479" s="81"/>
      <x:c r="J479" s="81"/>
      <x:c r="K479" s="81"/>
      <x:c r="L479" s="81"/>
      <x:c r="M479" s="81"/>
      <x:c r="N479" s="81"/>
      <x:c r="O479" s="81"/>
      <x:c r="P479" s="81"/>
      <x:c r="Q479" s="81"/>
      <x:c r="R479" s="81"/>
      <x:c r="S479" s="81"/>
      <x:c r="T479" s="81"/>
      <x:c r="U479" s="81"/>
      <x:c r="V479" s="81"/>
      <x:c r="W479" s="81"/>
      <x:c r="X479" s="81"/>
      <x:c r="Y479" s="81"/>
      <x:c r="Z479" s="81"/>
    </x:row>
    <x:row r="480">
      <x:c r="A480" s="81"/>
      <x:c r="B480" s="81"/>
      <x:c r="C480" s="81"/>
      <x:c r="D480" s="81"/>
      <x:c r="E480" s="81"/>
      <x:c r="F480" s="81"/>
      <x:c r="G480" s="81"/>
      <x:c r="H480" s="81"/>
      <x:c r="I480" s="81"/>
      <x:c r="J480" s="81"/>
      <x:c r="K480" s="81"/>
      <x:c r="L480" s="81"/>
      <x:c r="M480" s="81"/>
      <x:c r="N480" s="81"/>
      <x:c r="O480" s="81"/>
      <x:c r="P480" s="81"/>
      <x:c r="Q480" s="81"/>
      <x:c r="R480" s="81"/>
      <x:c r="S480" s="81"/>
      <x:c r="T480" s="81"/>
      <x:c r="U480" s="81"/>
      <x:c r="V480" s="81"/>
      <x:c r="W480" s="81"/>
      <x:c r="X480" s="81"/>
      <x:c r="Y480" s="81"/>
      <x:c r="Z480" s="81"/>
    </x:row>
    <x:row r="481">
      <x:c r="A481" s="81"/>
      <x:c r="B481" s="81"/>
      <x:c r="C481" s="81"/>
      <x:c r="D481" s="81"/>
      <x:c r="E481" s="81"/>
      <x:c r="F481" s="81"/>
      <x:c r="G481" s="81"/>
      <x:c r="H481" s="81"/>
      <x:c r="I481" s="81"/>
      <x:c r="J481" s="81"/>
      <x:c r="K481" s="81"/>
      <x:c r="L481" s="81"/>
      <x:c r="M481" s="81"/>
      <x:c r="N481" s="81"/>
      <x:c r="O481" s="81"/>
      <x:c r="P481" s="81"/>
      <x:c r="Q481" s="81"/>
      <x:c r="R481" s="81"/>
      <x:c r="S481" s="81"/>
      <x:c r="T481" s="81"/>
      <x:c r="U481" s="81"/>
      <x:c r="V481" s="81"/>
      <x:c r="W481" s="81"/>
      <x:c r="X481" s="81"/>
      <x:c r="Y481" s="81"/>
      <x:c r="Z481" s="81"/>
    </x:row>
    <x:row r="482">
      <x:c r="A482" s="81"/>
      <x:c r="B482" s="81"/>
      <x:c r="C482" s="81"/>
      <x:c r="D482" s="81"/>
      <x:c r="E482" s="81"/>
      <x:c r="F482" s="81"/>
      <x:c r="G482" s="81"/>
      <x:c r="H482" s="81"/>
      <x:c r="I482" s="81"/>
      <x:c r="J482" s="81"/>
      <x:c r="K482" s="81"/>
      <x:c r="L482" s="81"/>
      <x:c r="M482" s="81"/>
      <x:c r="N482" s="81"/>
      <x:c r="O482" s="81"/>
      <x:c r="P482" s="81"/>
      <x:c r="Q482" s="81"/>
      <x:c r="R482" s="81"/>
      <x:c r="S482" s="81"/>
      <x:c r="T482" s="81"/>
      <x:c r="U482" s="81"/>
      <x:c r="V482" s="81"/>
      <x:c r="W482" s="81"/>
      <x:c r="X482" s="81"/>
      <x:c r="Y482" s="81"/>
      <x:c r="Z482" s="81"/>
    </x:row>
    <x:row r="483">
      <x:c r="A483" s="81"/>
      <x:c r="B483" s="81"/>
      <x:c r="C483" s="81"/>
      <x:c r="D483" s="81"/>
      <x:c r="E483" s="81"/>
      <x:c r="F483" s="81"/>
      <x:c r="G483" s="81"/>
      <x:c r="H483" s="81"/>
      <x:c r="I483" s="81"/>
      <x:c r="J483" s="81"/>
      <x:c r="K483" s="81"/>
      <x:c r="L483" s="81"/>
      <x:c r="M483" s="81"/>
      <x:c r="N483" s="81"/>
      <x:c r="O483" s="81"/>
      <x:c r="P483" s="81"/>
      <x:c r="Q483" s="81"/>
      <x:c r="R483" s="81"/>
      <x:c r="S483" s="81"/>
      <x:c r="T483" s="81"/>
      <x:c r="U483" s="81"/>
      <x:c r="V483" s="81"/>
      <x:c r="W483" s="81"/>
      <x:c r="X483" s="81"/>
      <x:c r="Y483" s="81"/>
      <x:c r="Z483" s="81"/>
    </x:row>
    <x:row r="484">
      <x:c r="A484" s="81"/>
      <x:c r="B484" s="81"/>
      <x:c r="C484" s="81"/>
      <x:c r="D484" s="81"/>
      <x:c r="E484" s="81"/>
      <x:c r="F484" s="81"/>
      <x:c r="G484" s="81"/>
      <x:c r="H484" s="81"/>
      <x:c r="I484" s="81"/>
      <x:c r="J484" s="81"/>
      <x:c r="K484" s="81"/>
      <x:c r="L484" s="81"/>
      <x:c r="M484" s="81"/>
      <x:c r="N484" s="81"/>
      <x:c r="O484" s="81"/>
      <x:c r="P484" s="81"/>
      <x:c r="Q484" s="81"/>
      <x:c r="R484" s="81"/>
      <x:c r="S484" s="81"/>
      <x:c r="T484" s="81"/>
      <x:c r="U484" s="81"/>
      <x:c r="V484" s="81"/>
      <x:c r="W484" s="81"/>
      <x:c r="X484" s="81"/>
      <x:c r="Y484" s="81"/>
      <x:c r="Z484" s="81"/>
    </x:row>
    <x:row r="485">
      <x:c r="A485" s="81"/>
      <x:c r="B485" s="81"/>
      <x:c r="C485" s="81"/>
      <x:c r="D485" s="81"/>
      <x:c r="E485" s="81"/>
      <x:c r="F485" s="81"/>
      <x:c r="G485" s="81"/>
      <x:c r="H485" s="81"/>
      <x:c r="I485" s="81"/>
      <x:c r="J485" s="81"/>
      <x:c r="K485" s="81"/>
      <x:c r="L485" s="81"/>
      <x:c r="M485" s="81"/>
      <x:c r="N485" s="81"/>
      <x:c r="O485" s="81"/>
      <x:c r="P485" s="81"/>
      <x:c r="Q485" s="81"/>
      <x:c r="R485" s="81"/>
      <x:c r="S485" s="81"/>
      <x:c r="T485" s="81"/>
      <x:c r="U485" s="81"/>
      <x:c r="V485" s="81"/>
      <x:c r="W485" s="81"/>
      <x:c r="X485" s="81"/>
      <x:c r="Y485" s="81"/>
      <x:c r="Z485" s="81"/>
    </x:row>
    <x:row r="486">
      <x:c r="A486" s="81"/>
      <x:c r="B486" s="81"/>
      <x:c r="C486" s="81"/>
      <x:c r="D486" s="81"/>
      <x:c r="E486" s="81"/>
      <x:c r="F486" s="81"/>
      <x:c r="G486" s="81"/>
      <x:c r="H486" s="81"/>
      <x:c r="I486" s="81"/>
      <x:c r="J486" s="81"/>
      <x:c r="K486" s="81"/>
      <x:c r="L486" s="81"/>
      <x:c r="M486" s="81"/>
      <x:c r="N486" s="81"/>
      <x:c r="O486" s="81"/>
      <x:c r="P486" s="81"/>
      <x:c r="Q486" s="81"/>
      <x:c r="R486" s="81"/>
      <x:c r="S486" s="81"/>
      <x:c r="T486" s="81"/>
      <x:c r="U486" s="81"/>
      <x:c r="V486" s="81"/>
      <x:c r="W486" s="81"/>
      <x:c r="X486" s="81"/>
      <x:c r="Y486" s="81"/>
      <x:c r="Z486" s="81"/>
    </x:row>
    <x:row r="487">
      <x:c r="A487" s="81"/>
      <x:c r="B487" s="81"/>
      <x:c r="C487" s="81"/>
      <x:c r="D487" s="81"/>
      <x:c r="E487" s="81"/>
      <x:c r="F487" s="81"/>
      <x:c r="G487" s="81"/>
      <x:c r="H487" s="81"/>
      <x:c r="I487" s="81"/>
      <x:c r="J487" s="81"/>
      <x:c r="K487" s="81"/>
      <x:c r="L487" s="81"/>
      <x:c r="M487" s="81"/>
      <x:c r="N487" s="81"/>
      <x:c r="O487" s="81"/>
      <x:c r="P487" s="81"/>
      <x:c r="Q487" s="81"/>
      <x:c r="R487" s="81"/>
      <x:c r="S487" s="81"/>
      <x:c r="T487" s="81"/>
      <x:c r="U487" s="81"/>
      <x:c r="V487" s="81"/>
      <x:c r="W487" s="81"/>
      <x:c r="X487" s="81"/>
      <x:c r="Y487" s="81"/>
      <x:c r="Z487" s="81"/>
    </x:row>
    <x:row r="488">
      <x:c r="A488" s="81"/>
      <x:c r="B488" s="81"/>
      <x:c r="C488" s="81"/>
      <x:c r="D488" s="81"/>
      <x:c r="E488" s="81"/>
      <x:c r="F488" s="81"/>
      <x:c r="G488" s="81"/>
      <x:c r="H488" s="81"/>
      <x:c r="I488" s="81"/>
      <x:c r="J488" s="81"/>
      <x:c r="K488" s="81"/>
      <x:c r="L488" s="81"/>
      <x:c r="M488" s="81"/>
      <x:c r="N488" s="81"/>
      <x:c r="O488" s="81"/>
      <x:c r="P488" s="81"/>
      <x:c r="Q488" s="81"/>
      <x:c r="R488" s="81"/>
      <x:c r="S488" s="81"/>
      <x:c r="T488" s="81"/>
      <x:c r="U488" s="81"/>
      <x:c r="V488" s="81"/>
      <x:c r="W488" s="81"/>
      <x:c r="X488" s="81"/>
      <x:c r="Y488" s="81"/>
      <x:c r="Z488" s="81"/>
    </x:row>
    <x:row r="489">
      <x:c r="A489" s="81"/>
      <x:c r="B489" s="81"/>
      <x:c r="C489" s="81"/>
      <x:c r="D489" s="81"/>
      <x:c r="E489" s="81"/>
      <x:c r="F489" s="81"/>
      <x:c r="G489" s="81"/>
      <x:c r="H489" s="81"/>
      <x:c r="I489" s="81"/>
      <x:c r="J489" s="81"/>
      <x:c r="K489" s="81"/>
      <x:c r="L489" s="81"/>
      <x:c r="M489" s="81"/>
      <x:c r="N489" s="81"/>
      <x:c r="O489" s="81"/>
      <x:c r="P489" s="81"/>
      <x:c r="Q489" s="81"/>
      <x:c r="R489" s="81"/>
      <x:c r="S489" s="81"/>
      <x:c r="T489" s="81"/>
      <x:c r="U489" s="81"/>
      <x:c r="V489" s="81"/>
      <x:c r="W489" s="81"/>
      <x:c r="X489" s="81"/>
      <x:c r="Y489" s="81"/>
      <x:c r="Z489" s="81"/>
    </x:row>
    <x:row r="490">
      <x:c r="A490" s="81"/>
      <x:c r="B490" s="81"/>
      <x:c r="C490" s="81"/>
      <x:c r="D490" s="81"/>
      <x:c r="E490" s="81"/>
      <x:c r="F490" s="81"/>
      <x:c r="G490" s="81"/>
      <x:c r="H490" s="81"/>
      <x:c r="I490" s="81"/>
      <x:c r="J490" s="81"/>
      <x:c r="K490" s="81"/>
      <x:c r="L490" s="81"/>
      <x:c r="M490" s="81"/>
      <x:c r="N490" s="81"/>
      <x:c r="O490" s="81"/>
      <x:c r="P490" s="81"/>
      <x:c r="Q490" s="81"/>
      <x:c r="R490" s="81"/>
      <x:c r="S490" s="81"/>
      <x:c r="T490" s="81"/>
      <x:c r="U490" s="81"/>
      <x:c r="V490" s="81"/>
      <x:c r="W490" s="81"/>
      <x:c r="X490" s="81"/>
      <x:c r="Y490" s="81"/>
      <x:c r="Z490" s="81"/>
    </x:row>
    <x:row r="491">
      <x:c r="A491" s="81"/>
      <x:c r="B491" s="81"/>
      <x:c r="C491" s="81"/>
      <x:c r="D491" s="81"/>
      <x:c r="E491" s="81"/>
      <x:c r="F491" s="81"/>
      <x:c r="G491" s="81"/>
      <x:c r="H491" s="81"/>
      <x:c r="I491" s="81"/>
      <x:c r="J491" s="81"/>
      <x:c r="K491" s="81"/>
      <x:c r="L491" s="81"/>
      <x:c r="M491" s="81"/>
      <x:c r="N491" s="81"/>
      <x:c r="O491" s="81"/>
      <x:c r="P491" s="81"/>
      <x:c r="Q491" s="81"/>
      <x:c r="R491" s="81"/>
      <x:c r="S491" s="81"/>
      <x:c r="T491" s="81"/>
      <x:c r="U491" s="81"/>
      <x:c r="V491" s="81"/>
      <x:c r="W491" s="81"/>
      <x:c r="X491" s="81"/>
      <x:c r="Y491" s="81"/>
      <x:c r="Z491" s="81"/>
    </x:row>
    <x:row r="492">
      <x:c r="A492" s="81"/>
      <x:c r="B492" s="81"/>
      <x:c r="C492" s="81"/>
      <x:c r="D492" s="81"/>
      <x:c r="E492" s="81"/>
      <x:c r="F492" s="81"/>
      <x:c r="G492" s="81"/>
      <x:c r="H492" s="81"/>
      <x:c r="I492" s="81"/>
      <x:c r="J492" s="81"/>
      <x:c r="K492" s="81"/>
      <x:c r="L492" s="81"/>
      <x:c r="M492" s="81"/>
      <x:c r="N492" s="81"/>
      <x:c r="O492" s="81"/>
      <x:c r="P492" s="81"/>
      <x:c r="Q492" s="81"/>
      <x:c r="R492" s="81"/>
      <x:c r="S492" s="81"/>
      <x:c r="T492" s="81"/>
      <x:c r="U492" s="81"/>
      <x:c r="V492" s="81"/>
      <x:c r="W492" s="81"/>
      <x:c r="X492" s="81"/>
      <x:c r="Y492" s="81"/>
      <x:c r="Z492" s="81"/>
    </x:row>
    <x:row r="493">
      <x:c r="A493" s="81"/>
      <x:c r="B493" s="81"/>
      <x:c r="C493" s="81"/>
      <x:c r="D493" s="81"/>
      <x:c r="E493" s="81"/>
      <x:c r="F493" s="81"/>
      <x:c r="G493" s="81"/>
      <x:c r="H493" s="81"/>
      <x:c r="I493" s="81"/>
      <x:c r="J493" s="81"/>
      <x:c r="K493" s="81"/>
      <x:c r="L493" s="81"/>
      <x:c r="M493" s="81"/>
      <x:c r="N493" s="81"/>
      <x:c r="O493" s="81"/>
      <x:c r="P493" s="81"/>
      <x:c r="Q493" s="81"/>
      <x:c r="R493" s="81"/>
      <x:c r="S493" s="81"/>
      <x:c r="T493" s="81"/>
      <x:c r="U493" s="81"/>
      <x:c r="V493" s="81"/>
      <x:c r="W493" s="81"/>
      <x:c r="X493" s="81"/>
      <x:c r="Y493" s="81"/>
      <x:c r="Z493" s="81"/>
    </x:row>
    <x:row r="494">
      <x:c r="A494" s="81"/>
      <x:c r="B494" s="81"/>
      <x:c r="C494" s="81"/>
      <x:c r="D494" s="81"/>
      <x:c r="E494" s="81"/>
      <x:c r="F494" s="81"/>
      <x:c r="G494" s="81"/>
      <x:c r="H494" s="81"/>
      <x:c r="I494" s="81"/>
      <x:c r="J494" s="81"/>
      <x:c r="K494" s="81"/>
      <x:c r="L494" s="81"/>
      <x:c r="M494" s="81"/>
      <x:c r="N494" s="81"/>
      <x:c r="O494" s="81"/>
      <x:c r="P494" s="81"/>
      <x:c r="Q494" s="81"/>
      <x:c r="R494" s="81"/>
      <x:c r="S494" s="81"/>
      <x:c r="T494" s="81"/>
      <x:c r="U494" s="81"/>
      <x:c r="V494" s="81"/>
      <x:c r="W494" s="81"/>
      <x:c r="X494" s="81"/>
      <x:c r="Y494" s="81"/>
      <x:c r="Z494" s="81"/>
    </x:row>
    <x:row r="495">
      <x:c r="A495" s="81"/>
      <x:c r="B495" s="81"/>
      <x:c r="C495" s="81"/>
      <x:c r="D495" s="81"/>
      <x:c r="E495" s="81"/>
      <x:c r="F495" s="81"/>
      <x:c r="G495" s="81"/>
      <x:c r="H495" s="81"/>
      <x:c r="I495" s="81"/>
      <x:c r="J495" s="81"/>
      <x:c r="K495" s="81"/>
      <x:c r="L495" s="81"/>
      <x:c r="M495" s="81"/>
      <x:c r="N495" s="81"/>
      <x:c r="O495" s="81"/>
      <x:c r="P495" s="81"/>
      <x:c r="Q495" s="81"/>
      <x:c r="R495" s="81"/>
      <x:c r="S495" s="81"/>
      <x:c r="T495" s="81"/>
      <x:c r="U495" s="81"/>
      <x:c r="V495" s="81"/>
      <x:c r="W495" s="81"/>
      <x:c r="X495" s="81"/>
      <x:c r="Y495" s="81"/>
      <x:c r="Z495" s="81"/>
    </x:row>
    <x:row r="496">
      <x:c r="A496" s="81"/>
      <x:c r="B496" s="81"/>
      <x:c r="C496" s="81"/>
      <x:c r="D496" s="81"/>
      <x:c r="E496" s="81"/>
      <x:c r="F496" s="81"/>
      <x:c r="G496" s="81"/>
      <x:c r="H496" s="81"/>
      <x:c r="I496" s="81"/>
      <x:c r="J496" s="81"/>
      <x:c r="K496" s="81"/>
      <x:c r="L496" s="81"/>
      <x:c r="M496" s="81"/>
      <x:c r="N496" s="81"/>
      <x:c r="O496" s="81"/>
      <x:c r="P496" s="81"/>
      <x:c r="Q496" s="81"/>
      <x:c r="R496" s="81"/>
      <x:c r="S496" s="81"/>
      <x:c r="T496" s="81"/>
      <x:c r="U496" s="81"/>
      <x:c r="V496" s="81"/>
      <x:c r="W496" s="81"/>
      <x:c r="X496" s="81"/>
      <x:c r="Y496" s="81"/>
      <x:c r="Z496" s="81"/>
    </x:row>
    <x:row r="497">
      <x:c r="A497" s="81"/>
      <x:c r="B497" s="81"/>
      <x:c r="C497" s="81"/>
      <x:c r="D497" s="81"/>
      <x:c r="E497" s="81"/>
      <x:c r="F497" s="81"/>
      <x:c r="G497" s="81"/>
      <x:c r="H497" s="81"/>
      <x:c r="I497" s="81"/>
      <x:c r="J497" s="81"/>
      <x:c r="K497" s="81"/>
      <x:c r="L497" s="81"/>
      <x:c r="M497" s="81"/>
      <x:c r="N497" s="81"/>
      <x:c r="O497" s="81"/>
      <x:c r="P497" s="81"/>
      <x:c r="Q497" s="81"/>
      <x:c r="R497" s="81"/>
      <x:c r="S497" s="81"/>
      <x:c r="T497" s="81"/>
      <x:c r="U497" s="81"/>
      <x:c r="V497" s="81"/>
      <x:c r="W497" s="81"/>
      <x:c r="X497" s="81"/>
      <x:c r="Y497" s="81"/>
      <x:c r="Z497" s="81"/>
    </x:row>
    <x:row r="498">
      <x:c r="A498" s="81"/>
      <x:c r="B498" s="81"/>
      <x:c r="C498" s="81"/>
      <x:c r="D498" s="81"/>
      <x:c r="E498" s="81"/>
      <x:c r="F498" s="81"/>
      <x:c r="G498" s="81"/>
      <x:c r="H498" s="81"/>
      <x:c r="I498" s="81"/>
      <x:c r="J498" s="81"/>
      <x:c r="K498" s="81"/>
      <x:c r="L498" s="81"/>
      <x:c r="M498" s="81"/>
      <x:c r="N498" s="81"/>
      <x:c r="O498" s="81"/>
      <x:c r="P498" s="81"/>
      <x:c r="Q498" s="81"/>
      <x:c r="R498" s="81"/>
      <x:c r="S498" s="81"/>
      <x:c r="T498" s="81"/>
      <x:c r="U498" s="81"/>
      <x:c r="V498" s="81"/>
      <x:c r="W498" s="81"/>
      <x:c r="X498" s="81"/>
      <x:c r="Y498" s="81"/>
      <x:c r="Z498" s="81"/>
    </x:row>
    <x:row r="499">
      <x:c r="A499" s="81"/>
      <x:c r="B499" s="81"/>
      <x:c r="C499" s="81"/>
      <x:c r="D499" s="81"/>
      <x:c r="E499" s="81"/>
      <x:c r="F499" s="81"/>
      <x:c r="G499" s="81"/>
      <x:c r="H499" s="81"/>
      <x:c r="I499" s="81"/>
      <x:c r="J499" s="81"/>
      <x:c r="K499" s="81"/>
      <x:c r="L499" s="81"/>
      <x:c r="M499" s="81"/>
      <x:c r="N499" s="81"/>
      <x:c r="O499" s="81"/>
      <x:c r="P499" s="81"/>
      <x:c r="Q499" s="81"/>
      <x:c r="R499" s="81"/>
      <x:c r="S499" s="81"/>
      <x:c r="T499" s="81"/>
      <x:c r="U499" s="81"/>
      <x:c r="V499" s="81"/>
      <x:c r="W499" s="81"/>
      <x:c r="X499" s="81"/>
      <x:c r="Y499" s="81"/>
      <x:c r="Z499" s="81"/>
    </x:row>
    <x:row r="500">
      <x:c r="A500" s="81"/>
      <x:c r="B500" s="81"/>
      <x:c r="C500" s="81"/>
      <x:c r="D500" s="81"/>
      <x:c r="E500" s="81"/>
      <x:c r="F500" s="81"/>
      <x:c r="G500" s="81"/>
      <x:c r="H500" s="81"/>
      <x:c r="I500" s="81"/>
      <x:c r="J500" s="81"/>
      <x:c r="K500" s="81"/>
      <x:c r="L500" s="81"/>
      <x:c r="M500" s="81"/>
      <x:c r="N500" s="81"/>
      <x:c r="O500" s="81"/>
      <x:c r="P500" s="81"/>
      <x:c r="Q500" s="81"/>
      <x:c r="R500" s="81"/>
      <x:c r="S500" s="81"/>
      <x:c r="T500" s="81"/>
      <x:c r="U500" s="81"/>
      <x:c r="V500" s="81"/>
      <x:c r="W500" s="81"/>
      <x:c r="X500" s="81"/>
      <x:c r="Y500" s="81"/>
      <x:c r="Z500" s="8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09999656677246" hidden="0" customWidth="1"/>
    <x:col min="2" max="2" width="32.220001220703125" hidden="0" customWidth="1"/>
    <x:col min="3" max="3" width="11.329999923706055" hidden="0" customWidth="1"/>
    <x:col min="4" max="4" width="6.329999923706055" hidden="0" customWidth="1"/>
    <x:col min="5" max="5" width="10" hidden="0" customWidth="1"/>
    <x:col min="6" max="6" width="7.78000020980835" hidden="0" customWidth="1"/>
    <x:col min="7" max="7" width="45.560001373291016" hidden="0" customWidth="1"/>
  </x:cols>
  <x:sheetData>
    <x:row r="1">
      <x:c r="A1" s="86" t="str">
        <x:v>Date</x:v>
      </x:c>
      <x:c r="B1" s="86" t="str">
        <x:v>Shareholder</x:v>
      </x:c>
      <x:c r="C1" s="86" t="str">
        <x:v>Ownership_Pct</x:v>
      </x:c>
      <x:c r="D1" s="86" t="str">
        <x:v>Type</x:v>
      </x:c>
      <x:c r="E1" s="86" t="str">
        <x:v>Jurisdiction</x:v>
      </x:c>
      <x:c r="F1" s="86" t="str">
        <x:v>Source_ID</x:v>
      </x:c>
      <x:c r="G1" s="86" t="str">
        <x:v>Status</x:v>
      </x:c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  <x:c r="T1" s="88"/>
      <x:c r="U1" s="88"/>
      <x:c r="V1" s="88"/>
      <x:c r="W1" s="88"/>
      <x:c r="X1" s="88"/>
      <x:c r="Y1" s="88"/>
      <x:c r="Z1" s="88"/>
    </x:row>
    <x:row r="2">
      <x:c r="A2" s="81" t="str">
        <x:v>2026-07-31</x:v>
      </x:c>
      <x:c r="B2" s="81" t="str">
        <x:v>Dragon Capital Markets (Europe) Limited</x:v>
      </x:c>
      <x:c r="C2" s="91" t="n">
        <x:v>48</x:v>
      </x:c>
      <x:c r="D2" s="81" t="str">
        <x:v>Strategic</x:v>
      </x:c>
      <x:c r="E2" s="81" t="str">
        <x:v>Foreign</x:v>
      </x:c>
      <x:c r="F2" s="81" t="str">
        <x:v>S004</x:v>
      </x:c>
      <x:c r="G2" s="81" t="str">
        <x:v>Assumption based on public disclosures discussed; verify before use</x:v>
      </x:c>
      <x:c r="H2" s="81"/>
      <x:c r="I2" s="81"/>
      <x:c r="J2" s="81"/>
      <x:c r="K2" s="81"/>
      <x:c r="L2" s="81"/>
      <x:c r="M2" s="81"/>
      <x:c r="N2" s="81"/>
      <x:c r="O2" s="81"/>
      <x:c r="P2" s="81"/>
      <x:c r="Q2" s="81"/>
      <x:c r="R2" s="81"/>
      <x:c r="S2" s="81"/>
      <x:c r="T2" s="81"/>
      <x:c r="U2" s="81"/>
      <x:c r="V2" s="81"/>
      <x:c r="W2" s="81"/>
      <x:c r="X2" s="81"/>
      <x:c r="Y2" s="81"/>
      <x:c r="Z2" s="81"/>
    </x:row>
    <x:row r="3">
      <x:c r="A3" s="81" t="str">
        <x:v>2026-07-31</x:v>
      </x:c>
      <x:c r="B3" s="81" t="str">
        <x:v>Dragon Capital Investment Management Limited</x:v>
      </x:c>
      <x:c r="C3" s="91" t="n">
        <x:v>39.95</x:v>
      </x:c>
      <x:c r="D3" s="81" t="str">
        <x:v>Strategic</x:v>
      </x:c>
      <x:c r="E3" s="81" t="str">
        <x:v>Foreign</x:v>
      </x:c>
      <x:c r="F3" s="81" t="str">
        <x:v>S004</x:v>
      </x:c>
      <x:c r="G3" s="81" t="str">
        <x:v>Assumption based on public disclosures discussed; verify before use</x:v>
      </x:c>
      <x:c r="H3" s="81"/>
      <x:c r="I3" s="81"/>
      <x:c r="J3" s="81"/>
      <x:c r="K3" s="81"/>
      <x:c r="L3" s="81"/>
      <x:c r="M3" s="81"/>
      <x:c r="N3" s="81"/>
      <x:c r="O3" s="81"/>
      <x:c r="P3" s="81"/>
      <x:c r="Q3" s="81"/>
      <x:c r="R3" s="81"/>
      <x:c r="S3" s="81"/>
      <x:c r="T3" s="81"/>
      <x:c r="U3" s="81"/>
      <x:c r="V3" s="81"/>
      <x:c r="W3" s="81"/>
      <x:c r="X3" s="81"/>
      <x:c r="Y3" s="81"/>
      <x:c r="Z3" s="81"/>
    </x:row>
    <x:row r="4">
      <x:c r="A4" s="81" t="str">
        <x:v>2026-07-31</x:v>
      </x:c>
      <x:c r="B4" s="81" t="str">
        <x:v>CEO / Management</x:v>
      </x:c>
      <x:c r="C4" s="91" t="n">
        <x:v>2.29</x:v>
      </x:c>
      <x:c r="D4" s="81" t="str">
        <x:v>Insider</x:v>
      </x:c>
      <x:c r="E4" s="81" t="str">
        <x:v>Vietnam/Other</x:v>
      </x:c>
      <x:c r="F4" s="81" t="str">
        <x:v>S004</x:v>
      </x:c>
      <x:c r="G4" s="81" t="str">
        <x:v>Illustrative based on public-discussion inputs</x:v>
      </x:c>
      <x:c r="H4" s="81"/>
      <x:c r="I4" s="81"/>
      <x:c r="J4" s="81"/>
      <x:c r="K4" s="81"/>
      <x:c r="L4" s="81"/>
      <x:c r="M4" s="81"/>
      <x:c r="N4" s="81"/>
      <x:c r="O4" s="81"/>
      <x:c r="P4" s="81"/>
      <x:c r="Q4" s="81"/>
      <x:c r="R4" s="81"/>
      <x:c r="S4" s="81"/>
      <x:c r="T4" s="81"/>
      <x:c r="U4" s="81"/>
      <x:c r="V4" s="81"/>
      <x:c r="W4" s="81"/>
      <x:c r="X4" s="81"/>
      <x:c r="Y4" s="81"/>
      <x:c r="Z4" s="81"/>
    </x:row>
    <x:row r="5">
      <x:c r="A5" s="81" t="str">
        <x:v>2026-07-31</x:v>
      </x:c>
      <x:c r="B5" s="81" t="str">
        <x:v>Other shareholders</x:v>
      </x:c>
      <x:c r="C5" s="91" t="n">
        <x:v>9.76</x:v>
      </x:c>
      <x:c r="D5" s="81" t="str">
        <x:v>Minority</x:v>
      </x:c>
      <x:c r="E5" s="81" t="str">
        <x:v>Mixed</x:v>
      </x:c>
      <x:c r="F5" s="81" t="str">
        <x:v>S004</x:v>
      </x:c>
      <x:c r="G5" s="81" t="str">
        <x:v>Residual assumption</x:v>
      </x:c>
      <x:c r="H5" s="81"/>
      <x:c r="I5" s="81"/>
      <x:c r="J5" s="81"/>
      <x:c r="K5" s="81"/>
      <x:c r="L5" s="81"/>
      <x:c r="M5" s="81"/>
      <x:c r="N5" s="81"/>
      <x:c r="O5" s="81"/>
      <x:c r="P5" s="81"/>
      <x:c r="Q5" s="81"/>
      <x:c r="R5" s="81"/>
      <x:c r="S5" s="81"/>
      <x:c r="T5" s="81"/>
      <x:c r="U5" s="81"/>
      <x:c r="V5" s="81"/>
      <x:c r="W5" s="81"/>
      <x:c r="X5" s="81"/>
      <x:c r="Y5" s="81"/>
      <x:c r="Z5" s="81"/>
    </x:row>
    <x:row r="6">
      <x:c r="A6" s="81"/>
      <x:c r="B6" s="81"/>
      <x:c r="C6" s="9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</x:row>
    <x:row r="7">
      <x:c r="A7" s="81"/>
      <x:c r="B7" s="81"/>
      <x:c r="C7" s="91"/>
      <x:c r="D7" s="81"/>
      <x:c r="E7" s="81"/>
      <x:c r="F7" s="81"/>
      <x:c r="G7" s="81"/>
      <x:c r="H7" s="81"/>
      <x:c r="I7" s="81"/>
      <x:c r="J7" s="81"/>
      <x:c r="K7" s="81"/>
      <x:c r="L7" s="81"/>
      <x:c r="M7" s="81"/>
      <x:c r="N7" s="81"/>
      <x:c r="O7" s="81"/>
      <x:c r="P7" s="81"/>
      <x:c r="Q7" s="81"/>
      <x:c r="R7" s="81"/>
      <x:c r="S7" s="81"/>
      <x:c r="T7" s="81"/>
      <x:c r="U7" s="81"/>
      <x:c r="V7" s="81"/>
      <x:c r="W7" s="81"/>
      <x:c r="X7" s="81"/>
      <x:c r="Y7" s="81"/>
      <x:c r="Z7" s="81"/>
    </x:row>
    <x:row r="8">
      <x:c r="A8" s="81"/>
      <x:c r="B8" s="81"/>
      <x:c r="C8" s="91"/>
      <x:c r="D8" s="81"/>
      <x:c r="E8" s="81"/>
      <x:c r="F8" s="81"/>
      <x:c r="G8" s="81"/>
      <x:c r="H8" s="81"/>
      <x:c r="I8" s="81"/>
      <x:c r="J8" s="81"/>
      <x:c r="K8" s="81"/>
      <x:c r="L8" s="81"/>
      <x:c r="M8" s="81"/>
      <x:c r="N8" s="81"/>
      <x:c r="O8" s="81"/>
      <x:c r="P8" s="81"/>
      <x:c r="Q8" s="81"/>
      <x:c r="R8" s="81"/>
      <x:c r="S8" s="81"/>
      <x:c r="T8" s="81"/>
      <x:c r="U8" s="81"/>
      <x:c r="V8" s="81"/>
      <x:c r="W8" s="81"/>
      <x:c r="X8" s="81"/>
      <x:c r="Y8" s="81"/>
      <x:c r="Z8" s="81"/>
    </x:row>
    <x:row r="9">
      <x:c r="A9" s="81"/>
      <x:c r="B9" s="81"/>
      <x:c r="C9" s="91"/>
      <x:c r="D9" s="81"/>
      <x:c r="E9" s="81"/>
      <x:c r="F9" s="81"/>
      <x:c r="G9" s="81"/>
      <x:c r="H9" s="81"/>
      <x:c r="I9" s="81"/>
      <x:c r="J9" s="81"/>
      <x:c r="K9" s="81"/>
      <x:c r="L9" s="81"/>
      <x:c r="M9" s="81"/>
      <x:c r="N9" s="81"/>
      <x:c r="O9" s="81"/>
      <x:c r="P9" s="81"/>
      <x:c r="Q9" s="81"/>
      <x:c r="R9" s="81"/>
      <x:c r="S9" s="81"/>
      <x:c r="T9" s="81"/>
      <x:c r="U9" s="81"/>
      <x:c r="V9" s="81"/>
      <x:c r="W9" s="81"/>
      <x:c r="X9" s="81"/>
      <x:c r="Y9" s="81"/>
      <x:c r="Z9" s="81"/>
    </x:row>
    <x:row r="10">
      <x:c r="A10" s="81"/>
      <x:c r="B10" s="81"/>
      <x:c r="C10" s="91"/>
      <x:c r="D10" s="81"/>
      <x:c r="E10" s="81"/>
      <x:c r="F10" s="81"/>
      <x:c r="G10" s="81"/>
      <x:c r="H10" s="81"/>
      <x:c r="I10" s="81"/>
      <x:c r="J10" s="81"/>
      <x:c r="K10" s="81"/>
      <x:c r="L10" s="81"/>
      <x:c r="M10" s="81"/>
      <x:c r="N10" s="81"/>
      <x:c r="O10" s="81"/>
      <x:c r="P10" s="81"/>
      <x:c r="Q10" s="81"/>
      <x:c r="R10" s="81"/>
      <x:c r="S10" s="81"/>
      <x:c r="T10" s="81"/>
      <x:c r="U10" s="81"/>
      <x:c r="V10" s="81"/>
      <x:c r="W10" s="81"/>
      <x:c r="X10" s="81"/>
      <x:c r="Y10" s="81"/>
      <x:c r="Z10" s="81"/>
    </x:row>
    <x:row r="11">
      <x:c r="A11" s="81"/>
      <x:c r="B11" s="81"/>
      <x:c r="C11" s="91"/>
      <x:c r="D11" s="81"/>
      <x:c r="E11" s="81"/>
      <x:c r="F11" s="81"/>
      <x:c r="G11" s="81"/>
      <x:c r="H11" s="81"/>
      <x:c r="I11" s="81"/>
      <x:c r="J11" s="81"/>
      <x:c r="K11" s="81"/>
      <x:c r="L11" s="81"/>
      <x:c r="M11" s="81"/>
      <x:c r="N11" s="81"/>
      <x:c r="O11" s="81"/>
      <x:c r="P11" s="81"/>
      <x:c r="Q11" s="81"/>
      <x:c r="R11" s="81"/>
      <x:c r="S11" s="81"/>
      <x:c r="T11" s="81"/>
      <x:c r="U11" s="81"/>
      <x:c r="V11" s="81"/>
      <x:c r="W11" s="81"/>
      <x:c r="X11" s="81"/>
      <x:c r="Y11" s="81"/>
      <x:c r="Z11" s="81"/>
    </x:row>
    <x:row r="12">
      <x:c r="A12" s="81"/>
      <x:c r="B12" s="81"/>
      <x:c r="C12" s="91"/>
      <x:c r="D12" s="81"/>
      <x:c r="E12" s="81"/>
      <x:c r="F12" s="81"/>
      <x:c r="G12" s="81"/>
      <x:c r="H12" s="81"/>
      <x:c r="I12" s="81"/>
      <x:c r="J12" s="81"/>
      <x:c r="K12" s="81"/>
      <x:c r="L12" s="81"/>
      <x:c r="M12" s="81"/>
      <x:c r="N12" s="81"/>
      <x:c r="O12" s="81"/>
      <x:c r="P12" s="81"/>
      <x:c r="Q12" s="81"/>
      <x:c r="R12" s="81"/>
      <x:c r="S12" s="81"/>
      <x:c r="T12" s="81"/>
      <x:c r="U12" s="81"/>
      <x:c r="V12" s="81"/>
      <x:c r="W12" s="81"/>
      <x:c r="X12" s="81"/>
      <x:c r="Y12" s="81"/>
      <x:c r="Z12" s="81"/>
    </x:row>
    <x:row r="13">
      <x:c r="A13" s="81"/>
      <x:c r="B13" s="81"/>
      <x:c r="C13" s="91"/>
      <x:c r="D13" s="81"/>
      <x:c r="E13" s="81"/>
      <x:c r="F13" s="81"/>
      <x:c r="G13" s="81"/>
      <x:c r="H13" s="81"/>
      <x:c r="I13" s="81"/>
      <x:c r="J13" s="81"/>
      <x:c r="K13" s="81"/>
      <x:c r="L13" s="81"/>
      <x:c r="M13" s="81"/>
      <x:c r="N13" s="81"/>
      <x:c r="O13" s="81"/>
      <x:c r="P13" s="81"/>
      <x:c r="Q13" s="81"/>
      <x:c r="R13" s="81"/>
      <x:c r="S13" s="81"/>
      <x:c r="T13" s="81"/>
      <x:c r="U13" s="81"/>
      <x:c r="V13" s="81"/>
      <x:c r="W13" s="81"/>
      <x:c r="X13" s="81"/>
      <x:c r="Y13" s="81"/>
      <x:c r="Z13" s="81"/>
    </x:row>
    <x:row r="14">
      <x:c r="A14" s="81"/>
      <x:c r="B14" s="81"/>
      <x:c r="C14" s="91"/>
      <x:c r="D14" s="81"/>
      <x:c r="E14" s="81"/>
      <x:c r="F14" s="81"/>
      <x:c r="G14" s="81"/>
      <x:c r="H14" s="81"/>
      <x:c r="I14" s="81"/>
      <x:c r="J14" s="81"/>
      <x:c r="K14" s="81"/>
      <x:c r="L14" s="81"/>
      <x:c r="M14" s="81"/>
      <x:c r="N14" s="81"/>
      <x:c r="O14" s="81"/>
      <x:c r="P14" s="81"/>
      <x:c r="Q14" s="81"/>
      <x:c r="R14" s="81"/>
      <x:c r="S14" s="81"/>
      <x:c r="T14" s="81"/>
      <x:c r="U14" s="81"/>
      <x:c r="V14" s="81"/>
      <x:c r="W14" s="81"/>
      <x:c r="X14" s="81"/>
      <x:c r="Y14" s="81"/>
      <x:c r="Z14" s="81"/>
    </x:row>
    <x:row r="15">
      <x:c r="A15" s="81"/>
      <x:c r="B15" s="81"/>
      <x:c r="C15" s="91"/>
      <x:c r="D15" s="81"/>
      <x:c r="E15" s="81"/>
      <x:c r="F15" s="81"/>
      <x:c r="G15" s="81"/>
      <x:c r="H15" s="81"/>
      <x:c r="I15" s="81"/>
      <x:c r="J15" s="81"/>
      <x:c r="K15" s="81"/>
      <x:c r="L15" s="81"/>
      <x:c r="M15" s="81"/>
      <x:c r="N15" s="81"/>
      <x:c r="O15" s="81"/>
      <x:c r="P15" s="81"/>
      <x:c r="Q15" s="81"/>
      <x:c r="R15" s="81"/>
      <x:c r="S15" s="81"/>
      <x:c r="T15" s="81"/>
      <x:c r="U15" s="81"/>
      <x:c r="V15" s="81"/>
      <x:c r="W15" s="81"/>
      <x:c r="X15" s="81"/>
      <x:c r="Y15" s="81"/>
      <x:c r="Z15" s="81"/>
    </x:row>
    <x:row r="16">
      <x:c r="A16" s="81"/>
      <x:c r="B16" s="81"/>
      <x:c r="C16" s="91"/>
      <x:c r="D16" s="81"/>
      <x:c r="E16" s="81"/>
      <x:c r="F16" s="81"/>
      <x:c r="G16" s="81"/>
      <x:c r="H16" s="81"/>
      <x:c r="I16" s="81"/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81"/>
      <x:c r="W16" s="81"/>
      <x:c r="X16" s="81"/>
      <x:c r="Y16" s="81"/>
      <x:c r="Z16" s="81"/>
    </x:row>
    <x:row r="17">
      <x:c r="A17" s="81"/>
      <x:c r="B17" s="81"/>
      <x:c r="C17" s="91"/>
      <x:c r="D17" s="81"/>
      <x:c r="E17" s="81"/>
      <x:c r="F17" s="81"/>
      <x:c r="G17" s="81"/>
      <x:c r="H17" s="81"/>
      <x:c r="I17" s="81"/>
      <x:c r="J17" s="81"/>
      <x:c r="K17" s="81"/>
      <x:c r="L17" s="81"/>
      <x:c r="M17" s="81"/>
      <x:c r="N17" s="81"/>
      <x:c r="O17" s="81"/>
      <x:c r="P17" s="81"/>
      <x:c r="Q17" s="81"/>
      <x:c r="R17" s="81"/>
      <x:c r="S17" s="81"/>
      <x:c r="T17" s="81"/>
      <x:c r="U17" s="81"/>
      <x:c r="V17" s="81"/>
      <x:c r="W17" s="81"/>
      <x:c r="X17" s="81"/>
      <x:c r="Y17" s="81"/>
      <x:c r="Z17" s="81"/>
    </x:row>
    <x:row r="18">
      <x:c r="A18" s="81"/>
      <x:c r="B18" s="81"/>
      <x:c r="C18" s="91"/>
      <x:c r="D18" s="81"/>
      <x:c r="E18" s="81"/>
      <x:c r="F18" s="81"/>
      <x:c r="G18" s="81"/>
      <x:c r="H18" s="81"/>
      <x:c r="I18" s="81"/>
      <x:c r="J18" s="81"/>
      <x:c r="K18" s="81"/>
      <x:c r="L18" s="81"/>
      <x:c r="M18" s="81"/>
      <x:c r="N18" s="81"/>
      <x:c r="O18" s="81"/>
      <x:c r="P18" s="81"/>
      <x:c r="Q18" s="81"/>
      <x:c r="R18" s="81"/>
      <x:c r="S18" s="81"/>
      <x:c r="T18" s="81"/>
      <x:c r="U18" s="81"/>
      <x:c r="V18" s="81"/>
      <x:c r="W18" s="81"/>
      <x:c r="X18" s="81"/>
      <x:c r="Y18" s="81"/>
      <x:c r="Z18" s="81"/>
    </x:row>
    <x:row r="19">
      <x:c r="A19" s="81"/>
      <x:c r="B19" s="81"/>
      <x:c r="C19" s="91"/>
      <x:c r="D19" s="81"/>
      <x:c r="E19" s="81"/>
      <x:c r="F19" s="81"/>
      <x:c r="G19" s="81"/>
      <x:c r="H19" s="81"/>
      <x:c r="I19" s="81"/>
      <x:c r="J19" s="81"/>
      <x:c r="K19" s="81"/>
      <x:c r="L19" s="81"/>
      <x:c r="M19" s="81"/>
      <x:c r="N19" s="81"/>
      <x:c r="O19" s="81"/>
      <x:c r="P19" s="81"/>
      <x:c r="Q19" s="81"/>
      <x:c r="R19" s="81"/>
      <x:c r="S19" s="81"/>
      <x:c r="T19" s="81"/>
      <x:c r="U19" s="81"/>
      <x:c r="V19" s="81"/>
      <x:c r="W19" s="81"/>
      <x:c r="X19" s="81"/>
      <x:c r="Y19" s="81"/>
      <x:c r="Z19" s="81"/>
    </x:row>
    <x:row r="20">
      <x:c r="A20" s="81"/>
      <x:c r="B20" s="81"/>
      <x:c r="C20" s="91"/>
      <x:c r="D20" s="81"/>
      <x:c r="E20" s="81"/>
      <x:c r="F20" s="81"/>
      <x:c r="G20" s="81"/>
      <x:c r="H20" s="81"/>
      <x:c r="I20" s="81"/>
      <x:c r="J20" s="81"/>
      <x:c r="K20" s="81"/>
      <x:c r="L20" s="81"/>
      <x:c r="M20" s="81"/>
      <x:c r="N20" s="81"/>
      <x:c r="O20" s="81"/>
      <x:c r="P20" s="81"/>
      <x:c r="Q20" s="81"/>
      <x:c r="R20" s="81"/>
      <x:c r="S20" s="81"/>
      <x:c r="T20" s="81"/>
      <x:c r="U20" s="81"/>
      <x:c r="V20" s="81"/>
      <x:c r="W20" s="81"/>
      <x:c r="X20" s="81"/>
      <x:c r="Y20" s="81"/>
      <x:c r="Z20" s="81"/>
    </x:row>
    <x:row r="21">
      <x:c r="A21" s="81"/>
      <x:c r="B21" s="81"/>
      <x:c r="C21" s="91"/>
      <x:c r="D21" s="81"/>
      <x:c r="E21" s="81"/>
      <x:c r="F21" s="81"/>
      <x:c r="G21" s="81"/>
      <x:c r="H21" s="81"/>
      <x:c r="I21" s="81"/>
      <x:c r="J21" s="81"/>
      <x:c r="K21" s="81"/>
      <x:c r="L21" s="81"/>
      <x:c r="M21" s="81"/>
      <x:c r="N21" s="81"/>
      <x:c r="O21" s="81"/>
      <x:c r="P21" s="81"/>
      <x:c r="Q21" s="81"/>
      <x:c r="R21" s="81"/>
      <x:c r="S21" s="81"/>
      <x:c r="T21" s="81"/>
      <x:c r="U21" s="81"/>
      <x:c r="V21" s="81"/>
      <x:c r="W21" s="81"/>
      <x:c r="X21" s="81"/>
      <x:c r="Y21" s="81"/>
      <x:c r="Z21" s="81"/>
    </x:row>
    <x:row r="22">
      <x:c r="A22" s="81"/>
      <x:c r="B22" s="81"/>
      <x:c r="C22" s="91"/>
      <x:c r="D22" s="81"/>
      <x:c r="E22" s="81"/>
      <x:c r="F22" s="81"/>
      <x:c r="G22" s="81"/>
      <x:c r="H22" s="81"/>
      <x:c r="I22" s="81"/>
      <x:c r="J22" s="81"/>
      <x:c r="K22" s="81"/>
      <x:c r="L22" s="81"/>
      <x:c r="M22" s="81"/>
      <x:c r="N22" s="81"/>
      <x:c r="O22" s="81"/>
      <x:c r="P22" s="81"/>
      <x:c r="Q22" s="81"/>
      <x:c r="R22" s="81"/>
      <x:c r="S22" s="81"/>
      <x:c r="T22" s="81"/>
      <x:c r="U22" s="81"/>
      <x:c r="V22" s="81"/>
      <x:c r="W22" s="81"/>
      <x:c r="X22" s="81"/>
      <x:c r="Y22" s="81"/>
      <x:c r="Z22" s="81"/>
    </x:row>
    <x:row r="23">
      <x:c r="A23" s="81"/>
      <x:c r="B23" s="81"/>
      <x:c r="C23" s="91"/>
      <x:c r="D23" s="81"/>
      <x:c r="E23" s="81"/>
      <x:c r="F23" s="81"/>
      <x:c r="G23" s="81"/>
      <x:c r="H23" s="81"/>
      <x:c r="I23" s="81"/>
      <x:c r="J23" s="81"/>
      <x:c r="K23" s="81"/>
      <x:c r="L23" s="81"/>
      <x:c r="M23" s="81"/>
      <x:c r="N23" s="81"/>
      <x:c r="O23" s="81"/>
      <x:c r="P23" s="81"/>
      <x:c r="Q23" s="81"/>
      <x:c r="R23" s="81"/>
      <x:c r="S23" s="81"/>
      <x:c r="T23" s="81"/>
      <x:c r="U23" s="81"/>
      <x:c r="V23" s="81"/>
      <x:c r="W23" s="81"/>
      <x:c r="X23" s="81"/>
      <x:c r="Y23" s="81"/>
      <x:c r="Z23" s="81"/>
    </x:row>
    <x:row r="24">
      <x:c r="A24" s="81"/>
      <x:c r="B24" s="81"/>
      <x:c r="C24" s="91"/>
      <x:c r="D24" s="81"/>
      <x:c r="E24" s="81"/>
      <x:c r="F24" s="81"/>
      <x:c r="G24" s="81"/>
      <x:c r="H24" s="81"/>
      <x:c r="I24" s="81"/>
      <x:c r="J24" s="81"/>
      <x:c r="K24" s="81"/>
      <x:c r="L24" s="81"/>
      <x:c r="M24" s="81"/>
      <x:c r="N24" s="81"/>
      <x:c r="O24" s="81"/>
      <x:c r="P24" s="81"/>
      <x:c r="Q24" s="81"/>
      <x:c r="R24" s="81"/>
      <x:c r="S24" s="81"/>
      <x:c r="T24" s="81"/>
      <x:c r="U24" s="81"/>
      <x:c r="V24" s="81"/>
      <x:c r="W24" s="81"/>
      <x:c r="X24" s="81"/>
      <x:c r="Y24" s="81"/>
      <x:c r="Z24" s="81"/>
    </x:row>
    <x:row r="25">
      <x:c r="A25" s="81"/>
      <x:c r="B25" s="81"/>
      <x:c r="C25" s="91"/>
      <x:c r="D25" s="81"/>
      <x:c r="E25" s="81"/>
      <x:c r="F25" s="81"/>
      <x:c r="G25" s="81"/>
      <x:c r="H25" s="81"/>
      <x:c r="I25" s="81"/>
      <x:c r="J25" s="81"/>
      <x:c r="K25" s="81"/>
      <x:c r="L25" s="81"/>
      <x:c r="M25" s="81"/>
      <x:c r="N25" s="81"/>
      <x:c r="O25" s="81"/>
      <x:c r="P25" s="81"/>
      <x:c r="Q25" s="81"/>
      <x:c r="R25" s="81"/>
      <x:c r="S25" s="81"/>
      <x:c r="T25" s="81"/>
      <x:c r="U25" s="81"/>
      <x:c r="V25" s="81"/>
      <x:c r="W25" s="81"/>
      <x:c r="X25" s="81"/>
      <x:c r="Y25" s="81"/>
      <x:c r="Z25" s="81"/>
    </x:row>
    <x:row r="26">
      <x:c r="A26" s="81"/>
      <x:c r="B26" s="81"/>
      <x:c r="C26" s="91"/>
      <x:c r="D26" s="81"/>
      <x:c r="E26" s="81"/>
      <x:c r="F26" s="81"/>
      <x:c r="G26" s="81"/>
      <x:c r="H26" s="81"/>
      <x:c r="I26" s="81"/>
      <x:c r="J26" s="81"/>
      <x:c r="K26" s="81"/>
      <x:c r="L26" s="81"/>
      <x:c r="M26" s="81"/>
      <x:c r="N26" s="81"/>
      <x:c r="O26" s="81"/>
      <x:c r="P26" s="81"/>
      <x:c r="Q26" s="81"/>
      <x:c r="R26" s="81"/>
      <x:c r="S26" s="81"/>
      <x:c r="T26" s="81"/>
      <x:c r="U26" s="81"/>
      <x:c r="V26" s="81"/>
      <x:c r="W26" s="81"/>
      <x:c r="X26" s="81"/>
      <x:c r="Y26" s="81"/>
      <x:c r="Z26" s="81"/>
    </x:row>
    <x:row r="27">
      <x:c r="A27" s="81"/>
      <x:c r="B27" s="81"/>
      <x:c r="C27" s="91"/>
      <x:c r="D27" s="81"/>
      <x:c r="E27" s="81"/>
      <x:c r="F27" s="81"/>
      <x:c r="G27" s="81"/>
      <x:c r="H27" s="81"/>
      <x:c r="I27" s="81"/>
      <x:c r="J27" s="81"/>
      <x:c r="K27" s="81"/>
      <x:c r="L27" s="81"/>
      <x:c r="M27" s="81"/>
      <x:c r="N27" s="81"/>
      <x:c r="O27" s="81"/>
      <x:c r="P27" s="81"/>
      <x:c r="Q27" s="81"/>
      <x:c r="R27" s="81"/>
      <x:c r="S27" s="81"/>
      <x:c r="T27" s="81"/>
      <x:c r="U27" s="81"/>
      <x:c r="V27" s="81"/>
      <x:c r="W27" s="81"/>
      <x:c r="X27" s="81"/>
      <x:c r="Y27" s="81"/>
      <x:c r="Z27" s="81"/>
    </x:row>
    <x:row r="28">
      <x:c r="A28" s="81"/>
      <x:c r="B28" s="81"/>
      <x:c r="C28" s="91"/>
      <x:c r="D28" s="81"/>
      <x:c r="E28" s="81"/>
      <x:c r="F28" s="81"/>
      <x:c r="G28" s="81"/>
      <x:c r="H28" s="81"/>
      <x:c r="I28" s="81"/>
      <x:c r="J28" s="81"/>
      <x:c r="K28" s="81"/>
      <x:c r="L28" s="81"/>
      <x:c r="M28" s="81"/>
      <x:c r="N28" s="81"/>
      <x:c r="O28" s="81"/>
      <x:c r="P28" s="81"/>
      <x:c r="Q28" s="81"/>
      <x:c r="R28" s="81"/>
      <x:c r="S28" s="81"/>
      <x:c r="T28" s="81"/>
      <x:c r="U28" s="81"/>
      <x:c r="V28" s="81"/>
      <x:c r="W28" s="81"/>
      <x:c r="X28" s="81"/>
      <x:c r="Y28" s="81"/>
      <x:c r="Z28" s="81"/>
    </x:row>
    <x:row r="29">
      <x:c r="A29" s="81"/>
      <x:c r="B29" s="81"/>
      <x:c r="C29" s="91"/>
      <x:c r="D29" s="81"/>
      <x:c r="E29" s="81"/>
      <x:c r="F29" s="81"/>
      <x:c r="G29" s="81"/>
      <x:c r="H29" s="81"/>
      <x:c r="I29" s="81"/>
      <x:c r="J29" s="81"/>
      <x:c r="K29" s="81"/>
      <x:c r="L29" s="81"/>
      <x:c r="M29" s="81"/>
      <x:c r="N29" s="81"/>
      <x:c r="O29" s="81"/>
      <x:c r="P29" s="81"/>
      <x:c r="Q29" s="81"/>
      <x:c r="R29" s="81"/>
      <x:c r="S29" s="81"/>
      <x:c r="T29" s="81"/>
      <x:c r="U29" s="81"/>
      <x:c r="V29" s="81"/>
      <x:c r="W29" s="81"/>
      <x:c r="X29" s="81"/>
      <x:c r="Y29" s="81"/>
      <x:c r="Z29" s="81"/>
    </x:row>
    <x:row r="30">
      <x:c r="A30" s="81"/>
      <x:c r="B30" s="81"/>
      <x:c r="C30" s="91"/>
      <x:c r="D30" s="81"/>
      <x:c r="E30" s="81"/>
      <x:c r="F30" s="81"/>
      <x:c r="G30" s="81"/>
      <x:c r="H30" s="81"/>
      <x:c r="I30" s="81"/>
      <x:c r="J30" s="81"/>
      <x:c r="K30" s="81"/>
      <x:c r="L30" s="81"/>
      <x:c r="M30" s="81"/>
      <x:c r="N30" s="81"/>
      <x:c r="O30" s="81"/>
      <x:c r="P30" s="81"/>
      <x:c r="Q30" s="81"/>
      <x:c r="R30" s="81"/>
      <x:c r="S30" s="81"/>
      <x:c r="T30" s="81"/>
      <x:c r="U30" s="81"/>
      <x:c r="V30" s="81"/>
      <x:c r="W30" s="81"/>
      <x:c r="X30" s="81"/>
      <x:c r="Y30" s="81"/>
      <x:c r="Z30" s="81"/>
    </x:row>
    <x:row r="31">
      <x:c r="A31" s="81"/>
      <x:c r="B31" s="81"/>
      <x:c r="C31" s="91"/>
      <x:c r="D31" s="81"/>
      <x:c r="E31" s="81"/>
      <x:c r="F31" s="81"/>
      <x:c r="G31" s="81"/>
      <x:c r="H31" s="81"/>
      <x:c r="I31" s="81"/>
      <x:c r="J31" s="81"/>
      <x:c r="K31" s="81"/>
      <x:c r="L31" s="81"/>
      <x:c r="M31" s="81"/>
      <x:c r="N31" s="81"/>
      <x:c r="O31" s="81"/>
      <x:c r="P31" s="81"/>
      <x:c r="Q31" s="81"/>
      <x:c r="R31" s="81"/>
      <x:c r="S31" s="81"/>
      <x:c r="T31" s="81"/>
      <x:c r="U31" s="81"/>
      <x:c r="V31" s="81"/>
      <x:c r="W31" s="81"/>
      <x:c r="X31" s="81"/>
      <x:c r="Y31" s="81"/>
      <x:c r="Z31" s="81"/>
    </x:row>
    <x:row r="32">
      <x:c r="A32" s="81"/>
      <x:c r="B32" s="81"/>
      <x:c r="C32" s="91"/>
      <x:c r="D32" s="81"/>
      <x:c r="E32" s="81"/>
      <x:c r="F32" s="81"/>
      <x:c r="G32" s="81"/>
      <x:c r="H32" s="81"/>
      <x:c r="I32" s="81"/>
      <x:c r="J32" s="81"/>
      <x:c r="K32" s="81"/>
      <x:c r="L32" s="81"/>
      <x:c r="M32" s="81"/>
      <x:c r="N32" s="81"/>
      <x:c r="O32" s="81"/>
      <x:c r="P32" s="81"/>
      <x:c r="Q32" s="81"/>
      <x:c r="R32" s="81"/>
      <x:c r="S32" s="81"/>
      <x:c r="T32" s="81"/>
      <x:c r="U32" s="81"/>
      <x:c r="V32" s="81"/>
      <x:c r="W32" s="81"/>
      <x:c r="X32" s="81"/>
      <x:c r="Y32" s="81"/>
      <x:c r="Z32" s="81"/>
    </x:row>
    <x:row r="33">
      <x:c r="A33" s="81"/>
      <x:c r="B33" s="81"/>
      <x:c r="C33" s="91"/>
      <x:c r="D33" s="81"/>
      <x:c r="E33" s="81"/>
      <x:c r="F33" s="81"/>
      <x:c r="G33" s="81"/>
      <x:c r="H33" s="81"/>
      <x:c r="I33" s="81"/>
      <x:c r="J33" s="81"/>
      <x:c r="K33" s="81"/>
      <x:c r="L33" s="81"/>
      <x:c r="M33" s="81"/>
      <x:c r="N33" s="81"/>
      <x:c r="O33" s="81"/>
      <x:c r="P33" s="81"/>
      <x:c r="Q33" s="81"/>
      <x:c r="R33" s="81"/>
      <x:c r="S33" s="81"/>
      <x:c r="T33" s="81"/>
      <x:c r="U33" s="81"/>
      <x:c r="V33" s="81"/>
      <x:c r="W33" s="81"/>
      <x:c r="X33" s="81"/>
      <x:c r="Y33" s="81"/>
      <x:c r="Z33" s="81"/>
    </x:row>
    <x:row r="34">
      <x:c r="A34" s="81"/>
      <x:c r="B34" s="81"/>
      <x:c r="C34" s="91"/>
      <x:c r="D34" s="81"/>
      <x:c r="E34" s="81"/>
      <x:c r="F34" s="81"/>
      <x:c r="G34" s="81"/>
      <x:c r="H34" s="81"/>
      <x:c r="I34" s="81"/>
      <x:c r="J34" s="81"/>
      <x:c r="K34" s="81"/>
      <x:c r="L34" s="81"/>
      <x:c r="M34" s="81"/>
      <x:c r="N34" s="81"/>
      <x:c r="O34" s="81"/>
      <x:c r="P34" s="81"/>
      <x:c r="Q34" s="81"/>
      <x:c r="R34" s="81"/>
      <x:c r="S34" s="81"/>
      <x:c r="T34" s="81"/>
      <x:c r="U34" s="81"/>
      <x:c r="V34" s="81"/>
      <x:c r="W34" s="81"/>
      <x:c r="X34" s="81"/>
      <x:c r="Y34" s="81"/>
      <x:c r="Z34" s="81"/>
    </x:row>
    <x:row r="35">
      <x:c r="A35" s="81"/>
      <x:c r="B35" s="81"/>
      <x:c r="C35" s="91"/>
      <x:c r="D35" s="81"/>
      <x:c r="E35" s="81"/>
      <x:c r="F35" s="81"/>
      <x:c r="G35" s="81"/>
      <x:c r="H35" s="81"/>
      <x:c r="I35" s="81"/>
      <x:c r="J35" s="81"/>
      <x:c r="K35" s="81"/>
      <x:c r="L35" s="81"/>
      <x:c r="M35" s="81"/>
      <x:c r="N35" s="81"/>
      <x:c r="O35" s="81"/>
      <x:c r="P35" s="81"/>
      <x:c r="Q35" s="81"/>
      <x:c r="R35" s="81"/>
      <x:c r="S35" s="81"/>
      <x:c r="T35" s="81"/>
      <x:c r="U35" s="81"/>
      <x:c r="V35" s="81"/>
      <x:c r="W35" s="81"/>
      <x:c r="X35" s="81"/>
      <x:c r="Y35" s="81"/>
      <x:c r="Z35" s="81"/>
    </x:row>
    <x:row r="36">
      <x:c r="A36" s="81"/>
      <x:c r="B36" s="81"/>
      <x:c r="C36" s="91"/>
      <x:c r="D36" s="81"/>
      <x:c r="E36" s="81"/>
      <x:c r="F36" s="81"/>
      <x:c r="G36" s="81"/>
      <x:c r="H36" s="81"/>
      <x:c r="I36" s="81"/>
      <x:c r="J36" s="81"/>
      <x:c r="K36" s="81"/>
      <x:c r="L36" s="81"/>
      <x:c r="M36" s="81"/>
      <x:c r="N36" s="81"/>
      <x:c r="O36" s="81"/>
      <x:c r="P36" s="81"/>
      <x:c r="Q36" s="81"/>
      <x:c r="R36" s="81"/>
      <x:c r="S36" s="81"/>
      <x:c r="T36" s="81"/>
      <x:c r="U36" s="81"/>
      <x:c r="V36" s="81"/>
      <x:c r="W36" s="81"/>
      <x:c r="X36" s="81"/>
      <x:c r="Y36" s="81"/>
      <x:c r="Z36" s="81"/>
    </x:row>
    <x:row r="37">
      <x:c r="A37" s="81"/>
      <x:c r="B37" s="81"/>
      <x:c r="C37" s="91"/>
      <x:c r="D37" s="81"/>
      <x:c r="E37" s="81"/>
      <x:c r="F37" s="81"/>
      <x:c r="G37" s="81"/>
      <x:c r="H37" s="81"/>
      <x:c r="I37" s="81"/>
      <x:c r="J37" s="81"/>
      <x:c r="K37" s="81"/>
      <x:c r="L37" s="81"/>
      <x:c r="M37" s="81"/>
      <x:c r="N37" s="81"/>
      <x:c r="O37" s="81"/>
      <x:c r="P37" s="81"/>
      <x:c r="Q37" s="81"/>
      <x:c r="R37" s="81"/>
      <x:c r="S37" s="81"/>
      <x:c r="T37" s="81"/>
      <x:c r="U37" s="81"/>
      <x:c r="V37" s="81"/>
      <x:c r="W37" s="81"/>
      <x:c r="X37" s="81"/>
      <x:c r="Y37" s="81"/>
      <x:c r="Z37" s="81"/>
    </x:row>
    <x:row r="38">
      <x:c r="A38" s="81"/>
      <x:c r="B38" s="81"/>
      <x:c r="C38" s="91"/>
      <x:c r="D38" s="81"/>
      <x:c r="E38" s="81"/>
      <x:c r="F38" s="81"/>
      <x:c r="G38" s="81"/>
      <x:c r="H38" s="81"/>
      <x:c r="I38" s="81"/>
      <x:c r="J38" s="81"/>
      <x:c r="K38" s="81"/>
      <x:c r="L38" s="81"/>
      <x:c r="M38" s="81"/>
      <x:c r="N38" s="81"/>
      <x:c r="O38" s="81"/>
      <x:c r="P38" s="81"/>
      <x:c r="Q38" s="81"/>
      <x:c r="R38" s="81"/>
      <x:c r="S38" s="81"/>
      <x:c r="T38" s="81"/>
      <x:c r="U38" s="81"/>
      <x:c r="V38" s="81"/>
      <x:c r="W38" s="81"/>
      <x:c r="X38" s="81"/>
      <x:c r="Y38" s="81"/>
      <x:c r="Z38" s="81"/>
    </x:row>
    <x:row r="39">
      <x:c r="A39" s="81"/>
      <x:c r="B39" s="81"/>
      <x:c r="C39" s="91"/>
      <x:c r="D39" s="81"/>
      <x:c r="E39" s="81"/>
      <x:c r="F39" s="81"/>
      <x:c r="G39" s="81"/>
      <x:c r="H39" s="81"/>
      <x:c r="I39" s="81"/>
      <x:c r="J39" s="81"/>
      <x:c r="K39" s="81"/>
      <x:c r="L39" s="81"/>
      <x:c r="M39" s="81"/>
      <x:c r="N39" s="81"/>
      <x:c r="O39" s="81"/>
      <x:c r="P39" s="81"/>
      <x:c r="Q39" s="81"/>
      <x:c r="R39" s="81"/>
      <x:c r="S39" s="81"/>
      <x:c r="T39" s="81"/>
      <x:c r="U39" s="81"/>
      <x:c r="V39" s="81"/>
      <x:c r="W39" s="81"/>
      <x:c r="X39" s="81"/>
      <x:c r="Y39" s="81"/>
      <x:c r="Z39" s="81"/>
    </x:row>
    <x:row r="40">
      <x:c r="A40" s="81"/>
      <x:c r="B40" s="81"/>
      <x:c r="C40" s="91"/>
      <x:c r="D40" s="81"/>
      <x:c r="E40" s="81"/>
      <x:c r="F40" s="81"/>
      <x:c r="G40" s="81"/>
      <x:c r="H40" s="81"/>
      <x:c r="I40" s="81"/>
      <x:c r="J40" s="81"/>
      <x:c r="K40" s="81"/>
      <x:c r="L40" s="81"/>
      <x:c r="M40" s="81"/>
      <x:c r="N40" s="81"/>
      <x:c r="O40" s="81"/>
      <x:c r="P40" s="81"/>
      <x:c r="Q40" s="81"/>
      <x:c r="R40" s="81"/>
      <x:c r="S40" s="81"/>
      <x:c r="T40" s="81"/>
      <x:c r="U40" s="81"/>
      <x:c r="V40" s="81"/>
      <x:c r="W40" s="81"/>
      <x:c r="X40" s="81"/>
      <x:c r="Y40" s="81"/>
      <x:c r="Z40" s="81"/>
    </x:row>
    <x:row r="41">
      <x:c r="A41" s="81"/>
      <x:c r="B41" s="81"/>
      <x:c r="C41" s="91"/>
      <x:c r="D41" s="81"/>
      <x:c r="E41" s="81"/>
      <x:c r="F41" s="81"/>
      <x:c r="G41" s="81"/>
      <x:c r="H41" s="81"/>
      <x:c r="I41" s="81"/>
      <x:c r="J41" s="81"/>
      <x:c r="K41" s="81"/>
      <x:c r="L41" s="81"/>
      <x:c r="M41" s="81"/>
      <x:c r="N41" s="81"/>
      <x:c r="O41" s="81"/>
      <x:c r="P41" s="81"/>
      <x:c r="Q41" s="81"/>
      <x:c r="R41" s="81"/>
      <x:c r="S41" s="81"/>
      <x:c r="T41" s="81"/>
      <x:c r="U41" s="81"/>
      <x:c r="V41" s="81"/>
      <x:c r="W41" s="81"/>
      <x:c r="X41" s="81"/>
      <x:c r="Y41" s="81"/>
      <x:c r="Z41" s="81"/>
    </x:row>
    <x:row r="42">
      <x:c r="A42" s="81"/>
      <x:c r="B42" s="81"/>
      <x:c r="C42" s="91"/>
      <x:c r="D42" s="81"/>
      <x:c r="E42" s="81"/>
      <x:c r="F42" s="81"/>
      <x:c r="G42" s="81"/>
      <x:c r="H42" s="81"/>
      <x:c r="I42" s="81"/>
      <x:c r="J42" s="81"/>
      <x:c r="K42" s="81"/>
      <x:c r="L42" s="81"/>
      <x:c r="M42" s="81"/>
      <x:c r="N42" s="81"/>
      <x:c r="O42" s="81"/>
      <x:c r="P42" s="81"/>
      <x:c r="Q42" s="81"/>
      <x:c r="R42" s="81"/>
      <x:c r="S42" s="81"/>
      <x:c r="T42" s="81"/>
      <x:c r="U42" s="81"/>
      <x:c r="V42" s="81"/>
      <x:c r="W42" s="81"/>
      <x:c r="X42" s="81"/>
      <x:c r="Y42" s="81"/>
      <x:c r="Z42" s="81"/>
    </x:row>
    <x:row r="43">
      <x:c r="A43" s="81"/>
      <x:c r="B43" s="81"/>
      <x:c r="C43" s="91"/>
      <x:c r="D43" s="81"/>
      <x:c r="E43" s="81"/>
      <x:c r="F43" s="81"/>
      <x:c r="G43" s="81"/>
      <x:c r="H43" s="81"/>
      <x:c r="I43" s="81"/>
      <x:c r="J43" s="81"/>
      <x:c r="K43" s="81"/>
      <x:c r="L43" s="81"/>
      <x:c r="M43" s="81"/>
      <x:c r="N43" s="81"/>
      <x:c r="O43" s="81"/>
      <x:c r="P43" s="81"/>
      <x:c r="Q43" s="81"/>
      <x:c r="R43" s="81"/>
      <x:c r="S43" s="81"/>
      <x:c r="T43" s="81"/>
      <x:c r="U43" s="81"/>
      <x:c r="V43" s="81"/>
      <x:c r="W43" s="81"/>
      <x:c r="X43" s="81"/>
      <x:c r="Y43" s="81"/>
      <x:c r="Z43" s="81"/>
    </x:row>
    <x:row r="44">
      <x:c r="A44" s="81"/>
      <x:c r="B44" s="81"/>
      <x:c r="C44" s="91"/>
      <x:c r="D44" s="81"/>
      <x:c r="E44" s="81"/>
      <x:c r="F44" s="81"/>
      <x:c r="G44" s="81"/>
      <x:c r="H44" s="81"/>
      <x:c r="I44" s="81"/>
      <x:c r="J44" s="81"/>
      <x:c r="K44" s="81"/>
      <x:c r="L44" s="81"/>
      <x:c r="M44" s="81"/>
      <x:c r="N44" s="81"/>
      <x:c r="O44" s="81"/>
      <x:c r="P44" s="81"/>
      <x:c r="Q44" s="81"/>
      <x:c r="R44" s="81"/>
      <x:c r="S44" s="81"/>
      <x:c r="T44" s="81"/>
      <x:c r="U44" s="81"/>
      <x:c r="V44" s="81"/>
      <x:c r="W44" s="81"/>
      <x:c r="X44" s="81"/>
      <x:c r="Y44" s="81"/>
      <x:c r="Z44" s="81"/>
    </x:row>
    <x:row r="45">
      <x:c r="A45" s="81"/>
      <x:c r="B45" s="81"/>
      <x:c r="C45" s="91"/>
      <x:c r="D45" s="81"/>
      <x:c r="E45" s="81"/>
      <x:c r="F45" s="81"/>
      <x:c r="G45" s="81"/>
      <x:c r="H45" s="81"/>
      <x:c r="I45" s="81"/>
      <x:c r="J45" s="81"/>
      <x:c r="K45" s="81"/>
      <x:c r="L45" s="81"/>
      <x:c r="M45" s="81"/>
      <x:c r="N45" s="81"/>
      <x:c r="O45" s="81"/>
      <x:c r="P45" s="81"/>
      <x:c r="Q45" s="81"/>
      <x:c r="R45" s="81"/>
      <x:c r="S45" s="81"/>
      <x:c r="T45" s="81"/>
      <x:c r="U45" s="81"/>
      <x:c r="V45" s="81"/>
      <x:c r="W45" s="81"/>
      <x:c r="X45" s="81"/>
      <x:c r="Y45" s="81"/>
      <x:c r="Z45" s="81"/>
    </x:row>
    <x:row r="46">
      <x:c r="A46" s="81"/>
      <x:c r="B46" s="81"/>
      <x:c r="C46" s="91"/>
      <x:c r="D46" s="81"/>
      <x:c r="E46" s="81"/>
      <x:c r="F46" s="81"/>
      <x:c r="G46" s="81"/>
      <x:c r="H46" s="81"/>
      <x:c r="I46" s="81"/>
      <x:c r="J46" s="81"/>
      <x:c r="K46" s="81"/>
      <x:c r="L46" s="81"/>
      <x:c r="M46" s="81"/>
      <x:c r="N46" s="81"/>
      <x:c r="O46" s="81"/>
      <x:c r="P46" s="81"/>
      <x:c r="Q46" s="81"/>
      <x:c r="R46" s="81"/>
      <x:c r="S46" s="81"/>
      <x:c r="T46" s="81"/>
      <x:c r="U46" s="81"/>
      <x:c r="V46" s="81"/>
      <x:c r="W46" s="81"/>
      <x:c r="X46" s="81"/>
      <x:c r="Y46" s="81"/>
      <x:c r="Z46" s="81"/>
    </x:row>
    <x:row r="47">
      <x:c r="A47" s="81"/>
      <x:c r="B47" s="81"/>
      <x:c r="C47" s="91"/>
      <x:c r="D47" s="81"/>
      <x:c r="E47" s="81"/>
      <x:c r="F47" s="81"/>
      <x:c r="G47" s="81"/>
      <x:c r="H47" s="81"/>
      <x:c r="I47" s="81"/>
      <x:c r="J47" s="81"/>
      <x:c r="K47" s="81"/>
      <x:c r="L47" s="81"/>
      <x:c r="M47" s="81"/>
      <x:c r="N47" s="81"/>
      <x:c r="O47" s="81"/>
      <x:c r="P47" s="81"/>
      <x:c r="Q47" s="81"/>
      <x:c r="R47" s="81"/>
      <x:c r="S47" s="81"/>
      <x:c r="T47" s="81"/>
      <x:c r="U47" s="81"/>
      <x:c r="V47" s="81"/>
      <x:c r="W47" s="81"/>
      <x:c r="X47" s="81"/>
      <x:c r="Y47" s="81"/>
      <x:c r="Z47" s="81"/>
    </x:row>
    <x:row r="48">
      <x:c r="A48" s="81"/>
      <x:c r="B48" s="81"/>
      <x:c r="C48" s="91"/>
      <x:c r="D48" s="81"/>
      <x:c r="E48" s="81"/>
      <x:c r="F48" s="81"/>
      <x:c r="G48" s="81"/>
      <x:c r="H48" s="81"/>
      <x:c r="I48" s="81"/>
      <x:c r="J48" s="81"/>
      <x:c r="K48" s="81"/>
      <x:c r="L48" s="81"/>
      <x:c r="M48" s="81"/>
      <x:c r="N48" s="81"/>
      <x:c r="O48" s="81"/>
      <x:c r="P48" s="81"/>
      <x:c r="Q48" s="81"/>
      <x:c r="R48" s="81"/>
      <x:c r="S48" s="81"/>
      <x:c r="T48" s="81"/>
      <x:c r="U48" s="81"/>
      <x:c r="V48" s="81"/>
      <x:c r="W48" s="81"/>
      <x:c r="X48" s="81"/>
      <x:c r="Y48" s="81"/>
      <x:c r="Z48" s="81"/>
    </x:row>
    <x:row r="49">
      <x:c r="A49" s="81"/>
      <x:c r="B49" s="81"/>
      <x:c r="C49" s="91"/>
      <x:c r="D49" s="81"/>
      <x:c r="E49" s="81"/>
      <x:c r="F49" s="81"/>
      <x:c r="G49" s="81"/>
      <x:c r="H49" s="81"/>
      <x:c r="I49" s="81"/>
      <x:c r="J49" s="81"/>
      <x:c r="K49" s="81"/>
      <x:c r="L49" s="81"/>
      <x:c r="M49" s="81"/>
      <x:c r="N49" s="81"/>
      <x:c r="O49" s="81"/>
      <x:c r="P49" s="81"/>
      <x:c r="Q49" s="81"/>
      <x:c r="R49" s="81"/>
      <x:c r="S49" s="81"/>
      <x:c r="T49" s="81"/>
      <x:c r="U49" s="81"/>
      <x:c r="V49" s="81"/>
      <x:c r="W49" s="81"/>
      <x:c r="X49" s="81"/>
      <x:c r="Y49" s="81"/>
      <x:c r="Z49" s="81"/>
    </x:row>
    <x:row r="50">
      <x:c r="A50" s="81"/>
      <x:c r="B50" s="81"/>
      <x:c r="C50" s="91"/>
      <x:c r="D50" s="81"/>
      <x:c r="E50" s="81"/>
      <x:c r="F50" s="81"/>
      <x:c r="G50" s="81"/>
      <x:c r="H50" s="81"/>
      <x:c r="I50" s="81"/>
      <x:c r="J50" s="81"/>
      <x:c r="K50" s="81"/>
      <x:c r="L50" s="81"/>
      <x:c r="M50" s="81"/>
      <x:c r="N50" s="81"/>
      <x:c r="O50" s="81"/>
      <x:c r="P50" s="81"/>
      <x:c r="Q50" s="81"/>
      <x:c r="R50" s="81"/>
      <x:c r="S50" s="81"/>
      <x:c r="T50" s="81"/>
      <x:c r="U50" s="81"/>
      <x:c r="V50" s="81"/>
      <x:c r="W50" s="81"/>
      <x:c r="X50" s="81"/>
      <x:c r="Y50" s="81"/>
      <x:c r="Z50" s="81"/>
    </x:row>
    <x:row r="51">
      <x:c r="A51" s="81"/>
      <x:c r="B51" s="81"/>
      <x:c r="C51" s="91"/>
      <x:c r="D51" s="81"/>
      <x:c r="E51" s="81"/>
      <x:c r="F51" s="81"/>
      <x:c r="G51" s="81"/>
      <x:c r="H51" s="81"/>
      <x:c r="I51" s="81"/>
      <x:c r="J51" s="81"/>
      <x:c r="K51" s="81"/>
      <x:c r="L51" s="81"/>
      <x:c r="M51" s="81"/>
      <x:c r="N51" s="81"/>
      <x:c r="O51" s="81"/>
      <x:c r="P51" s="81"/>
      <x:c r="Q51" s="81"/>
      <x:c r="R51" s="81"/>
      <x:c r="S51" s="81"/>
      <x:c r="T51" s="81"/>
      <x:c r="U51" s="81"/>
      <x:c r="V51" s="81"/>
      <x:c r="W51" s="81"/>
      <x:c r="X51" s="81"/>
      <x:c r="Y51" s="81"/>
      <x:c r="Z51" s="81"/>
    </x:row>
    <x:row r="52">
      <x:c r="A52" s="81"/>
      <x:c r="B52" s="81"/>
      <x:c r="C52" s="91"/>
      <x:c r="D52" s="81"/>
      <x:c r="E52" s="81"/>
      <x:c r="F52" s="81"/>
      <x:c r="G52" s="81"/>
      <x:c r="H52" s="81"/>
      <x:c r="I52" s="81"/>
      <x:c r="J52" s="81"/>
      <x:c r="K52" s="81"/>
      <x:c r="L52" s="81"/>
      <x:c r="M52" s="81"/>
      <x:c r="N52" s="81"/>
      <x:c r="O52" s="81"/>
      <x:c r="P52" s="81"/>
      <x:c r="Q52" s="81"/>
      <x:c r="R52" s="81"/>
      <x:c r="S52" s="81"/>
      <x:c r="T52" s="81"/>
      <x:c r="U52" s="81"/>
      <x:c r="V52" s="81"/>
      <x:c r="W52" s="81"/>
      <x:c r="X52" s="81"/>
      <x:c r="Y52" s="81"/>
      <x:c r="Z52" s="81"/>
    </x:row>
    <x:row r="53">
      <x:c r="A53" s="81"/>
      <x:c r="B53" s="81"/>
      <x:c r="C53" s="91"/>
      <x:c r="D53" s="81"/>
      <x:c r="E53" s="81"/>
      <x:c r="F53" s="81"/>
      <x:c r="G53" s="81"/>
      <x:c r="H53" s="81"/>
      <x:c r="I53" s="81"/>
      <x:c r="J53" s="81"/>
      <x:c r="K53" s="81"/>
      <x:c r="L53" s="81"/>
      <x:c r="M53" s="81"/>
      <x:c r="N53" s="81"/>
      <x:c r="O53" s="81"/>
      <x:c r="P53" s="81"/>
      <x:c r="Q53" s="81"/>
      <x:c r="R53" s="81"/>
      <x:c r="S53" s="81"/>
      <x:c r="T53" s="81"/>
      <x:c r="U53" s="81"/>
      <x:c r="V53" s="81"/>
      <x:c r="W53" s="81"/>
      <x:c r="X53" s="81"/>
      <x:c r="Y53" s="81"/>
      <x:c r="Z53" s="81"/>
    </x:row>
    <x:row r="54">
      <x:c r="A54" s="81"/>
      <x:c r="B54" s="81"/>
      <x:c r="C54" s="91"/>
      <x:c r="D54" s="81"/>
      <x:c r="E54" s="81"/>
      <x:c r="F54" s="81"/>
      <x:c r="G54" s="81"/>
      <x:c r="H54" s="81"/>
      <x:c r="I54" s="81"/>
      <x:c r="J54" s="81"/>
      <x:c r="K54" s="81"/>
      <x:c r="L54" s="81"/>
      <x:c r="M54" s="81"/>
      <x:c r="N54" s="81"/>
      <x:c r="O54" s="81"/>
      <x:c r="P54" s="81"/>
      <x:c r="Q54" s="81"/>
      <x:c r="R54" s="81"/>
      <x:c r="S54" s="81"/>
      <x:c r="T54" s="81"/>
      <x:c r="U54" s="81"/>
      <x:c r="V54" s="81"/>
      <x:c r="W54" s="81"/>
      <x:c r="X54" s="81"/>
      <x:c r="Y54" s="81"/>
      <x:c r="Z54" s="81"/>
    </x:row>
    <x:row r="55">
      <x:c r="A55" s="81"/>
      <x:c r="B55" s="81"/>
      <x:c r="C55" s="91"/>
      <x:c r="D55" s="81"/>
      <x:c r="E55" s="81"/>
      <x:c r="F55" s="81"/>
      <x:c r="G55" s="81"/>
      <x:c r="H55" s="81"/>
      <x:c r="I55" s="81"/>
      <x:c r="J55" s="81"/>
      <x:c r="K55" s="81"/>
      <x:c r="L55" s="81"/>
      <x:c r="M55" s="81"/>
      <x:c r="N55" s="81"/>
      <x:c r="O55" s="81"/>
      <x:c r="P55" s="81"/>
      <x:c r="Q55" s="81"/>
      <x:c r="R55" s="81"/>
      <x:c r="S55" s="81"/>
      <x:c r="T55" s="81"/>
      <x:c r="U55" s="81"/>
      <x:c r="V55" s="81"/>
      <x:c r="W55" s="81"/>
      <x:c r="X55" s="81"/>
      <x:c r="Y55" s="81"/>
      <x:c r="Z55" s="81"/>
    </x:row>
    <x:row r="56">
      <x:c r="A56" s="81"/>
      <x:c r="B56" s="81"/>
      <x:c r="C56" s="91"/>
      <x:c r="D56" s="81"/>
      <x:c r="E56" s="81"/>
      <x:c r="F56" s="81"/>
      <x:c r="G56" s="81"/>
      <x:c r="H56" s="81"/>
      <x:c r="I56" s="81"/>
      <x:c r="J56" s="81"/>
      <x:c r="K56" s="81"/>
      <x:c r="L56" s="81"/>
      <x:c r="M56" s="81"/>
      <x:c r="N56" s="81"/>
      <x:c r="O56" s="81"/>
      <x:c r="P56" s="81"/>
      <x:c r="Q56" s="81"/>
      <x:c r="R56" s="81"/>
      <x:c r="S56" s="81"/>
      <x:c r="T56" s="81"/>
      <x:c r="U56" s="81"/>
      <x:c r="V56" s="81"/>
      <x:c r="W56" s="81"/>
      <x:c r="X56" s="81"/>
      <x:c r="Y56" s="81"/>
      <x:c r="Z56" s="81"/>
    </x:row>
    <x:row r="57">
      <x:c r="A57" s="81"/>
      <x:c r="B57" s="81"/>
      <x:c r="C57" s="91"/>
      <x:c r="D57" s="81"/>
      <x:c r="E57" s="81"/>
      <x:c r="F57" s="81"/>
      <x:c r="G57" s="81"/>
      <x:c r="H57" s="81"/>
      <x:c r="I57" s="81"/>
      <x:c r="J57" s="81"/>
      <x:c r="K57" s="81"/>
      <x:c r="L57" s="81"/>
      <x:c r="M57" s="81"/>
      <x:c r="N57" s="81"/>
      <x:c r="O57" s="81"/>
      <x:c r="P57" s="81"/>
      <x:c r="Q57" s="81"/>
      <x:c r="R57" s="81"/>
      <x:c r="S57" s="81"/>
      <x:c r="T57" s="81"/>
      <x:c r="U57" s="81"/>
      <x:c r="V57" s="81"/>
      <x:c r="W57" s="81"/>
      <x:c r="X57" s="81"/>
      <x:c r="Y57" s="81"/>
      <x:c r="Z57" s="81"/>
    </x:row>
    <x:row r="58">
      <x:c r="A58" s="81"/>
      <x:c r="B58" s="81"/>
      <x:c r="C58" s="91"/>
      <x:c r="D58" s="81"/>
      <x:c r="E58" s="81"/>
      <x:c r="F58" s="81"/>
      <x:c r="G58" s="81"/>
      <x:c r="H58" s="81"/>
      <x:c r="I58" s="81"/>
      <x:c r="J58" s="81"/>
      <x:c r="K58" s="81"/>
      <x:c r="L58" s="81"/>
      <x:c r="M58" s="81"/>
      <x:c r="N58" s="81"/>
      <x:c r="O58" s="81"/>
      <x:c r="P58" s="81"/>
      <x:c r="Q58" s="81"/>
      <x:c r="R58" s="81"/>
      <x:c r="S58" s="81"/>
      <x:c r="T58" s="81"/>
      <x:c r="U58" s="81"/>
      <x:c r="V58" s="81"/>
      <x:c r="W58" s="81"/>
      <x:c r="X58" s="81"/>
      <x:c r="Y58" s="81"/>
      <x:c r="Z58" s="81"/>
    </x:row>
    <x:row r="59">
      <x:c r="A59" s="81"/>
      <x:c r="B59" s="81"/>
      <x:c r="C59" s="91"/>
      <x:c r="D59" s="81"/>
      <x:c r="E59" s="81"/>
      <x:c r="F59" s="81"/>
      <x:c r="G59" s="81"/>
      <x:c r="H59" s="81"/>
      <x:c r="I59" s="81"/>
      <x:c r="J59" s="81"/>
      <x:c r="K59" s="81"/>
      <x:c r="L59" s="81"/>
      <x:c r="M59" s="81"/>
      <x:c r="N59" s="81"/>
      <x:c r="O59" s="81"/>
      <x:c r="P59" s="81"/>
      <x:c r="Q59" s="81"/>
      <x:c r="R59" s="81"/>
      <x:c r="S59" s="81"/>
      <x:c r="T59" s="81"/>
      <x:c r="U59" s="81"/>
      <x:c r="V59" s="81"/>
      <x:c r="W59" s="81"/>
      <x:c r="X59" s="81"/>
      <x:c r="Y59" s="81"/>
      <x:c r="Z59" s="81"/>
    </x:row>
    <x:row r="60">
      <x:c r="A60" s="81"/>
      <x:c r="B60" s="81"/>
      <x:c r="C60" s="91"/>
      <x:c r="D60" s="81"/>
      <x:c r="E60" s="81"/>
      <x:c r="F60" s="81"/>
      <x:c r="G60" s="81"/>
      <x:c r="H60" s="81"/>
      <x:c r="I60" s="81"/>
      <x:c r="J60" s="81"/>
      <x:c r="K60" s="81"/>
      <x:c r="L60" s="81"/>
      <x:c r="M60" s="81"/>
      <x:c r="N60" s="81"/>
      <x:c r="O60" s="81"/>
      <x:c r="P60" s="81"/>
      <x:c r="Q60" s="81"/>
      <x:c r="R60" s="81"/>
      <x:c r="S60" s="81"/>
      <x:c r="T60" s="81"/>
      <x:c r="U60" s="81"/>
      <x:c r="V60" s="81"/>
      <x:c r="W60" s="81"/>
      <x:c r="X60" s="81"/>
      <x:c r="Y60" s="81"/>
      <x:c r="Z60" s="81"/>
    </x:row>
    <x:row r="61">
      <x:c r="A61" s="81"/>
      <x:c r="B61" s="81"/>
      <x:c r="C61" s="91"/>
      <x:c r="D61" s="81"/>
      <x:c r="E61" s="81"/>
      <x:c r="F61" s="81"/>
      <x:c r="G61" s="81"/>
      <x:c r="H61" s="81"/>
      <x:c r="I61" s="81"/>
      <x:c r="J61" s="81"/>
      <x:c r="K61" s="81"/>
      <x:c r="L61" s="81"/>
      <x:c r="M61" s="81"/>
      <x:c r="N61" s="81"/>
      <x:c r="O61" s="81"/>
      <x:c r="P61" s="81"/>
      <x:c r="Q61" s="81"/>
      <x:c r="R61" s="81"/>
      <x:c r="S61" s="81"/>
      <x:c r="T61" s="81"/>
      <x:c r="U61" s="81"/>
      <x:c r="V61" s="81"/>
      <x:c r="W61" s="81"/>
      <x:c r="X61" s="81"/>
      <x:c r="Y61" s="81"/>
      <x:c r="Z61" s="81"/>
    </x:row>
    <x:row r="62">
      <x:c r="A62" s="81"/>
      <x:c r="B62" s="81"/>
      <x:c r="C62" s="91"/>
      <x:c r="D62" s="81"/>
      <x:c r="E62" s="81"/>
      <x:c r="F62" s="81"/>
      <x:c r="G62" s="81"/>
      <x:c r="H62" s="81"/>
      <x:c r="I62" s="81"/>
      <x:c r="J62" s="81"/>
      <x:c r="K62" s="81"/>
      <x:c r="L62" s="81"/>
      <x:c r="M62" s="81"/>
      <x:c r="N62" s="81"/>
      <x:c r="O62" s="81"/>
      <x:c r="P62" s="81"/>
      <x:c r="Q62" s="81"/>
      <x:c r="R62" s="81"/>
      <x:c r="S62" s="81"/>
      <x:c r="T62" s="81"/>
      <x:c r="U62" s="81"/>
      <x:c r="V62" s="81"/>
      <x:c r="W62" s="81"/>
      <x:c r="X62" s="81"/>
      <x:c r="Y62" s="81"/>
      <x:c r="Z62" s="81"/>
    </x:row>
    <x:row r="63">
      <x:c r="A63" s="81"/>
      <x:c r="B63" s="81"/>
      <x:c r="C63" s="91"/>
      <x:c r="D63" s="81"/>
      <x:c r="E63" s="81"/>
      <x:c r="F63" s="81"/>
      <x:c r="G63" s="81"/>
      <x:c r="H63" s="81"/>
      <x:c r="I63" s="81"/>
      <x:c r="J63" s="81"/>
      <x:c r="K63" s="81"/>
      <x:c r="L63" s="81"/>
      <x:c r="M63" s="81"/>
      <x:c r="N63" s="81"/>
      <x:c r="O63" s="81"/>
      <x:c r="P63" s="81"/>
      <x:c r="Q63" s="81"/>
      <x:c r="R63" s="81"/>
      <x:c r="S63" s="81"/>
      <x:c r="T63" s="81"/>
      <x:c r="U63" s="81"/>
      <x:c r="V63" s="81"/>
      <x:c r="W63" s="81"/>
      <x:c r="X63" s="81"/>
      <x:c r="Y63" s="81"/>
      <x:c r="Z63" s="81"/>
    </x:row>
    <x:row r="64">
      <x:c r="A64" s="81"/>
      <x:c r="B64" s="81"/>
      <x:c r="C64" s="91"/>
      <x:c r="D64" s="81"/>
      <x:c r="E64" s="81"/>
      <x:c r="F64" s="81"/>
      <x:c r="G64" s="81"/>
      <x:c r="H64" s="81"/>
      <x:c r="I64" s="81"/>
      <x:c r="J64" s="81"/>
      <x:c r="K64" s="81"/>
      <x:c r="L64" s="81"/>
      <x:c r="M64" s="81"/>
      <x:c r="N64" s="81"/>
      <x:c r="O64" s="81"/>
      <x:c r="P64" s="81"/>
      <x:c r="Q64" s="81"/>
      <x:c r="R64" s="81"/>
      <x:c r="S64" s="81"/>
      <x:c r="T64" s="81"/>
      <x:c r="U64" s="81"/>
      <x:c r="V64" s="81"/>
      <x:c r="W64" s="81"/>
      <x:c r="X64" s="81"/>
      <x:c r="Y64" s="81"/>
      <x:c r="Z64" s="81"/>
    </x:row>
    <x:row r="65">
      <x:c r="A65" s="81"/>
      <x:c r="B65" s="81"/>
      <x:c r="C65" s="91"/>
      <x:c r="D65" s="81"/>
      <x:c r="E65" s="81"/>
      <x:c r="F65" s="81"/>
      <x:c r="G65" s="81"/>
      <x:c r="H65" s="81"/>
      <x:c r="I65" s="81"/>
      <x:c r="J65" s="81"/>
      <x:c r="K65" s="81"/>
      <x:c r="L65" s="81"/>
      <x:c r="M65" s="81"/>
      <x:c r="N65" s="81"/>
      <x:c r="O65" s="81"/>
      <x:c r="P65" s="81"/>
      <x:c r="Q65" s="81"/>
      <x:c r="R65" s="81"/>
      <x:c r="S65" s="81"/>
      <x:c r="T65" s="81"/>
      <x:c r="U65" s="81"/>
      <x:c r="V65" s="81"/>
      <x:c r="W65" s="81"/>
      <x:c r="X65" s="81"/>
      <x:c r="Y65" s="81"/>
      <x:c r="Z65" s="81"/>
    </x:row>
    <x:row r="66">
      <x:c r="A66" s="81"/>
      <x:c r="B66" s="81"/>
      <x:c r="C66" s="91"/>
      <x:c r="D66" s="81"/>
      <x:c r="E66" s="81"/>
      <x:c r="F66" s="81"/>
      <x:c r="G66" s="81"/>
      <x:c r="H66" s="81"/>
      <x:c r="I66" s="81"/>
      <x:c r="J66" s="81"/>
      <x:c r="K66" s="81"/>
      <x:c r="L66" s="81"/>
      <x:c r="M66" s="81"/>
      <x:c r="N66" s="81"/>
      <x:c r="O66" s="81"/>
      <x:c r="P66" s="81"/>
      <x:c r="Q66" s="81"/>
      <x:c r="R66" s="81"/>
      <x:c r="S66" s="81"/>
      <x:c r="T66" s="81"/>
      <x:c r="U66" s="81"/>
      <x:c r="V66" s="81"/>
      <x:c r="W66" s="81"/>
      <x:c r="X66" s="81"/>
      <x:c r="Y66" s="81"/>
      <x:c r="Z66" s="81"/>
    </x:row>
    <x:row r="67">
      <x:c r="A67" s="81"/>
      <x:c r="B67" s="81"/>
      <x:c r="C67" s="91"/>
      <x:c r="D67" s="81"/>
      <x:c r="E67" s="81"/>
      <x:c r="F67" s="81"/>
      <x:c r="G67" s="81"/>
      <x:c r="H67" s="81"/>
      <x:c r="I67" s="81"/>
      <x:c r="J67" s="81"/>
      <x:c r="K67" s="81"/>
      <x:c r="L67" s="81"/>
      <x:c r="M67" s="81"/>
      <x:c r="N67" s="81"/>
      <x:c r="O67" s="81"/>
      <x:c r="P67" s="81"/>
      <x:c r="Q67" s="81"/>
      <x:c r="R67" s="81"/>
      <x:c r="S67" s="81"/>
      <x:c r="T67" s="81"/>
      <x:c r="U67" s="81"/>
      <x:c r="V67" s="81"/>
      <x:c r="W67" s="81"/>
      <x:c r="X67" s="81"/>
      <x:c r="Y67" s="81"/>
      <x:c r="Z67" s="81"/>
    </x:row>
    <x:row r="68">
      <x:c r="A68" s="81"/>
      <x:c r="B68" s="81"/>
      <x:c r="C68" s="91"/>
      <x:c r="D68" s="81"/>
      <x:c r="E68" s="81"/>
      <x:c r="F68" s="81"/>
      <x:c r="G68" s="81"/>
      <x:c r="H68" s="81"/>
      <x:c r="I68" s="81"/>
      <x:c r="J68" s="81"/>
      <x:c r="K68" s="81"/>
      <x:c r="L68" s="81"/>
      <x:c r="M68" s="81"/>
      <x:c r="N68" s="81"/>
      <x:c r="O68" s="81"/>
      <x:c r="P68" s="81"/>
      <x:c r="Q68" s="81"/>
      <x:c r="R68" s="81"/>
      <x:c r="S68" s="81"/>
      <x:c r="T68" s="81"/>
      <x:c r="U68" s="81"/>
      <x:c r="V68" s="81"/>
      <x:c r="W68" s="81"/>
      <x:c r="X68" s="81"/>
      <x:c r="Y68" s="81"/>
      <x:c r="Z68" s="81"/>
    </x:row>
    <x:row r="69">
      <x:c r="A69" s="81"/>
      <x:c r="B69" s="81"/>
      <x:c r="C69" s="91"/>
      <x:c r="D69" s="81"/>
      <x:c r="E69" s="81"/>
      <x:c r="F69" s="81"/>
      <x:c r="G69" s="81"/>
      <x:c r="H69" s="81"/>
      <x:c r="I69" s="81"/>
      <x:c r="J69" s="81"/>
      <x:c r="K69" s="81"/>
      <x:c r="L69" s="81"/>
      <x:c r="M69" s="81"/>
      <x:c r="N69" s="81"/>
      <x:c r="O69" s="81"/>
      <x:c r="P69" s="81"/>
      <x:c r="Q69" s="81"/>
      <x:c r="R69" s="81"/>
      <x:c r="S69" s="81"/>
      <x:c r="T69" s="81"/>
      <x:c r="U69" s="81"/>
      <x:c r="V69" s="81"/>
      <x:c r="W69" s="81"/>
      <x:c r="X69" s="81"/>
      <x:c r="Y69" s="81"/>
      <x:c r="Z69" s="81"/>
    </x:row>
    <x:row r="70">
      <x:c r="A70" s="81"/>
      <x:c r="B70" s="81"/>
      <x:c r="C70" s="91"/>
      <x:c r="D70" s="81"/>
      <x:c r="E70" s="81"/>
      <x:c r="F70" s="81"/>
      <x:c r="G70" s="81"/>
      <x:c r="H70" s="81"/>
      <x:c r="I70" s="81"/>
      <x:c r="J70" s="81"/>
      <x:c r="K70" s="81"/>
      <x:c r="L70" s="81"/>
      <x:c r="M70" s="81"/>
      <x:c r="N70" s="81"/>
      <x:c r="O70" s="81"/>
      <x:c r="P70" s="81"/>
      <x:c r="Q70" s="81"/>
      <x:c r="R70" s="81"/>
      <x:c r="S70" s="81"/>
      <x:c r="T70" s="81"/>
      <x:c r="U70" s="81"/>
      <x:c r="V70" s="81"/>
      <x:c r="W70" s="81"/>
      <x:c r="X70" s="81"/>
      <x:c r="Y70" s="81"/>
      <x:c r="Z70" s="81"/>
    </x:row>
    <x:row r="71">
      <x:c r="A71" s="81"/>
      <x:c r="B71" s="81"/>
      <x:c r="C71" s="91"/>
      <x:c r="D71" s="81"/>
      <x:c r="E71" s="81"/>
      <x:c r="F71" s="81"/>
      <x:c r="G71" s="81"/>
      <x:c r="H71" s="81"/>
      <x:c r="I71" s="81"/>
      <x:c r="J71" s="81"/>
      <x:c r="K71" s="81"/>
      <x:c r="L71" s="81"/>
      <x:c r="M71" s="81"/>
      <x:c r="N71" s="81"/>
      <x:c r="O71" s="81"/>
      <x:c r="P71" s="81"/>
      <x:c r="Q71" s="81"/>
      <x:c r="R71" s="81"/>
      <x:c r="S71" s="81"/>
      <x:c r="T71" s="81"/>
      <x:c r="U71" s="81"/>
      <x:c r="V71" s="81"/>
      <x:c r="W71" s="81"/>
      <x:c r="X71" s="81"/>
      <x:c r="Y71" s="81"/>
      <x:c r="Z71" s="81"/>
    </x:row>
    <x:row r="72">
      <x:c r="A72" s="81"/>
      <x:c r="B72" s="81"/>
      <x:c r="C72" s="91"/>
      <x:c r="D72" s="81"/>
      <x:c r="E72" s="81"/>
      <x:c r="F72" s="81"/>
      <x:c r="G72" s="81"/>
      <x:c r="H72" s="81"/>
      <x:c r="I72" s="81"/>
      <x:c r="J72" s="81"/>
      <x:c r="K72" s="81"/>
      <x:c r="L72" s="81"/>
      <x:c r="M72" s="81"/>
      <x:c r="N72" s="81"/>
      <x:c r="O72" s="81"/>
      <x:c r="P72" s="81"/>
      <x:c r="Q72" s="81"/>
      <x:c r="R72" s="81"/>
      <x:c r="S72" s="81"/>
      <x:c r="T72" s="81"/>
      <x:c r="U72" s="81"/>
      <x:c r="V72" s="81"/>
      <x:c r="W72" s="81"/>
      <x:c r="X72" s="81"/>
      <x:c r="Y72" s="81"/>
      <x:c r="Z72" s="81"/>
    </x:row>
    <x:row r="73">
      <x:c r="A73" s="81"/>
      <x:c r="B73" s="81"/>
      <x:c r="C73" s="91"/>
      <x:c r="D73" s="81"/>
      <x:c r="E73" s="81"/>
      <x:c r="F73" s="81"/>
      <x:c r="G73" s="81"/>
      <x:c r="H73" s="81"/>
      <x:c r="I73" s="81"/>
      <x:c r="J73" s="81"/>
      <x:c r="K73" s="81"/>
      <x:c r="L73" s="81"/>
      <x:c r="M73" s="81"/>
      <x:c r="N73" s="81"/>
      <x:c r="O73" s="81"/>
      <x:c r="P73" s="81"/>
      <x:c r="Q73" s="81"/>
      <x:c r="R73" s="81"/>
      <x:c r="S73" s="81"/>
      <x:c r="T73" s="81"/>
      <x:c r="U73" s="81"/>
      <x:c r="V73" s="81"/>
      <x:c r="W73" s="81"/>
      <x:c r="X73" s="81"/>
      <x:c r="Y73" s="81"/>
      <x:c r="Z73" s="81"/>
    </x:row>
    <x:row r="74">
      <x:c r="A74" s="81"/>
      <x:c r="B74" s="81"/>
      <x:c r="C74" s="91"/>
      <x:c r="D74" s="81"/>
      <x:c r="E74" s="81"/>
      <x:c r="F74" s="81"/>
      <x:c r="G74" s="81"/>
      <x:c r="H74" s="81"/>
      <x:c r="I74" s="81"/>
      <x:c r="J74" s="81"/>
      <x:c r="K74" s="81"/>
      <x:c r="L74" s="81"/>
      <x:c r="M74" s="81"/>
      <x:c r="N74" s="81"/>
      <x:c r="O74" s="81"/>
      <x:c r="P74" s="81"/>
      <x:c r="Q74" s="81"/>
      <x:c r="R74" s="81"/>
      <x:c r="S74" s="81"/>
      <x:c r="T74" s="81"/>
      <x:c r="U74" s="81"/>
      <x:c r="V74" s="81"/>
      <x:c r="W74" s="81"/>
      <x:c r="X74" s="81"/>
      <x:c r="Y74" s="81"/>
      <x:c r="Z74" s="81"/>
    </x:row>
    <x:row r="75">
      <x:c r="A75" s="81"/>
      <x:c r="B75" s="81"/>
      <x:c r="C75" s="91"/>
      <x:c r="D75" s="81"/>
      <x:c r="E75" s="81"/>
      <x:c r="F75" s="81"/>
      <x:c r="G75" s="81"/>
      <x:c r="H75" s="81"/>
      <x:c r="I75" s="81"/>
      <x:c r="J75" s="81"/>
      <x:c r="K75" s="81"/>
      <x:c r="L75" s="81"/>
      <x:c r="M75" s="81"/>
      <x:c r="N75" s="81"/>
      <x:c r="O75" s="81"/>
      <x:c r="P75" s="81"/>
      <x:c r="Q75" s="81"/>
      <x:c r="R75" s="81"/>
      <x:c r="S75" s="81"/>
      <x:c r="T75" s="81"/>
      <x:c r="U75" s="81"/>
      <x:c r="V75" s="81"/>
      <x:c r="W75" s="81"/>
      <x:c r="X75" s="81"/>
      <x:c r="Y75" s="81"/>
      <x:c r="Z75" s="81"/>
    </x:row>
    <x:row r="76">
      <x:c r="A76" s="81"/>
      <x:c r="B76" s="81"/>
      <x:c r="C76" s="91"/>
      <x:c r="D76" s="81"/>
      <x:c r="E76" s="81"/>
      <x:c r="F76" s="81"/>
      <x:c r="G76" s="81"/>
      <x:c r="H76" s="81"/>
      <x:c r="I76" s="81"/>
      <x:c r="J76" s="81"/>
      <x:c r="K76" s="81"/>
      <x:c r="L76" s="81"/>
      <x:c r="M76" s="81"/>
      <x:c r="N76" s="81"/>
      <x:c r="O76" s="81"/>
      <x:c r="P76" s="81"/>
      <x:c r="Q76" s="81"/>
      <x:c r="R76" s="81"/>
      <x:c r="S76" s="81"/>
      <x:c r="T76" s="81"/>
      <x:c r="U76" s="81"/>
      <x:c r="V76" s="81"/>
      <x:c r="W76" s="81"/>
      <x:c r="X76" s="81"/>
      <x:c r="Y76" s="81"/>
      <x:c r="Z76" s="81"/>
    </x:row>
    <x:row r="77">
      <x:c r="A77" s="81"/>
      <x:c r="B77" s="81"/>
      <x:c r="C77" s="91"/>
      <x:c r="D77" s="81"/>
      <x:c r="E77" s="81"/>
      <x:c r="F77" s="81"/>
      <x:c r="G77" s="81"/>
      <x:c r="H77" s="81"/>
      <x:c r="I77" s="81"/>
      <x:c r="J77" s="81"/>
      <x:c r="K77" s="81"/>
      <x:c r="L77" s="81"/>
      <x:c r="M77" s="81"/>
      <x:c r="N77" s="81"/>
      <x:c r="O77" s="81"/>
      <x:c r="P77" s="81"/>
      <x:c r="Q77" s="81"/>
      <x:c r="R77" s="81"/>
      <x:c r="S77" s="81"/>
      <x:c r="T77" s="81"/>
      <x:c r="U77" s="81"/>
      <x:c r="V77" s="81"/>
      <x:c r="W77" s="81"/>
      <x:c r="X77" s="81"/>
      <x:c r="Y77" s="81"/>
      <x:c r="Z77" s="81"/>
    </x:row>
    <x:row r="78">
      <x:c r="A78" s="81"/>
      <x:c r="B78" s="81"/>
      <x:c r="C78" s="91"/>
      <x:c r="D78" s="81"/>
      <x:c r="E78" s="81"/>
      <x:c r="F78" s="81"/>
      <x:c r="G78" s="81"/>
      <x:c r="H78" s="81"/>
      <x:c r="I78" s="81"/>
      <x:c r="J78" s="81"/>
      <x:c r="K78" s="81"/>
      <x:c r="L78" s="81"/>
      <x:c r="M78" s="81"/>
      <x:c r="N78" s="81"/>
      <x:c r="O78" s="81"/>
      <x:c r="P78" s="81"/>
      <x:c r="Q78" s="81"/>
      <x:c r="R78" s="81"/>
      <x:c r="S78" s="81"/>
      <x:c r="T78" s="81"/>
      <x:c r="U78" s="81"/>
      <x:c r="V78" s="81"/>
      <x:c r="W78" s="81"/>
      <x:c r="X78" s="81"/>
      <x:c r="Y78" s="81"/>
      <x:c r="Z78" s="81"/>
    </x:row>
    <x:row r="79">
      <x:c r="A79" s="81"/>
      <x:c r="B79" s="81"/>
      <x:c r="C79" s="91"/>
      <x:c r="D79" s="81"/>
      <x:c r="E79" s="81"/>
      <x:c r="F79" s="81"/>
      <x:c r="G79" s="81"/>
      <x:c r="H79" s="81"/>
      <x:c r="I79" s="81"/>
      <x:c r="J79" s="81"/>
      <x:c r="K79" s="81"/>
      <x:c r="L79" s="81"/>
      <x:c r="M79" s="81"/>
      <x:c r="N79" s="81"/>
      <x:c r="O79" s="81"/>
      <x:c r="P79" s="81"/>
      <x:c r="Q79" s="81"/>
      <x:c r="R79" s="81"/>
      <x:c r="S79" s="81"/>
      <x:c r="T79" s="81"/>
      <x:c r="U79" s="81"/>
      <x:c r="V79" s="81"/>
      <x:c r="W79" s="81"/>
      <x:c r="X79" s="81"/>
      <x:c r="Y79" s="81"/>
      <x:c r="Z79" s="81"/>
    </x:row>
    <x:row r="80">
      <x:c r="A80" s="81"/>
      <x:c r="B80" s="81"/>
      <x:c r="C80" s="91"/>
      <x:c r="D80" s="81"/>
      <x:c r="E80" s="81"/>
      <x:c r="F80" s="81"/>
      <x:c r="G80" s="81"/>
      <x:c r="H80" s="81"/>
      <x:c r="I80" s="81"/>
      <x:c r="J80" s="81"/>
      <x:c r="K80" s="81"/>
      <x:c r="L80" s="81"/>
      <x:c r="M80" s="81"/>
      <x:c r="N80" s="81"/>
      <x:c r="O80" s="81"/>
      <x:c r="P80" s="81"/>
      <x:c r="Q80" s="81"/>
      <x:c r="R80" s="81"/>
      <x:c r="S80" s="81"/>
      <x:c r="T80" s="81"/>
      <x:c r="U80" s="81"/>
      <x:c r="V80" s="81"/>
      <x:c r="W80" s="81"/>
      <x:c r="X80" s="81"/>
      <x:c r="Y80" s="81"/>
      <x:c r="Z80" s="81"/>
    </x:row>
    <x:row r="81">
      <x:c r="A81" s="81"/>
      <x:c r="B81" s="81"/>
      <x:c r="C81" s="91"/>
      <x:c r="D81" s="81"/>
      <x:c r="E81" s="81"/>
      <x:c r="F81" s="81"/>
      <x:c r="G81" s="81"/>
      <x:c r="H81" s="81"/>
      <x:c r="I81" s="81"/>
      <x:c r="J81" s="81"/>
      <x:c r="K81" s="81"/>
      <x:c r="L81" s="81"/>
      <x:c r="M81" s="81"/>
      <x:c r="N81" s="81"/>
      <x:c r="O81" s="81"/>
      <x:c r="P81" s="81"/>
      <x:c r="Q81" s="81"/>
      <x:c r="R81" s="81"/>
      <x:c r="S81" s="81"/>
      <x:c r="T81" s="81"/>
      <x:c r="U81" s="81"/>
      <x:c r="V81" s="81"/>
      <x:c r="W81" s="81"/>
      <x:c r="X81" s="81"/>
      <x:c r="Y81" s="81"/>
      <x:c r="Z81" s="81"/>
    </x:row>
    <x:row r="82">
      <x:c r="A82" s="81"/>
      <x:c r="B82" s="81"/>
      <x:c r="C82" s="91"/>
      <x:c r="D82" s="81"/>
      <x:c r="E82" s="81"/>
      <x:c r="F82" s="81"/>
      <x:c r="G82" s="81"/>
      <x:c r="H82" s="81"/>
      <x:c r="I82" s="81"/>
      <x:c r="J82" s="81"/>
      <x:c r="K82" s="81"/>
      <x:c r="L82" s="81"/>
      <x:c r="M82" s="81"/>
      <x:c r="N82" s="81"/>
      <x:c r="O82" s="81"/>
      <x:c r="P82" s="81"/>
      <x:c r="Q82" s="81"/>
      <x:c r="R82" s="81"/>
      <x:c r="S82" s="81"/>
      <x:c r="T82" s="81"/>
      <x:c r="U82" s="81"/>
      <x:c r="V82" s="81"/>
      <x:c r="W82" s="81"/>
      <x:c r="X82" s="81"/>
      <x:c r="Y82" s="81"/>
      <x:c r="Z82" s="81"/>
    </x:row>
    <x:row r="83">
      <x:c r="A83" s="81"/>
      <x:c r="B83" s="81"/>
      <x:c r="C83" s="91"/>
      <x:c r="D83" s="81"/>
      <x:c r="E83" s="81"/>
      <x:c r="F83" s="81"/>
      <x:c r="G83" s="81"/>
      <x:c r="H83" s="81"/>
      <x:c r="I83" s="81"/>
      <x:c r="J83" s="81"/>
      <x:c r="K83" s="81"/>
      <x:c r="L83" s="81"/>
      <x:c r="M83" s="81"/>
      <x:c r="N83" s="81"/>
      <x:c r="O83" s="81"/>
      <x:c r="P83" s="81"/>
      <x:c r="Q83" s="81"/>
      <x:c r="R83" s="81"/>
      <x:c r="S83" s="81"/>
      <x:c r="T83" s="81"/>
      <x:c r="U83" s="81"/>
      <x:c r="V83" s="81"/>
      <x:c r="W83" s="81"/>
      <x:c r="X83" s="81"/>
      <x:c r="Y83" s="81"/>
      <x:c r="Z83" s="81"/>
    </x:row>
    <x:row r="84">
      <x:c r="A84" s="81"/>
      <x:c r="B84" s="81"/>
      <x:c r="C84" s="91"/>
      <x:c r="D84" s="81"/>
      <x:c r="E84" s="81"/>
      <x:c r="F84" s="81"/>
      <x:c r="G84" s="81"/>
      <x:c r="H84" s="81"/>
      <x:c r="I84" s="81"/>
      <x:c r="J84" s="81"/>
      <x:c r="K84" s="81"/>
      <x:c r="L84" s="81"/>
      <x:c r="M84" s="81"/>
      <x:c r="N84" s="81"/>
      <x:c r="O84" s="81"/>
      <x:c r="P84" s="81"/>
      <x:c r="Q84" s="81"/>
      <x:c r="R84" s="81"/>
      <x:c r="S84" s="81"/>
      <x:c r="T84" s="81"/>
      <x:c r="U84" s="81"/>
      <x:c r="V84" s="81"/>
      <x:c r="W84" s="81"/>
      <x:c r="X84" s="81"/>
      <x:c r="Y84" s="81"/>
      <x:c r="Z84" s="81"/>
    </x:row>
    <x:row r="85">
      <x:c r="A85" s="81"/>
      <x:c r="B85" s="81"/>
      <x:c r="C85" s="91"/>
      <x:c r="D85" s="81"/>
      <x:c r="E85" s="81"/>
      <x:c r="F85" s="81"/>
      <x:c r="G85" s="81"/>
      <x:c r="H85" s="81"/>
      <x:c r="I85" s="81"/>
      <x:c r="J85" s="81"/>
      <x:c r="K85" s="81"/>
      <x:c r="L85" s="81"/>
      <x:c r="M85" s="81"/>
      <x:c r="N85" s="81"/>
      <x:c r="O85" s="81"/>
      <x:c r="P85" s="81"/>
      <x:c r="Q85" s="81"/>
      <x:c r="R85" s="81"/>
      <x:c r="S85" s="81"/>
      <x:c r="T85" s="81"/>
      <x:c r="U85" s="81"/>
      <x:c r="V85" s="81"/>
      <x:c r="W85" s="81"/>
      <x:c r="X85" s="81"/>
      <x:c r="Y85" s="81"/>
      <x:c r="Z85" s="81"/>
    </x:row>
    <x:row r="86">
      <x:c r="A86" s="81"/>
      <x:c r="B86" s="81"/>
      <x:c r="C86" s="91"/>
      <x:c r="D86" s="81"/>
      <x:c r="E86" s="81"/>
      <x:c r="F86" s="81"/>
      <x:c r="G86" s="81"/>
      <x:c r="H86" s="81"/>
      <x:c r="I86" s="81"/>
      <x:c r="J86" s="81"/>
      <x:c r="K86" s="81"/>
      <x:c r="L86" s="81"/>
      <x:c r="M86" s="81"/>
      <x:c r="N86" s="81"/>
      <x:c r="O86" s="81"/>
      <x:c r="P86" s="81"/>
      <x:c r="Q86" s="81"/>
      <x:c r="R86" s="81"/>
      <x:c r="S86" s="81"/>
      <x:c r="T86" s="81"/>
      <x:c r="U86" s="81"/>
      <x:c r="V86" s="81"/>
      <x:c r="W86" s="81"/>
      <x:c r="X86" s="81"/>
      <x:c r="Y86" s="81"/>
      <x:c r="Z86" s="81"/>
    </x:row>
    <x:row r="87">
      <x:c r="A87" s="81"/>
      <x:c r="B87" s="81"/>
      <x:c r="C87" s="91"/>
      <x:c r="D87" s="81"/>
      <x:c r="E87" s="81"/>
      <x:c r="F87" s="81"/>
      <x:c r="G87" s="81"/>
      <x:c r="H87" s="81"/>
      <x:c r="I87" s="81"/>
      <x:c r="J87" s="81"/>
      <x:c r="K87" s="81"/>
      <x:c r="L87" s="81"/>
      <x:c r="M87" s="81"/>
      <x:c r="N87" s="81"/>
      <x:c r="O87" s="81"/>
      <x:c r="P87" s="81"/>
      <x:c r="Q87" s="81"/>
      <x:c r="R87" s="81"/>
      <x:c r="S87" s="81"/>
      <x:c r="T87" s="81"/>
      <x:c r="U87" s="81"/>
      <x:c r="V87" s="81"/>
      <x:c r="W87" s="81"/>
      <x:c r="X87" s="81"/>
      <x:c r="Y87" s="81"/>
      <x:c r="Z87" s="81"/>
    </x:row>
    <x:row r="88">
      <x:c r="A88" s="81"/>
      <x:c r="B88" s="81"/>
      <x:c r="C88" s="91"/>
      <x:c r="D88" s="81"/>
      <x:c r="E88" s="81"/>
      <x:c r="F88" s="81"/>
      <x:c r="G88" s="81"/>
      <x:c r="H88" s="81"/>
      <x:c r="I88" s="81"/>
      <x:c r="J88" s="81"/>
      <x:c r="K88" s="81"/>
      <x:c r="L88" s="81"/>
      <x:c r="M88" s="81"/>
      <x:c r="N88" s="81"/>
      <x:c r="O88" s="81"/>
      <x:c r="P88" s="81"/>
      <x:c r="Q88" s="81"/>
      <x:c r="R88" s="81"/>
      <x:c r="S88" s="81"/>
      <x:c r="T88" s="81"/>
      <x:c r="U88" s="81"/>
      <x:c r="V88" s="81"/>
      <x:c r="W88" s="81"/>
      <x:c r="X88" s="81"/>
      <x:c r="Y88" s="81"/>
      <x:c r="Z88" s="81"/>
    </x:row>
    <x:row r="89">
      <x:c r="A89" s="81"/>
      <x:c r="B89" s="81"/>
      <x:c r="C89" s="91"/>
      <x:c r="D89" s="81"/>
      <x:c r="E89" s="81"/>
      <x:c r="F89" s="81"/>
      <x:c r="G89" s="81"/>
      <x:c r="H89" s="81"/>
      <x:c r="I89" s="81"/>
      <x:c r="J89" s="81"/>
      <x:c r="K89" s="81"/>
      <x:c r="L89" s="81"/>
      <x:c r="M89" s="81"/>
      <x:c r="N89" s="81"/>
      <x:c r="O89" s="81"/>
      <x:c r="P89" s="81"/>
      <x:c r="Q89" s="81"/>
      <x:c r="R89" s="81"/>
      <x:c r="S89" s="81"/>
      <x:c r="T89" s="81"/>
      <x:c r="U89" s="81"/>
      <x:c r="V89" s="81"/>
      <x:c r="W89" s="81"/>
      <x:c r="X89" s="81"/>
      <x:c r="Y89" s="81"/>
      <x:c r="Z89" s="81"/>
    </x:row>
    <x:row r="90">
      <x:c r="A90" s="81"/>
      <x:c r="B90" s="81"/>
      <x:c r="C90" s="91"/>
      <x:c r="D90" s="81"/>
      <x:c r="E90" s="81"/>
      <x:c r="F90" s="81"/>
      <x:c r="G90" s="81"/>
      <x:c r="H90" s="81"/>
      <x:c r="I90" s="81"/>
      <x:c r="J90" s="81"/>
      <x:c r="K90" s="81"/>
      <x:c r="L90" s="81"/>
      <x:c r="M90" s="81"/>
      <x:c r="N90" s="81"/>
      <x:c r="O90" s="81"/>
      <x:c r="P90" s="81"/>
      <x:c r="Q90" s="81"/>
      <x:c r="R90" s="81"/>
      <x:c r="S90" s="81"/>
      <x:c r="T90" s="81"/>
      <x:c r="U90" s="81"/>
      <x:c r="V90" s="81"/>
      <x:c r="W90" s="81"/>
      <x:c r="X90" s="81"/>
      <x:c r="Y90" s="81"/>
      <x:c r="Z90" s="81"/>
    </x:row>
    <x:row r="91">
      <x:c r="A91" s="81"/>
      <x:c r="B91" s="81"/>
      <x:c r="C91" s="91"/>
      <x:c r="D91" s="81"/>
      <x:c r="E91" s="81"/>
      <x:c r="F91" s="81"/>
      <x:c r="G91" s="81"/>
      <x:c r="H91" s="81"/>
      <x:c r="I91" s="81"/>
      <x:c r="J91" s="81"/>
      <x:c r="K91" s="81"/>
      <x:c r="L91" s="81"/>
      <x:c r="M91" s="81"/>
      <x:c r="N91" s="81"/>
      <x:c r="O91" s="81"/>
      <x:c r="P91" s="81"/>
      <x:c r="Q91" s="81"/>
      <x:c r="R91" s="81"/>
      <x:c r="S91" s="81"/>
      <x:c r="T91" s="81"/>
      <x:c r="U91" s="81"/>
      <x:c r="V91" s="81"/>
      <x:c r="W91" s="81"/>
      <x:c r="X91" s="81"/>
      <x:c r="Y91" s="81"/>
      <x:c r="Z91" s="81"/>
    </x:row>
    <x:row r="92">
      <x:c r="A92" s="81"/>
      <x:c r="B92" s="81"/>
      <x:c r="C92" s="91"/>
      <x:c r="D92" s="81"/>
      <x:c r="E92" s="81"/>
      <x:c r="F92" s="81"/>
      <x:c r="G92" s="81"/>
      <x:c r="H92" s="81"/>
      <x:c r="I92" s="81"/>
      <x:c r="J92" s="81"/>
      <x:c r="K92" s="81"/>
      <x:c r="L92" s="81"/>
      <x:c r="M92" s="81"/>
      <x:c r="N92" s="81"/>
      <x:c r="O92" s="81"/>
      <x:c r="P92" s="81"/>
      <x:c r="Q92" s="81"/>
      <x:c r="R92" s="81"/>
      <x:c r="S92" s="81"/>
      <x:c r="T92" s="81"/>
      <x:c r="U92" s="81"/>
      <x:c r="V92" s="81"/>
      <x:c r="W92" s="81"/>
      <x:c r="X92" s="81"/>
      <x:c r="Y92" s="81"/>
      <x:c r="Z92" s="81"/>
    </x:row>
    <x:row r="93">
      <x:c r="A93" s="81"/>
      <x:c r="B93" s="81"/>
      <x:c r="C93" s="91"/>
      <x:c r="D93" s="81"/>
      <x:c r="E93" s="81"/>
      <x:c r="F93" s="81"/>
      <x:c r="G93" s="81"/>
      <x:c r="H93" s="81"/>
      <x:c r="I93" s="81"/>
      <x:c r="J93" s="81"/>
      <x:c r="K93" s="81"/>
      <x:c r="L93" s="81"/>
      <x:c r="M93" s="81"/>
      <x:c r="N93" s="81"/>
      <x:c r="O93" s="81"/>
      <x:c r="P93" s="81"/>
      <x:c r="Q93" s="81"/>
      <x:c r="R93" s="81"/>
      <x:c r="S93" s="81"/>
      <x:c r="T93" s="81"/>
      <x:c r="U93" s="81"/>
      <x:c r="V93" s="81"/>
      <x:c r="W93" s="81"/>
      <x:c r="X93" s="81"/>
      <x:c r="Y93" s="81"/>
      <x:c r="Z93" s="81"/>
    </x:row>
    <x:row r="94">
      <x:c r="A94" s="81"/>
      <x:c r="B94" s="81"/>
      <x:c r="C94" s="91"/>
      <x:c r="D94" s="81"/>
      <x:c r="E94" s="81"/>
      <x:c r="F94" s="81"/>
      <x:c r="G94" s="81"/>
      <x:c r="H94" s="81"/>
      <x:c r="I94" s="81"/>
      <x:c r="J94" s="81"/>
      <x:c r="K94" s="81"/>
      <x:c r="L94" s="81"/>
      <x:c r="M94" s="81"/>
      <x:c r="N94" s="81"/>
      <x:c r="O94" s="81"/>
      <x:c r="P94" s="81"/>
      <x:c r="Q94" s="81"/>
      <x:c r="R94" s="81"/>
      <x:c r="S94" s="81"/>
      <x:c r="T94" s="81"/>
      <x:c r="U94" s="81"/>
      <x:c r="V94" s="81"/>
      <x:c r="W94" s="81"/>
      <x:c r="X94" s="81"/>
      <x:c r="Y94" s="81"/>
      <x:c r="Z94" s="81"/>
    </x:row>
    <x:row r="95">
      <x:c r="A95" s="81"/>
      <x:c r="B95" s="81"/>
      <x:c r="C95" s="91"/>
      <x:c r="D95" s="81"/>
      <x:c r="E95" s="81"/>
      <x:c r="F95" s="81"/>
      <x:c r="G95" s="81"/>
      <x:c r="H95" s="81"/>
      <x:c r="I95" s="81"/>
      <x:c r="J95" s="81"/>
      <x:c r="K95" s="81"/>
      <x:c r="L95" s="81"/>
      <x:c r="M95" s="81"/>
      <x:c r="N95" s="81"/>
      <x:c r="O95" s="81"/>
      <x:c r="P95" s="81"/>
      <x:c r="Q95" s="81"/>
      <x:c r="R95" s="81"/>
      <x:c r="S95" s="81"/>
      <x:c r="T95" s="81"/>
      <x:c r="U95" s="81"/>
      <x:c r="V95" s="81"/>
      <x:c r="W95" s="81"/>
      <x:c r="X95" s="81"/>
      <x:c r="Y95" s="81"/>
      <x:c r="Z95" s="81"/>
    </x:row>
    <x:row r="96">
      <x:c r="A96" s="81"/>
      <x:c r="B96" s="81"/>
      <x:c r="C96" s="91"/>
      <x:c r="D96" s="81"/>
      <x:c r="E96" s="81"/>
      <x:c r="F96" s="81"/>
      <x:c r="G96" s="81"/>
      <x:c r="H96" s="81"/>
      <x:c r="I96" s="81"/>
      <x:c r="J96" s="81"/>
      <x:c r="K96" s="81"/>
      <x:c r="L96" s="81"/>
      <x:c r="M96" s="81"/>
      <x:c r="N96" s="81"/>
      <x:c r="O96" s="81"/>
      <x:c r="P96" s="81"/>
      <x:c r="Q96" s="81"/>
      <x:c r="R96" s="81"/>
      <x:c r="S96" s="81"/>
      <x:c r="T96" s="81"/>
      <x:c r="U96" s="81"/>
      <x:c r="V96" s="81"/>
      <x:c r="W96" s="81"/>
      <x:c r="X96" s="81"/>
      <x:c r="Y96" s="81"/>
      <x:c r="Z96" s="81"/>
    </x:row>
    <x:row r="97">
      <x:c r="A97" s="81"/>
      <x:c r="B97" s="81"/>
      <x:c r="C97" s="91"/>
      <x:c r="D97" s="81"/>
      <x:c r="E97" s="81"/>
      <x:c r="F97" s="81"/>
      <x:c r="G97" s="81"/>
      <x:c r="H97" s="81"/>
      <x:c r="I97" s="81"/>
      <x:c r="J97" s="81"/>
      <x:c r="K97" s="81"/>
      <x:c r="L97" s="81"/>
      <x:c r="M97" s="81"/>
      <x:c r="N97" s="81"/>
      <x:c r="O97" s="81"/>
      <x:c r="P97" s="81"/>
      <x:c r="Q97" s="81"/>
      <x:c r="R97" s="81"/>
      <x:c r="S97" s="81"/>
      <x:c r="T97" s="81"/>
      <x:c r="U97" s="81"/>
      <x:c r="V97" s="81"/>
      <x:c r="W97" s="81"/>
      <x:c r="X97" s="81"/>
      <x:c r="Y97" s="81"/>
      <x:c r="Z97" s="81"/>
    </x:row>
    <x:row r="98">
      <x:c r="A98" s="81"/>
      <x:c r="B98" s="81"/>
      <x:c r="C98" s="91"/>
      <x:c r="D98" s="81"/>
      <x:c r="E98" s="81"/>
      <x:c r="F98" s="81"/>
      <x:c r="G98" s="81"/>
      <x:c r="H98" s="81"/>
      <x:c r="I98" s="81"/>
      <x:c r="J98" s="81"/>
      <x:c r="K98" s="81"/>
      <x:c r="L98" s="81"/>
      <x:c r="M98" s="81"/>
      <x:c r="N98" s="81"/>
      <x:c r="O98" s="81"/>
      <x:c r="P98" s="81"/>
      <x:c r="Q98" s="81"/>
      <x:c r="R98" s="81"/>
      <x:c r="S98" s="81"/>
      <x:c r="T98" s="81"/>
      <x:c r="U98" s="81"/>
      <x:c r="V98" s="81"/>
      <x:c r="W98" s="81"/>
      <x:c r="X98" s="81"/>
      <x:c r="Y98" s="81"/>
      <x:c r="Z98" s="81"/>
    </x:row>
    <x:row r="99">
      <x:c r="A99" s="81"/>
      <x:c r="B99" s="81"/>
      <x:c r="C99" s="91"/>
      <x:c r="D99" s="81"/>
      <x:c r="E99" s="81"/>
      <x:c r="F99" s="81"/>
      <x:c r="G99" s="81"/>
      <x:c r="H99" s="81"/>
      <x:c r="I99" s="81"/>
      <x:c r="J99" s="81"/>
      <x:c r="K99" s="81"/>
      <x:c r="L99" s="81"/>
      <x:c r="M99" s="81"/>
      <x:c r="N99" s="81"/>
      <x:c r="O99" s="81"/>
      <x:c r="P99" s="81"/>
      <x:c r="Q99" s="81"/>
      <x:c r="R99" s="81"/>
      <x:c r="S99" s="81"/>
      <x:c r="T99" s="81"/>
      <x:c r="U99" s="81"/>
      <x:c r="V99" s="81"/>
      <x:c r="W99" s="81"/>
      <x:c r="X99" s="81"/>
      <x:c r="Y99" s="81"/>
      <x:c r="Z99" s="81"/>
    </x:row>
    <x:row r="100">
      <x:c r="A100" s="81"/>
      <x:c r="B100" s="81"/>
      <x:c r="C100" s="91"/>
      <x:c r="D100" s="81"/>
      <x:c r="E100" s="81"/>
      <x:c r="F100" s="81"/>
      <x:c r="G100" s="81"/>
      <x:c r="H100" s="81"/>
      <x:c r="I100" s="81"/>
      <x:c r="J100" s="81"/>
      <x:c r="K100" s="81"/>
      <x:c r="L100" s="81"/>
      <x:c r="M100" s="81"/>
      <x:c r="N100" s="81"/>
      <x:c r="O100" s="81"/>
      <x:c r="P100" s="81"/>
      <x:c r="Q100" s="81"/>
      <x:c r="R100" s="81"/>
      <x:c r="S100" s="81"/>
      <x:c r="T100" s="81"/>
      <x:c r="U100" s="81"/>
      <x:c r="V100" s="81"/>
      <x:c r="W100" s="81"/>
      <x:c r="X100" s="81"/>
      <x:c r="Y100" s="81"/>
      <x:c r="Z100" s="81"/>
    </x:row>
    <x:row r="101">
      <x:c r="A101" s="81"/>
      <x:c r="B101" s="81"/>
      <x:c r="C101" s="81"/>
      <x:c r="D101" s="81"/>
      <x:c r="E101" s="81"/>
      <x:c r="F101" s="81"/>
      <x:c r="G101" s="81"/>
      <x:c r="H101" s="81"/>
      <x:c r="I101" s="81"/>
      <x:c r="J101" s="81"/>
      <x:c r="K101" s="81"/>
      <x:c r="L101" s="81"/>
      <x:c r="M101" s="81"/>
      <x:c r="N101" s="81"/>
      <x:c r="O101" s="81"/>
      <x:c r="P101" s="81"/>
      <x:c r="Q101" s="81"/>
      <x:c r="R101" s="81"/>
      <x:c r="S101" s="81"/>
      <x:c r="T101" s="81"/>
      <x:c r="U101" s="81"/>
      <x:c r="V101" s="81"/>
      <x:c r="W101" s="81"/>
      <x:c r="X101" s="81"/>
      <x:c r="Y101" s="81"/>
      <x:c r="Z101" s="81"/>
    </x:row>
    <x:row r="102">
      <x:c r="A102" s="81"/>
      <x:c r="B102" s="81"/>
      <x:c r="C102" s="81"/>
      <x:c r="D102" s="81"/>
      <x:c r="E102" s="81"/>
      <x:c r="F102" s="81"/>
      <x:c r="G102" s="81"/>
      <x:c r="H102" s="81"/>
      <x:c r="I102" s="81"/>
      <x:c r="J102" s="81"/>
      <x:c r="K102" s="81"/>
      <x:c r="L102" s="81"/>
      <x:c r="M102" s="81"/>
      <x:c r="N102" s="81"/>
      <x:c r="O102" s="81"/>
      <x:c r="P102" s="81"/>
      <x:c r="Q102" s="81"/>
      <x:c r="R102" s="81"/>
      <x:c r="S102" s="81"/>
      <x:c r="T102" s="81"/>
      <x:c r="U102" s="81"/>
      <x:c r="V102" s="81"/>
      <x:c r="W102" s="81"/>
      <x:c r="X102" s="81"/>
      <x:c r="Y102" s="81"/>
      <x:c r="Z102" s="81"/>
    </x:row>
    <x:row r="103">
      <x:c r="A103" s="81"/>
      <x:c r="B103" s="81"/>
      <x:c r="C103" s="81"/>
      <x:c r="D103" s="81"/>
      <x:c r="E103" s="81"/>
      <x:c r="F103" s="81"/>
      <x:c r="G103" s="81"/>
      <x:c r="H103" s="81"/>
      <x:c r="I103" s="81"/>
      <x:c r="J103" s="81"/>
      <x:c r="K103" s="81"/>
      <x:c r="L103" s="81"/>
      <x:c r="M103" s="81"/>
      <x:c r="N103" s="81"/>
      <x:c r="O103" s="81"/>
      <x:c r="P103" s="81"/>
      <x:c r="Q103" s="81"/>
      <x:c r="R103" s="81"/>
      <x:c r="S103" s="81"/>
      <x:c r="T103" s="81"/>
      <x:c r="U103" s="81"/>
      <x:c r="V103" s="81"/>
      <x:c r="W103" s="81"/>
      <x:c r="X103" s="81"/>
      <x:c r="Y103" s="81"/>
      <x:c r="Z103" s="81"/>
    </x:row>
    <x:row r="104">
      <x:c r="A104" s="81"/>
      <x:c r="B104" s="81"/>
      <x:c r="C104" s="81"/>
      <x:c r="D104" s="81"/>
      <x:c r="E104" s="81"/>
      <x:c r="F104" s="81"/>
      <x:c r="G104" s="81"/>
      <x:c r="H104" s="81"/>
      <x:c r="I104" s="81"/>
      <x:c r="J104" s="81"/>
      <x:c r="K104" s="81"/>
      <x:c r="L104" s="81"/>
      <x:c r="M104" s="81"/>
      <x:c r="N104" s="81"/>
      <x:c r="O104" s="81"/>
      <x:c r="P104" s="81"/>
      <x:c r="Q104" s="81"/>
      <x:c r="R104" s="81"/>
      <x:c r="S104" s="81"/>
      <x:c r="T104" s="81"/>
      <x:c r="U104" s="81"/>
      <x:c r="V104" s="81"/>
      <x:c r="W104" s="81"/>
      <x:c r="X104" s="81"/>
      <x:c r="Y104" s="81"/>
      <x:c r="Z104" s="81"/>
    </x:row>
    <x:row r="105">
      <x:c r="A105" s="81"/>
      <x:c r="B105" s="81"/>
      <x:c r="C105" s="81"/>
      <x:c r="D105" s="81"/>
      <x:c r="E105" s="81"/>
      <x:c r="F105" s="81"/>
      <x:c r="G105" s="81"/>
      <x:c r="H105" s="81"/>
      <x:c r="I105" s="81"/>
      <x:c r="J105" s="81"/>
      <x:c r="K105" s="81"/>
      <x:c r="L105" s="81"/>
      <x:c r="M105" s="81"/>
      <x:c r="N105" s="81"/>
      <x:c r="O105" s="81"/>
      <x:c r="P105" s="81"/>
      <x:c r="Q105" s="81"/>
      <x:c r="R105" s="81"/>
      <x:c r="S105" s="81"/>
      <x:c r="T105" s="81"/>
      <x:c r="U105" s="81"/>
      <x:c r="V105" s="81"/>
      <x:c r="W105" s="81"/>
      <x:c r="X105" s="81"/>
      <x:c r="Y105" s="81"/>
      <x:c r="Z105" s="81"/>
    </x:row>
    <x:row r="106">
      <x:c r="A106" s="81"/>
      <x:c r="B106" s="81"/>
      <x:c r="C106" s="81"/>
      <x:c r="D106" s="81"/>
      <x:c r="E106" s="81"/>
      <x:c r="F106" s="81"/>
      <x:c r="G106" s="81"/>
      <x:c r="H106" s="81"/>
      <x:c r="I106" s="81"/>
      <x:c r="J106" s="81"/>
      <x:c r="K106" s="81"/>
      <x:c r="L106" s="81"/>
      <x:c r="M106" s="81"/>
      <x:c r="N106" s="81"/>
      <x:c r="O106" s="81"/>
      <x:c r="P106" s="81"/>
      <x:c r="Q106" s="81"/>
      <x:c r="R106" s="81"/>
      <x:c r="S106" s="81"/>
      <x:c r="T106" s="81"/>
      <x:c r="U106" s="81"/>
      <x:c r="V106" s="81"/>
      <x:c r="W106" s="81"/>
      <x:c r="X106" s="81"/>
      <x:c r="Y106" s="81"/>
      <x:c r="Z106" s="81"/>
    </x:row>
    <x:row r="107">
      <x:c r="A107" s="81"/>
      <x:c r="B107" s="81"/>
      <x:c r="C107" s="81"/>
      <x:c r="D107" s="81"/>
      <x:c r="E107" s="81"/>
      <x:c r="F107" s="81"/>
      <x:c r="G107" s="81"/>
      <x:c r="H107" s="81"/>
      <x:c r="I107" s="81"/>
      <x:c r="J107" s="81"/>
      <x:c r="K107" s="81"/>
      <x:c r="L107" s="81"/>
      <x:c r="M107" s="81"/>
      <x:c r="N107" s="81"/>
      <x:c r="O107" s="81"/>
      <x:c r="P107" s="81"/>
      <x:c r="Q107" s="81"/>
      <x:c r="R107" s="81"/>
      <x:c r="S107" s="81"/>
      <x:c r="T107" s="81"/>
      <x:c r="U107" s="81"/>
      <x:c r="V107" s="81"/>
      <x:c r="W107" s="81"/>
      <x:c r="X107" s="81"/>
      <x:c r="Y107" s="81"/>
      <x:c r="Z107" s="81"/>
    </x:row>
    <x:row r="108">
      <x:c r="A108" s="81"/>
      <x:c r="B108" s="81"/>
      <x:c r="C108" s="81"/>
      <x:c r="D108" s="81"/>
      <x:c r="E108" s="81"/>
      <x:c r="F108" s="81"/>
      <x:c r="G108" s="81"/>
      <x:c r="H108" s="81"/>
      <x:c r="I108" s="81"/>
      <x:c r="J108" s="81"/>
      <x:c r="K108" s="81"/>
      <x:c r="L108" s="81"/>
      <x:c r="M108" s="81"/>
      <x:c r="N108" s="81"/>
      <x:c r="O108" s="81"/>
      <x:c r="P108" s="81"/>
      <x:c r="Q108" s="81"/>
      <x:c r="R108" s="81"/>
      <x:c r="S108" s="81"/>
      <x:c r="T108" s="81"/>
      <x:c r="U108" s="81"/>
      <x:c r="V108" s="81"/>
      <x:c r="W108" s="81"/>
      <x:c r="X108" s="81"/>
      <x:c r="Y108" s="81"/>
      <x:c r="Z108" s="81"/>
    </x:row>
    <x:row r="109">
      <x:c r="A109" s="81"/>
      <x:c r="B109" s="81"/>
      <x:c r="C109" s="81"/>
      <x:c r="D109" s="81"/>
      <x:c r="E109" s="81"/>
      <x:c r="F109" s="81"/>
      <x:c r="G109" s="81"/>
      <x:c r="H109" s="81"/>
      <x:c r="I109" s="81"/>
      <x:c r="J109" s="81"/>
      <x:c r="K109" s="81"/>
      <x:c r="L109" s="81"/>
      <x:c r="M109" s="81"/>
      <x:c r="N109" s="81"/>
      <x:c r="O109" s="81"/>
      <x:c r="P109" s="81"/>
      <x:c r="Q109" s="81"/>
      <x:c r="R109" s="81"/>
      <x:c r="S109" s="81"/>
      <x:c r="T109" s="81"/>
      <x:c r="U109" s="81"/>
      <x:c r="V109" s="81"/>
      <x:c r="W109" s="81"/>
      <x:c r="X109" s="81"/>
      <x:c r="Y109" s="81"/>
      <x:c r="Z109" s="81"/>
    </x:row>
    <x:row r="110">
      <x:c r="A110" s="81"/>
      <x:c r="B110" s="81"/>
      <x:c r="C110" s="81"/>
      <x:c r="D110" s="81"/>
      <x:c r="E110" s="81"/>
      <x:c r="F110" s="81"/>
      <x:c r="G110" s="81"/>
      <x:c r="H110" s="81"/>
      <x:c r="I110" s="81"/>
      <x:c r="J110" s="81"/>
      <x:c r="K110" s="81"/>
      <x:c r="L110" s="81"/>
      <x:c r="M110" s="81"/>
      <x:c r="N110" s="81"/>
      <x:c r="O110" s="81"/>
      <x:c r="P110" s="81"/>
      <x:c r="Q110" s="81"/>
      <x:c r="R110" s="81"/>
      <x:c r="S110" s="81"/>
      <x:c r="T110" s="81"/>
      <x:c r="U110" s="81"/>
      <x:c r="V110" s="81"/>
      <x:c r="W110" s="81"/>
      <x:c r="X110" s="81"/>
      <x:c r="Y110" s="81"/>
      <x:c r="Z110" s="81"/>
    </x:row>
    <x:row r="111">
      <x:c r="A111" s="81"/>
      <x:c r="B111" s="81"/>
      <x:c r="C111" s="81"/>
      <x:c r="D111" s="81"/>
      <x:c r="E111" s="81"/>
      <x:c r="F111" s="81"/>
      <x:c r="G111" s="81"/>
      <x:c r="H111" s="81"/>
      <x:c r="I111" s="81"/>
      <x:c r="J111" s="81"/>
      <x:c r="K111" s="81"/>
      <x:c r="L111" s="81"/>
      <x:c r="M111" s="81"/>
      <x:c r="N111" s="81"/>
      <x:c r="O111" s="81"/>
      <x:c r="P111" s="81"/>
      <x:c r="Q111" s="81"/>
      <x:c r="R111" s="81"/>
      <x:c r="S111" s="81"/>
      <x:c r="T111" s="81"/>
      <x:c r="U111" s="81"/>
      <x:c r="V111" s="81"/>
      <x:c r="W111" s="81"/>
      <x:c r="X111" s="81"/>
      <x:c r="Y111" s="81"/>
      <x:c r="Z111" s="81"/>
    </x:row>
    <x:row r="112">
      <x:c r="A112" s="81"/>
      <x:c r="B112" s="81"/>
      <x:c r="C112" s="81"/>
      <x:c r="D112" s="81"/>
      <x:c r="E112" s="81"/>
      <x:c r="F112" s="81"/>
      <x:c r="G112" s="81"/>
      <x:c r="H112" s="81"/>
      <x:c r="I112" s="81"/>
      <x:c r="J112" s="81"/>
      <x:c r="K112" s="81"/>
      <x:c r="L112" s="81"/>
      <x:c r="M112" s="81"/>
      <x:c r="N112" s="81"/>
      <x:c r="O112" s="81"/>
      <x:c r="P112" s="81"/>
      <x:c r="Q112" s="81"/>
      <x:c r="R112" s="81"/>
      <x:c r="S112" s="81"/>
      <x:c r="T112" s="81"/>
      <x:c r="U112" s="81"/>
      <x:c r="V112" s="81"/>
      <x:c r="W112" s="81"/>
      <x:c r="X112" s="81"/>
      <x:c r="Y112" s="81"/>
      <x:c r="Z112" s="81"/>
    </x:row>
    <x:row r="113">
      <x:c r="A113" s="81"/>
      <x:c r="B113" s="81"/>
      <x:c r="C113" s="81"/>
      <x:c r="D113" s="81"/>
      <x:c r="E113" s="81"/>
      <x:c r="F113" s="81"/>
      <x:c r="G113" s="81"/>
      <x:c r="H113" s="81"/>
      <x:c r="I113" s="81"/>
      <x:c r="J113" s="81"/>
      <x:c r="K113" s="81"/>
      <x:c r="L113" s="81"/>
      <x:c r="M113" s="81"/>
      <x:c r="N113" s="81"/>
      <x:c r="O113" s="81"/>
      <x:c r="P113" s="81"/>
      <x:c r="Q113" s="81"/>
      <x:c r="R113" s="81"/>
      <x:c r="S113" s="81"/>
      <x:c r="T113" s="81"/>
      <x:c r="U113" s="81"/>
      <x:c r="V113" s="81"/>
      <x:c r="W113" s="81"/>
      <x:c r="X113" s="81"/>
      <x:c r="Y113" s="81"/>
      <x:c r="Z113" s="81"/>
    </x:row>
    <x:row r="114">
      <x:c r="A114" s="81"/>
      <x:c r="B114" s="81"/>
      <x:c r="C114" s="81"/>
      <x:c r="D114" s="81"/>
      <x:c r="E114" s="81"/>
      <x:c r="F114" s="81"/>
      <x:c r="G114" s="81"/>
      <x:c r="H114" s="81"/>
      <x:c r="I114" s="81"/>
      <x:c r="J114" s="81"/>
      <x:c r="K114" s="81"/>
      <x:c r="L114" s="81"/>
      <x:c r="M114" s="81"/>
      <x:c r="N114" s="81"/>
      <x:c r="O114" s="81"/>
      <x:c r="P114" s="81"/>
      <x:c r="Q114" s="81"/>
      <x:c r="R114" s="81"/>
      <x:c r="S114" s="81"/>
      <x:c r="T114" s="81"/>
      <x:c r="U114" s="81"/>
      <x:c r="V114" s="81"/>
      <x:c r="W114" s="81"/>
      <x:c r="X114" s="81"/>
      <x:c r="Y114" s="81"/>
      <x:c r="Z114" s="81"/>
    </x:row>
    <x:row r="115">
      <x:c r="A115" s="81"/>
      <x:c r="B115" s="81"/>
      <x:c r="C115" s="81"/>
      <x:c r="D115" s="81"/>
      <x:c r="E115" s="81"/>
      <x:c r="F115" s="81"/>
      <x:c r="G115" s="81"/>
      <x:c r="H115" s="81"/>
      <x:c r="I115" s="81"/>
      <x:c r="J115" s="81"/>
      <x:c r="K115" s="81"/>
      <x:c r="L115" s="81"/>
      <x:c r="M115" s="81"/>
      <x:c r="N115" s="81"/>
      <x:c r="O115" s="81"/>
      <x:c r="P115" s="81"/>
      <x:c r="Q115" s="81"/>
      <x:c r="R115" s="81"/>
      <x:c r="S115" s="81"/>
      <x:c r="T115" s="81"/>
      <x:c r="U115" s="81"/>
      <x:c r="V115" s="81"/>
      <x:c r="W115" s="81"/>
      <x:c r="X115" s="81"/>
      <x:c r="Y115" s="81"/>
      <x:c r="Z115" s="81"/>
    </x:row>
    <x:row r="116">
      <x:c r="A116" s="81"/>
      <x:c r="B116" s="81"/>
      <x:c r="C116" s="81"/>
      <x:c r="D116" s="81"/>
      <x:c r="E116" s="81"/>
      <x:c r="F116" s="81"/>
      <x:c r="G116" s="81"/>
      <x:c r="H116" s="81"/>
      <x:c r="I116" s="81"/>
      <x:c r="J116" s="81"/>
      <x:c r="K116" s="81"/>
      <x:c r="L116" s="81"/>
      <x:c r="M116" s="81"/>
      <x:c r="N116" s="81"/>
      <x:c r="O116" s="81"/>
      <x:c r="P116" s="81"/>
      <x:c r="Q116" s="81"/>
      <x:c r="R116" s="81"/>
      <x:c r="S116" s="81"/>
      <x:c r="T116" s="81"/>
      <x:c r="U116" s="81"/>
      <x:c r="V116" s="81"/>
      <x:c r="W116" s="81"/>
      <x:c r="X116" s="81"/>
      <x:c r="Y116" s="81"/>
      <x:c r="Z116" s="81"/>
    </x:row>
    <x:row r="117">
      <x:c r="A117" s="81"/>
      <x:c r="B117" s="81"/>
      <x:c r="C117" s="81"/>
      <x:c r="D117" s="81"/>
      <x:c r="E117" s="81"/>
      <x:c r="F117" s="81"/>
      <x:c r="G117" s="81"/>
      <x:c r="H117" s="81"/>
      <x:c r="I117" s="81"/>
      <x:c r="J117" s="81"/>
      <x:c r="K117" s="81"/>
      <x:c r="L117" s="81"/>
      <x:c r="M117" s="81"/>
      <x:c r="N117" s="81"/>
      <x:c r="O117" s="81"/>
      <x:c r="P117" s="81"/>
      <x:c r="Q117" s="81"/>
      <x:c r="R117" s="81"/>
      <x:c r="S117" s="81"/>
      <x:c r="T117" s="81"/>
      <x:c r="U117" s="81"/>
      <x:c r="V117" s="81"/>
      <x:c r="W117" s="81"/>
      <x:c r="X117" s="81"/>
      <x:c r="Y117" s="81"/>
      <x:c r="Z117" s="81"/>
    </x:row>
    <x:row r="118">
      <x:c r="A118" s="81"/>
      <x:c r="B118" s="81"/>
      <x:c r="C118" s="81"/>
      <x:c r="D118" s="81"/>
      <x:c r="E118" s="81"/>
      <x:c r="F118" s="81"/>
      <x:c r="G118" s="81"/>
      <x:c r="H118" s="81"/>
      <x:c r="I118" s="81"/>
      <x:c r="J118" s="81"/>
      <x:c r="K118" s="81"/>
      <x:c r="L118" s="81"/>
      <x:c r="M118" s="81"/>
      <x:c r="N118" s="81"/>
      <x:c r="O118" s="81"/>
      <x:c r="P118" s="81"/>
      <x:c r="Q118" s="81"/>
      <x:c r="R118" s="81"/>
      <x:c r="S118" s="81"/>
      <x:c r="T118" s="81"/>
      <x:c r="U118" s="81"/>
      <x:c r="V118" s="81"/>
      <x:c r="W118" s="81"/>
      <x:c r="X118" s="81"/>
      <x:c r="Y118" s="81"/>
      <x:c r="Z118" s="81"/>
    </x:row>
    <x:row r="119">
      <x:c r="A119" s="81"/>
      <x:c r="B119" s="81"/>
      <x:c r="C119" s="81"/>
      <x:c r="D119" s="81"/>
      <x:c r="E119" s="81"/>
      <x:c r="F119" s="81"/>
      <x:c r="G119" s="81"/>
      <x:c r="H119" s="81"/>
      <x:c r="I119" s="81"/>
      <x:c r="J119" s="81"/>
      <x:c r="K119" s="81"/>
      <x:c r="L119" s="81"/>
      <x:c r="M119" s="81"/>
      <x:c r="N119" s="81"/>
      <x:c r="O119" s="81"/>
      <x:c r="P119" s="81"/>
      <x:c r="Q119" s="81"/>
      <x:c r="R119" s="81"/>
      <x:c r="S119" s="81"/>
      <x:c r="T119" s="81"/>
      <x:c r="U119" s="81"/>
      <x:c r="V119" s="81"/>
      <x:c r="W119" s="81"/>
      <x:c r="X119" s="81"/>
      <x:c r="Y119" s="81"/>
      <x:c r="Z119" s="81"/>
    </x:row>
    <x:row r="120">
      <x:c r="A120" s="81"/>
      <x:c r="B120" s="81"/>
      <x:c r="C120" s="81"/>
      <x:c r="D120" s="81"/>
      <x:c r="E120" s="81"/>
      <x:c r="F120" s="81"/>
      <x:c r="G120" s="81"/>
      <x:c r="H120" s="81"/>
      <x:c r="I120" s="81"/>
      <x:c r="J120" s="81"/>
      <x:c r="K120" s="81"/>
      <x:c r="L120" s="81"/>
      <x:c r="M120" s="81"/>
      <x:c r="N120" s="81"/>
      <x:c r="O120" s="81"/>
      <x:c r="P120" s="81"/>
      <x:c r="Q120" s="81"/>
      <x:c r="R120" s="81"/>
      <x:c r="S120" s="81"/>
      <x:c r="T120" s="81"/>
      <x:c r="U120" s="81"/>
      <x:c r="V120" s="81"/>
      <x:c r="W120" s="81"/>
      <x:c r="X120" s="81"/>
      <x:c r="Y120" s="81"/>
      <x:c r="Z120" s="81"/>
    </x:row>
    <x:row r="121">
      <x:c r="A121" s="81"/>
      <x:c r="B121" s="81"/>
      <x:c r="C121" s="81"/>
      <x:c r="D121" s="81"/>
      <x:c r="E121" s="81"/>
      <x:c r="F121" s="81"/>
      <x:c r="G121" s="81"/>
      <x:c r="H121" s="81"/>
      <x:c r="I121" s="81"/>
      <x:c r="J121" s="81"/>
      <x:c r="K121" s="81"/>
      <x:c r="L121" s="81"/>
      <x:c r="M121" s="81"/>
      <x:c r="N121" s="81"/>
      <x:c r="O121" s="81"/>
      <x:c r="P121" s="81"/>
      <x:c r="Q121" s="81"/>
      <x:c r="R121" s="81"/>
      <x:c r="S121" s="81"/>
      <x:c r="T121" s="81"/>
      <x:c r="U121" s="81"/>
      <x:c r="V121" s="81"/>
      <x:c r="W121" s="81"/>
      <x:c r="X121" s="81"/>
      <x:c r="Y121" s="81"/>
      <x:c r="Z121" s="81"/>
    </x:row>
    <x:row r="122">
      <x:c r="A122" s="81"/>
      <x:c r="B122" s="81"/>
      <x:c r="C122" s="81"/>
      <x:c r="D122" s="81"/>
      <x:c r="E122" s="81"/>
      <x:c r="F122" s="81"/>
      <x:c r="G122" s="81"/>
      <x:c r="H122" s="81"/>
      <x:c r="I122" s="81"/>
      <x:c r="J122" s="81"/>
      <x:c r="K122" s="81"/>
      <x:c r="L122" s="81"/>
      <x:c r="M122" s="81"/>
      <x:c r="N122" s="81"/>
      <x:c r="O122" s="81"/>
      <x:c r="P122" s="81"/>
      <x:c r="Q122" s="81"/>
      <x:c r="R122" s="81"/>
      <x:c r="S122" s="81"/>
      <x:c r="T122" s="81"/>
      <x:c r="U122" s="81"/>
      <x:c r="V122" s="81"/>
      <x:c r="W122" s="81"/>
      <x:c r="X122" s="81"/>
      <x:c r="Y122" s="81"/>
      <x:c r="Z122" s="81"/>
    </x:row>
    <x:row r="123">
      <x:c r="A123" s="81"/>
      <x:c r="B123" s="81"/>
      <x:c r="C123" s="81"/>
      <x:c r="D123" s="81"/>
      <x:c r="E123" s="81"/>
      <x:c r="F123" s="81"/>
      <x:c r="G123" s="81"/>
      <x:c r="H123" s="81"/>
      <x:c r="I123" s="81"/>
      <x:c r="J123" s="81"/>
      <x:c r="K123" s="81"/>
      <x:c r="L123" s="81"/>
      <x:c r="M123" s="81"/>
      <x:c r="N123" s="81"/>
      <x:c r="O123" s="81"/>
      <x:c r="P123" s="81"/>
      <x:c r="Q123" s="81"/>
      <x:c r="R123" s="81"/>
      <x:c r="S123" s="81"/>
      <x:c r="T123" s="81"/>
      <x:c r="U123" s="81"/>
      <x:c r="V123" s="81"/>
      <x:c r="W123" s="81"/>
      <x:c r="X123" s="81"/>
      <x:c r="Y123" s="81"/>
      <x:c r="Z123" s="81"/>
    </x:row>
    <x:row r="124">
      <x:c r="A124" s="81"/>
      <x:c r="B124" s="81"/>
      <x:c r="C124" s="81"/>
      <x:c r="D124" s="81"/>
      <x:c r="E124" s="81"/>
      <x:c r="F124" s="81"/>
      <x:c r="G124" s="81"/>
      <x:c r="H124" s="81"/>
      <x:c r="I124" s="81"/>
      <x:c r="J124" s="81"/>
      <x:c r="K124" s="81"/>
      <x:c r="L124" s="81"/>
      <x:c r="M124" s="81"/>
      <x:c r="N124" s="81"/>
      <x:c r="O124" s="81"/>
      <x:c r="P124" s="81"/>
      <x:c r="Q124" s="81"/>
      <x:c r="R124" s="81"/>
      <x:c r="S124" s="81"/>
      <x:c r="T124" s="81"/>
      <x:c r="U124" s="81"/>
      <x:c r="V124" s="81"/>
      <x:c r="W124" s="81"/>
      <x:c r="X124" s="81"/>
      <x:c r="Y124" s="81"/>
      <x:c r="Z124" s="81"/>
    </x:row>
    <x:row r="125">
      <x:c r="A125" s="81"/>
      <x:c r="B125" s="81"/>
      <x:c r="C125" s="81"/>
      <x:c r="D125" s="81"/>
      <x:c r="E125" s="81"/>
      <x:c r="F125" s="81"/>
      <x:c r="G125" s="81"/>
      <x:c r="H125" s="81"/>
      <x:c r="I125" s="81"/>
      <x:c r="J125" s="81"/>
      <x:c r="K125" s="81"/>
      <x:c r="L125" s="81"/>
      <x:c r="M125" s="81"/>
      <x:c r="N125" s="81"/>
      <x:c r="O125" s="81"/>
      <x:c r="P125" s="81"/>
      <x:c r="Q125" s="81"/>
      <x:c r="R125" s="81"/>
      <x:c r="S125" s="81"/>
      <x:c r="T125" s="81"/>
      <x:c r="U125" s="81"/>
      <x:c r="V125" s="81"/>
      <x:c r="W125" s="81"/>
      <x:c r="X125" s="81"/>
      <x:c r="Y125" s="81"/>
      <x:c r="Z125" s="81"/>
    </x:row>
    <x:row r="126">
      <x:c r="A126" s="81"/>
      <x:c r="B126" s="81"/>
      <x:c r="C126" s="81"/>
      <x:c r="D126" s="81"/>
      <x:c r="E126" s="81"/>
      <x:c r="F126" s="81"/>
      <x:c r="G126" s="81"/>
      <x:c r="H126" s="81"/>
      <x:c r="I126" s="81"/>
      <x:c r="J126" s="81"/>
      <x:c r="K126" s="81"/>
      <x:c r="L126" s="81"/>
      <x:c r="M126" s="81"/>
      <x:c r="N126" s="81"/>
      <x:c r="O126" s="81"/>
      <x:c r="P126" s="81"/>
      <x:c r="Q126" s="81"/>
      <x:c r="R126" s="81"/>
      <x:c r="S126" s="81"/>
      <x:c r="T126" s="81"/>
      <x:c r="U126" s="81"/>
      <x:c r="V126" s="81"/>
      <x:c r="W126" s="81"/>
      <x:c r="X126" s="81"/>
      <x:c r="Y126" s="81"/>
      <x:c r="Z126" s="81"/>
    </x:row>
    <x:row r="127">
      <x:c r="A127" s="81"/>
      <x:c r="B127" s="81"/>
      <x:c r="C127" s="81"/>
      <x:c r="D127" s="81"/>
      <x:c r="E127" s="81"/>
      <x:c r="F127" s="81"/>
      <x:c r="G127" s="81"/>
      <x:c r="H127" s="81"/>
      <x:c r="I127" s="81"/>
      <x:c r="J127" s="81"/>
      <x:c r="K127" s="81"/>
      <x:c r="L127" s="81"/>
      <x:c r="M127" s="81"/>
      <x:c r="N127" s="81"/>
      <x:c r="O127" s="81"/>
      <x:c r="P127" s="81"/>
      <x:c r="Q127" s="81"/>
      <x:c r="R127" s="81"/>
      <x:c r="S127" s="81"/>
      <x:c r="T127" s="81"/>
      <x:c r="U127" s="81"/>
      <x:c r="V127" s="81"/>
      <x:c r="W127" s="81"/>
      <x:c r="X127" s="81"/>
      <x:c r="Y127" s="81"/>
      <x:c r="Z127" s="81"/>
    </x:row>
    <x:row r="128">
      <x:c r="A128" s="81"/>
      <x:c r="B128" s="81"/>
      <x:c r="C128" s="81"/>
      <x:c r="D128" s="81"/>
      <x:c r="E128" s="81"/>
      <x:c r="F128" s="81"/>
      <x:c r="G128" s="81"/>
      <x:c r="H128" s="81"/>
      <x:c r="I128" s="81"/>
      <x:c r="J128" s="81"/>
      <x:c r="K128" s="81"/>
      <x:c r="L128" s="81"/>
      <x:c r="M128" s="81"/>
      <x:c r="N128" s="81"/>
      <x:c r="O128" s="81"/>
      <x:c r="P128" s="81"/>
      <x:c r="Q128" s="81"/>
      <x:c r="R128" s="81"/>
      <x:c r="S128" s="81"/>
      <x:c r="T128" s="81"/>
      <x:c r="U128" s="81"/>
      <x:c r="V128" s="81"/>
      <x:c r="W128" s="81"/>
      <x:c r="X128" s="81"/>
      <x:c r="Y128" s="81"/>
      <x:c r="Z128" s="81"/>
    </x:row>
    <x:row r="129">
      <x:c r="A129" s="81"/>
      <x:c r="B129" s="81"/>
      <x:c r="C129" s="81"/>
      <x:c r="D129" s="81"/>
      <x:c r="E129" s="81"/>
      <x:c r="F129" s="81"/>
      <x:c r="G129" s="81"/>
      <x:c r="H129" s="81"/>
      <x:c r="I129" s="81"/>
      <x:c r="J129" s="81"/>
      <x:c r="K129" s="81"/>
      <x:c r="L129" s="81"/>
      <x:c r="M129" s="81"/>
      <x:c r="N129" s="81"/>
      <x:c r="O129" s="81"/>
      <x:c r="P129" s="81"/>
      <x:c r="Q129" s="81"/>
      <x:c r="R129" s="81"/>
      <x:c r="S129" s="81"/>
      <x:c r="T129" s="81"/>
      <x:c r="U129" s="81"/>
      <x:c r="V129" s="81"/>
      <x:c r="W129" s="81"/>
      <x:c r="X129" s="81"/>
      <x:c r="Y129" s="81"/>
      <x:c r="Z129" s="81"/>
    </x:row>
    <x:row r="130">
      <x:c r="A130" s="81"/>
      <x:c r="B130" s="81"/>
      <x:c r="C130" s="81"/>
      <x:c r="D130" s="81"/>
      <x:c r="E130" s="81"/>
      <x:c r="F130" s="81"/>
      <x:c r="G130" s="81"/>
      <x:c r="H130" s="81"/>
      <x:c r="I130" s="81"/>
      <x:c r="J130" s="81"/>
      <x:c r="K130" s="81"/>
      <x:c r="L130" s="81"/>
      <x:c r="M130" s="81"/>
      <x:c r="N130" s="81"/>
      <x:c r="O130" s="81"/>
      <x:c r="P130" s="81"/>
      <x:c r="Q130" s="81"/>
      <x:c r="R130" s="81"/>
      <x:c r="S130" s="81"/>
      <x:c r="T130" s="81"/>
      <x:c r="U130" s="81"/>
      <x:c r="V130" s="81"/>
      <x:c r="W130" s="81"/>
      <x:c r="X130" s="81"/>
      <x:c r="Y130" s="81"/>
      <x:c r="Z130" s="81"/>
    </x:row>
    <x:row r="131">
      <x:c r="A131" s="81"/>
      <x:c r="B131" s="81"/>
      <x:c r="C131" s="81"/>
      <x:c r="D131" s="81"/>
      <x:c r="E131" s="81"/>
      <x:c r="F131" s="81"/>
      <x:c r="G131" s="81"/>
      <x:c r="H131" s="81"/>
      <x:c r="I131" s="81"/>
      <x:c r="J131" s="81"/>
      <x:c r="K131" s="81"/>
      <x:c r="L131" s="81"/>
      <x:c r="M131" s="81"/>
      <x:c r="N131" s="81"/>
      <x:c r="O131" s="81"/>
      <x:c r="P131" s="81"/>
      <x:c r="Q131" s="81"/>
      <x:c r="R131" s="81"/>
      <x:c r="S131" s="81"/>
      <x:c r="T131" s="81"/>
      <x:c r="U131" s="81"/>
      <x:c r="V131" s="81"/>
      <x:c r="W131" s="81"/>
      <x:c r="X131" s="81"/>
      <x:c r="Y131" s="81"/>
      <x:c r="Z131" s="81"/>
    </x:row>
    <x:row r="132">
      <x:c r="A132" s="81"/>
      <x:c r="B132" s="81"/>
      <x:c r="C132" s="81"/>
      <x:c r="D132" s="81"/>
      <x:c r="E132" s="81"/>
      <x:c r="F132" s="81"/>
      <x:c r="G132" s="81"/>
      <x:c r="H132" s="81"/>
      <x:c r="I132" s="81"/>
      <x:c r="J132" s="81"/>
      <x:c r="K132" s="81"/>
      <x:c r="L132" s="81"/>
      <x:c r="M132" s="81"/>
      <x:c r="N132" s="81"/>
      <x:c r="O132" s="81"/>
      <x:c r="P132" s="81"/>
      <x:c r="Q132" s="81"/>
      <x:c r="R132" s="81"/>
      <x:c r="S132" s="81"/>
      <x:c r="T132" s="81"/>
      <x:c r="U132" s="81"/>
      <x:c r="V132" s="81"/>
      <x:c r="W132" s="81"/>
      <x:c r="X132" s="81"/>
      <x:c r="Y132" s="81"/>
      <x:c r="Z132" s="81"/>
    </x:row>
    <x:row r="133">
      <x:c r="A133" s="81"/>
      <x:c r="B133" s="81"/>
      <x:c r="C133" s="81"/>
      <x:c r="D133" s="81"/>
      <x:c r="E133" s="81"/>
      <x:c r="F133" s="81"/>
      <x:c r="G133" s="81"/>
      <x:c r="H133" s="81"/>
      <x:c r="I133" s="81"/>
      <x:c r="J133" s="81"/>
      <x:c r="K133" s="81"/>
      <x:c r="L133" s="81"/>
      <x:c r="M133" s="81"/>
      <x:c r="N133" s="81"/>
      <x:c r="O133" s="81"/>
      <x:c r="P133" s="81"/>
      <x:c r="Q133" s="81"/>
      <x:c r="R133" s="81"/>
      <x:c r="S133" s="81"/>
      <x:c r="T133" s="81"/>
      <x:c r="U133" s="81"/>
      <x:c r="V133" s="81"/>
      <x:c r="W133" s="81"/>
      <x:c r="X133" s="81"/>
      <x:c r="Y133" s="81"/>
      <x:c r="Z133" s="81"/>
    </x:row>
    <x:row r="134">
      <x:c r="A134" s="81"/>
      <x:c r="B134" s="81"/>
      <x:c r="C134" s="81"/>
      <x:c r="D134" s="81"/>
      <x:c r="E134" s="81"/>
      <x:c r="F134" s="81"/>
      <x:c r="G134" s="81"/>
      <x:c r="H134" s="81"/>
      <x:c r="I134" s="81"/>
      <x:c r="J134" s="81"/>
      <x:c r="K134" s="81"/>
      <x:c r="L134" s="81"/>
      <x:c r="M134" s="81"/>
      <x:c r="N134" s="81"/>
      <x:c r="O134" s="81"/>
      <x:c r="P134" s="81"/>
      <x:c r="Q134" s="81"/>
      <x:c r="R134" s="81"/>
      <x:c r="S134" s="81"/>
      <x:c r="T134" s="81"/>
      <x:c r="U134" s="81"/>
      <x:c r="V134" s="81"/>
      <x:c r="W134" s="81"/>
      <x:c r="X134" s="81"/>
      <x:c r="Y134" s="81"/>
      <x:c r="Z134" s="81"/>
    </x:row>
    <x:row r="135">
      <x:c r="A135" s="81"/>
      <x:c r="B135" s="81"/>
      <x:c r="C135" s="81"/>
      <x:c r="D135" s="81"/>
      <x:c r="E135" s="81"/>
      <x:c r="F135" s="81"/>
      <x:c r="G135" s="81"/>
      <x:c r="H135" s="81"/>
      <x:c r="I135" s="81"/>
      <x:c r="J135" s="81"/>
      <x:c r="K135" s="81"/>
      <x:c r="L135" s="81"/>
      <x:c r="M135" s="81"/>
      <x:c r="N135" s="81"/>
      <x:c r="O135" s="81"/>
      <x:c r="P135" s="81"/>
      <x:c r="Q135" s="81"/>
      <x:c r="R135" s="81"/>
      <x:c r="S135" s="81"/>
      <x:c r="T135" s="81"/>
      <x:c r="U135" s="81"/>
      <x:c r="V135" s="81"/>
      <x:c r="W135" s="81"/>
      <x:c r="X135" s="81"/>
      <x:c r="Y135" s="81"/>
      <x:c r="Z135" s="81"/>
    </x:row>
    <x:row r="136">
      <x:c r="A136" s="81"/>
      <x:c r="B136" s="81"/>
      <x:c r="C136" s="81"/>
      <x:c r="D136" s="81"/>
      <x:c r="E136" s="81"/>
      <x:c r="F136" s="81"/>
      <x:c r="G136" s="81"/>
      <x:c r="H136" s="81"/>
      <x:c r="I136" s="81"/>
      <x:c r="J136" s="81"/>
      <x:c r="K136" s="81"/>
      <x:c r="L136" s="81"/>
      <x:c r="M136" s="81"/>
      <x:c r="N136" s="81"/>
      <x:c r="O136" s="81"/>
      <x:c r="P136" s="81"/>
      <x:c r="Q136" s="81"/>
      <x:c r="R136" s="81"/>
      <x:c r="S136" s="81"/>
      <x:c r="T136" s="81"/>
      <x:c r="U136" s="81"/>
      <x:c r="V136" s="81"/>
      <x:c r="W136" s="81"/>
      <x:c r="X136" s="81"/>
      <x:c r="Y136" s="81"/>
      <x:c r="Z136" s="81"/>
    </x:row>
    <x:row r="137">
      <x:c r="A137" s="81"/>
      <x:c r="B137" s="81"/>
      <x:c r="C137" s="81"/>
      <x:c r="D137" s="81"/>
      <x:c r="E137" s="81"/>
      <x:c r="F137" s="81"/>
      <x:c r="G137" s="81"/>
      <x:c r="H137" s="81"/>
      <x:c r="I137" s="81"/>
      <x:c r="J137" s="81"/>
      <x:c r="K137" s="81"/>
      <x:c r="L137" s="81"/>
      <x:c r="M137" s="81"/>
      <x:c r="N137" s="81"/>
      <x:c r="O137" s="81"/>
      <x:c r="P137" s="81"/>
      <x:c r="Q137" s="81"/>
      <x:c r="R137" s="81"/>
      <x:c r="S137" s="81"/>
      <x:c r="T137" s="81"/>
      <x:c r="U137" s="81"/>
      <x:c r="V137" s="81"/>
      <x:c r="W137" s="81"/>
      <x:c r="X137" s="81"/>
      <x:c r="Y137" s="81"/>
      <x:c r="Z137" s="81"/>
    </x:row>
    <x:row r="138">
      <x:c r="A138" s="81"/>
      <x:c r="B138" s="81"/>
      <x:c r="C138" s="81"/>
      <x:c r="D138" s="81"/>
      <x:c r="E138" s="81"/>
      <x:c r="F138" s="81"/>
      <x:c r="G138" s="81"/>
      <x:c r="H138" s="81"/>
      <x:c r="I138" s="81"/>
      <x:c r="J138" s="81"/>
      <x:c r="K138" s="81"/>
      <x:c r="L138" s="81"/>
      <x:c r="M138" s="81"/>
      <x:c r="N138" s="81"/>
      <x:c r="O138" s="81"/>
      <x:c r="P138" s="81"/>
      <x:c r="Q138" s="81"/>
      <x:c r="R138" s="81"/>
      <x:c r="S138" s="81"/>
      <x:c r="T138" s="81"/>
      <x:c r="U138" s="81"/>
      <x:c r="V138" s="81"/>
      <x:c r="W138" s="81"/>
      <x:c r="X138" s="81"/>
      <x:c r="Y138" s="81"/>
      <x:c r="Z138" s="81"/>
    </x:row>
    <x:row r="139">
      <x:c r="A139" s="81"/>
      <x:c r="B139" s="81"/>
      <x:c r="C139" s="81"/>
      <x:c r="D139" s="81"/>
      <x:c r="E139" s="81"/>
      <x:c r="F139" s="81"/>
      <x:c r="G139" s="81"/>
      <x:c r="H139" s="81"/>
      <x:c r="I139" s="81"/>
      <x:c r="J139" s="81"/>
      <x:c r="K139" s="81"/>
      <x:c r="L139" s="81"/>
      <x:c r="M139" s="81"/>
      <x:c r="N139" s="81"/>
      <x:c r="O139" s="81"/>
      <x:c r="P139" s="81"/>
      <x:c r="Q139" s="81"/>
      <x:c r="R139" s="81"/>
      <x:c r="S139" s="81"/>
      <x:c r="T139" s="81"/>
      <x:c r="U139" s="81"/>
      <x:c r="V139" s="81"/>
      <x:c r="W139" s="81"/>
      <x:c r="X139" s="81"/>
      <x:c r="Y139" s="81"/>
      <x:c r="Z139" s="81"/>
    </x:row>
    <x:row r="140">
      <x:c r="A140" s="81"/>
      <x:c r="B140" s="81"/>
      <x:c r="C140" s="81"/>
      <x:c r="D140" s="81"/>
      <x:c r="E140" s="81"/>
      <x:c r="F140" s="81"/>
      <x:c r="G140" s="81"/>
      <x:c r="H140" s="81"/>
      <x:c r="I140" s="81"/>
      <x:c r="J140" s="81"/>
      <x:c r="K140" s="81"/>
      <x:c r="L140" s="81"/>
      <x:c r="M140" s="81"/>
      <x:c r="N140" s="81"/>
      <x:c r="O140" s="81"/>
      <x:c r="P140" s="81"/>
      <x:c r="Q140" s="81"/>
      <x:c r="R140" s="81"/>
      <x:c r="S140" s="81"/>
      <x:c r="T140" s="81"/>
      <x:c r="U140" s="81"/>
      <x:c r="V140" s="81"/>
      <x:c r="W140" s="81"/>
      <x:c r="X140" s="81"/>
      <x:c r="Y140" s="81"/>
      <x:c r="Z140" s="81"/>
    </x:row>
    <x:row r="141">
      <x:c r="A141" s="81"/>
      <x:c r="B141" s="81"/>
      <x:c r="C141" s="81"/>
      <x:c r="D141" s="81"/>
      <x:c r="E141" s="81"/>
      <x:c r="F141" s="81"/>
      <x:c r="G141" s="81"/>
      <x:c r="H141" s="81"/>
      <x:c r="I141" s="81"/>
      <x:c r="J141" s="81"/>
      <x:c r="K141" s="81"/>
      <x:c r="L141" s="81"/>
      <x:c r="M141" s="81"/>
      <x:c r="N141" s="81"/>
      <x:c r="O141" s="81"/>
      <x:c r="P141" s="81"/>
      <x:c r="Q141" s="81"/>
      <x:c r="R141" s="81"/>
      <x:c r="S141" s="81"/>
      <x:c r="T141" s="81"/>
      <x:c r="U141" s="81"/>
      <x:c r="V141" s="81"/>
      <x:c r="W141" s="81"/>
      <x:c r="X141" s="81"/>
      <x:c r="Y141" s="81"/>
      <x:c r="Z141" s="81"/>
    </x:row>
    <x:row r="142">
      <x:c r="A142" s="81"/>
      <x:c r="B142" s="81"/>
      <x:c r="C142" s="81"/>
      <x:c r="D142" s="81"/>
      <x:c r="E142" s="81"/>
      <x:c r="F142" s="81"/>
      <x:c r="G142" s="81"/>
      <x:c r="H142" s="81"/>
      <x:c r="I142" s="81"/>
      <x:c r="J142" s="81"/>
      <x:c r="K142" s="81"/>
      <x:c r="L142" s="81"/>
      <x:c r="M142" s="81"/>
      <x:c r="N142" s="81"/>
      <x:c r="O142" s="81"/>
      <x:c r="P142" s="81"/>
      <x:c r="Q142" s="81"/>
      <x:c r="R142" s="81"/>
      <x:c r="S142" s="81"/>
      <x:c r="T142" s="81"/>
      <x:c r="U142" s="81"/>
      <x:c r="V142" s="81"/>
      <x:c r="W142" s="81"/>
      <x:c r="X142" s="81"/>
      <x:c r="Y142" s="81"/>
      <x:c r="Z142" s="81"/>
    </x:row>
    <x:row r="143">
      <x:c r="A143" s="81"/>
      <x:c r="B143" s="81"/>
      <x:c r="C143" s="81"/>
      <x:c r="D143" s="81"/>
      <x:c r="E143" s="81"/>
      <x:c r="F143" s="81"/>
      <x:c r="G143" s="81"/>
      <x:c r="H143" s="81"/>
      <x:c r="I143" s="81"/>
      <x:c r="J143" s="81"/>
      <x:c r="K143" s="81"/>
      <x:c r="L143" s="81"/>
      <x:c r="M143" s="81"/>
      <x:c r="N143" s="81"/>
      <x:c r="O143" s="81"/>
      <x:c r="P143" s="81"/>
      <x:c r="Q143" s="81"/>
      <x:c r="R143" s="81"/>
      <x:c r="S143" s="81"/>
      <x:c r="T143" s="81"/>
      <x:c r="U143" s="81"/>
      <x:c r="V143" s="81"/>
      <x:c r="W143" s="81"/>
      <x:c r="X143" s="81"/>
      <x:c r="Y143" s="81"/>
      <x:c r="Z143" s="81"/>
    </x:row>
    <x:row r="144">
      <x:c r="A144" s="81"/>
      <x:c r="B144" s="81"/>
      <x:c r="C144" s="81"/>
      <x:c r="D144" s="81"/>
      <x:c r="E144" s="81"/>
      <x:c r="F144" s="81"/>
      <x:c r="G144" s="81"/>
      <x:c r="H144" s="81"/>
      <x:c r="I144" s="81"/>
      <x:c r="J144" s="81"/>
      <x:c r="K144" s="81"/>
      <x:c r="L144" s="81"/>
      <x:c r="M144" s="81"/>
      <x:c r="N144" s="81"/>
      <x:c r="O144" s="81"/>
      <x:c r="P144" s="81"/>
      <x:c r="Q144" s="81"/>
      <x:c r="R144" s="81"/>
      <x:c r="S144" s="81"/>
      <x:c r="T144" s="81"/>
      <x:c r="U144" s="81"/>
      <x:c r="V144" s="81"/>
      <x:c r="W144" s="81"/>
      <x:c r="X144" s="81"/>
      <x:c r="Y144" s="81"/>
      <x:c r="Z144" s="81"/>
    </x:row>
    <x:row r="145">
      <x:c r="A145" s="81"/>
      <x:c r="B145" s="81"/>
      <x:c r="C145" s="81"/>
      <x:c r="D145" s="81"/>
      <x:c r="E145" s="81"/>
      <x:c r="F145" s="81"/>
      <x:c r="G145" s="81"/>
      <x:c r="H145" s="81"/>
      <x:c r="I145" s="81"/>
      <x:c r="J145" s="81"/>
      <x:c r="K145" s="81"/>
      <x:c r="L145" s="81"/>
      <x:c r="M145" s="81"/>
      <x:c r="N145" s="81"/>
      <x:c r="O145" s="81"/>
      <x:c r="P145" s="81"/>
      <x:c r="Q145" s="81"/>
      <x:c r="R145" s="81"/>
      <x:c r="S145" s="81"/>
      <x:c r="T145" s="81"/>
      <x:c r="U145" s="81"/>
      <x:c r="V145" s="81"/>
      <x:c r="W145" s="81"/>
      <x:c r="X145" s="81"/>
      <x:c r="Y145" s="81"/>
      <x:c r="Z145" s="81"/>
    </x:row>
    <x:row r="146">
      <x:c r="A146" s="81"/>
      <x:c r="B146" s="81"/>
      <x:c r="C146" s="81"/>
      <x:c r="D146" s="81"/>
      <x:c r="E146" s="81"/>
      <x:c r="F146" s="81"/>
      <x:c r="G146" s="81"/>
      <x:c r="H146" s="81"/>
      <x:c r="I146" s="81"/>
      <x:c r="J146" s="81"/>
      <x:c r="K146" s="81"/>
      <x:c r="L146" s="81"/>
      <x:c r="M146" s="81"/>
      <x:c r="N146" s="81"/>
      <x:c r="O146" s="81"/>
      <x:c r="P146" s="81"/>
      <x:c r="Q146" s="81"/>
      <x:c r="R146" s="81"/>
      <x:c r="S146" s="81"/>
      <x:c r="T146" s="81"/>
      <x:c r="U146" s="81"/>
      <x:c r="V146" s="81"/>
      <x:c r="W146" s="81"/>
      <x:c r="X146" s="81"/>
      <x:c r="Y146" s="81"/>
      <x:c r="Z146" s="81"/>
    </x:row>
    <x:row r="147">
      <x:c r="A147" s="81"/>
      <x:c r="B147" s="81"/>
      <x:c r="C147" s="81"/>
      <x:c r="D147" s="81"/>
      <x:c r="E147" s="81"/>
      <x:c r="F147" s="81"/>
      <x:c r="G147" s="81"/>
      <x:c r="H147" s="81"/>
      <x:c r="I147" s="81"/>
      <x:c r="J147" s="81"/>
      <x:c r="K147" s="81"/>
      <x:c r="L147" s="81"/>
      <x:c r="M147" s="81"/>
      <x:c r="N147" s="81"/>
      <x:c r="O147" s="81"/>
      <x:c r="P147" s="81"/>
      <x:c r="Q147" s="81"/>
      <x:c r="R147" s="81"/>
      <x:c r="S147" s="81"/>
      <x:c r="T147" s="81"/>
      <x:c r="U147" s="81"/>
      <x:c r="V147" s="81"/>
      <x:c r="W147" s="81"/>
      <x:c r="X147" s="81"/>
      <x:c r="Y147" s="81"/>
      <x:c r="Z147" s="81"/>
    </x:row>
    <x:row r="148">
      <x:c r="A148" s="81"/>
      <x:c r="B148" s="81"/>
      <x:c r="C148" s="81"/>
      <x:c r="D148" s="81"/>
      <x:c r="E148" s="81"/>
      <x:c r="F148" s="81"/>
      <x:c r="G148" s="81"/>
      <x:c r="H148" s="81"/>
      <x:c r="I148" s="81"/>
      <x:c r="J148" s="81"/>
      <x:c r="K148" s="81"/>
      <x:c r="L148" s="81"/>
      <x:c r="M148" s="81"/>
      <x:c r="N148" s="81"/>
      <x:c r="O148" s="81"/>
      <x:c r="P148" s="81"/>
      <x:c r="Q148" s="81"/>
      <x:c r="R148" s="81"/>
      <x:c r="S148" s="81"/>
      <x:c r="T148" s="81"/>
      <x:c r="U148" s="81"/>
      <x:c r="V148" s="81"/>
      <x:c r="W148" s="81"/>
      <x:c r="X148" s="81"/>
      <x:c r="Y148" s="81"/>
      <x:c r="Z148" s="81"/>
    </x:row>
    <x:row r="149">
      <x:c r="A149" s="81"/>
      <x:c r="B149" s="81"/>
      <x:c r="C149" s="81"/>
      <x:c r="D149" s="81"/>
      <x:c r="E149" s="81"/>
      <x:c r="F149" s="81"/>
      <x:c r="G149" s="81"/>
      <x:c r="H149" s="81"/>
      <x:c r="I149" s="81"/>
      <x:c r="J149" s="81"/>
      <x:c r="K149" s="81"/>
      <x:c r="L149" s="81"/>
      <x:c r="M149" s="81"/>
      <x:c r="N149" s="81"/>
      <x:c r="O149" s="81"/>
      <x:c r="P149" s="81"/>
      <x:c r="Q149" s="81"/>
      <x:c r="R149" s="81"/>
      <x:c r="S149" s="81"/>
      <x:c r="T149" s="81"/>
      <x:c r="U149" s="81"/>
      <x:c r="V149" s="81"/>
      <x:c r="W149" s="81"/>
      <x:c r="X149" s="81"/>
      <x:c r="Y149" s="81"/>
      <x:c r="Z149" s="81"/>
    </x:row>
    <x:row r="150">
      <x:c r="A150" s="81"/>
      <x:c r="B150" s="81"/>
      <x:c r="C150" s="81"/>
      <x:c r="D150" s="81"/>
      <x:c r="E150" s="81"/>
      <x:c r="F150" s="81"/>
      <x:c r="G150" s="81"/>
      <x:c r="H150" s="81"/>
      <x:c r="I150" s="81"/>
      <x:c r="J150" s="81"/>
      <x:c r="K150" s="81"/>
      <x:c r="L150" s="81"/>
      <x:c r="M150" s="81"/>
      <x:c r="N150" s="81"/>
      <x:c r="O150" s="81"/>
      <x:c r="P150" s="81"/>
      <x:c r="Q150" s="81"/>
      <x:c r="R150" s="81"/>
      <x:c r="S150" s="81"/>
      <x:c r="T150" s="81"/>
      <x:c r="U150" s="81"/>
      <x:c r="V150" s="81"/>
      <x:c r="W150" s="81"/>
      <x:c r="X150" s="81"/>
      <x:c r="Y150" s="81"/>
      <x:c r="Z150" s="81"/>
    </x:row>
    <x:row r="151">
      <x:c r="A151" s="81"/>
      <x:c r="B151" s="81"/>
      <x:c r="C151" s="81"/>
      <x:c r="D151" s="81"/>
      <x:c r="E151" s="81"/>
      <x:c r="F151" s="81"/>
      <x:c r="G151" s="81"/>
      <x:c r="H151" s="81"/>
      <x:c r="I151" s="81"/>
      <x:c r="J151" s="81"/>
      <x:c r="K151" s="81"/>
      <x:c r="L151" s="81"/>
      <x:c r="M151" s="81"/>
      <x:c r="N151" s="81"/>
      <x:c r="O151" s="81"/>
      <x:c r="P151" s="81"/>
      <x:c r="Q151" s="81"/>
      <x:c r="R151" s="81"/>
      <x:c r="S151" s="81"/>
      <x:c r="T151" s="81"/>
      <x:c r="U151" s="81"/>
      <x:c r="V151" s="81"/>
      <x:c r="W151" s="81"/>
      <x:c r="X151" s="81"/>
      <x:c r="Y151" s="81"/>
      <x:c r="Z151" s="81"/>
    </x:row>
    <x:row r="152">
      <x:c r="A152" s="81"/>
      <x:c r="B152" s="81"/>
      <x:c r="C152" s="81"/>
      <x:c r="D152" s="81"/>
      <x:c r="E152" s="81"/>
      <x:c r="F152" s="81"/>
      <x:c r="G152" s="81"/>
      <x:c r="H152" s="81"/>
      <x:c r="I152" s="81"/>
      <x:c r="J152" s="81"/>
      <x:c r="K152" s="81"/>
      <x:c r="L152" s="81"/>
      <x:c r="M152" s="81"/>
      <x:c r="N152" s="81"/>
      <x:c r="O152" s="81"/>
      <x:c r="P152" s="81"/>
      <x:c r="Q152" s="81"/>
      <x:c r="R152" s="81"/>
      <x:c r="S152" s="81"/>
      <x:c r="T152" s="81"/>
      <x:c r="U152" s="81"/>
      <x:c r="V152" s="81"/>
      <x:c r="W152" s="81"/>
      <x:c r="X152" s="81"/>
      <x:c r="Y152" s="81"/>
      <x:c r="Z152" s="81"/>
    </x:row>
    <x:row r="153">
      <x:c r="A153" s="81"/>
      <x:c r="B153" s="81"/>
      <x:c r="C153" s="81"/>
      <x:c r="D153" s="81"/>
      <x:c r="E153" s="81"/>
      <x:c r="F153" s="81"/>
      <x:c r="G153" s="81"/>
      <x:c r="H153" s="81"/>
      <x:c r="I153" s="81"/>
      <x:c r="J153" s="81"/>
      <x:c r="K153" s="81"/>
      <x:c r="L153" s="81"/>
      <x:c r="M153" s="81"/>
      <x:c r="N153" s="81"/>
      <x:c r="O153" s="81"/>
      <x:c r="P153" s="81"/>
      <x:c r="Q153" s="81"/>
      <x:c r="R153" s="81"/>
      <x:c r="S153" s="81"/>
      <x:c r="T153" s="81"/>
      <x:c r="U153" s="81"/>
      <x:c r="V153" s="81"/>
      <x:c r="W153" s="81"/>
      <x:c r="X153" s="81"/>
      <x:c r="Y153" s="81"/>
      <x:c r="Z153" s="81"/>
    </x:row>
    <x:row r="154">
      <x:c r="A154" s="81"/>
      <x:c r="B154" s="81"/>
      <x:c r="C154" s="81"/>
      <x:c r="D154" s="81"/>
      <x:c r="E154" s="81"/>
      <x:c r="F154" s="81"/>
      <x:c r="G154" s="81"/>
      <x:c r="H154" s="81"/>
      <x:c r="I154" s="81"/>
      <x:c r="J154" s="81"/>
      <x:c r="K154" s="81"/>
      <x:c r="L154" s="81"/>
      <x:c r="M154" s="81"/>
      <x:c r="N154" s="81"/>
      <x:c r="O154" s="81"/>
      <x:c r="P154" s="81"/>
      <x:c r="Q154" s="81"/>
      <x:c r="R154" s="81"/>
      <x:c r="S154" s="81"/>
      <x:c r="T154" s="81"/>
      <x:c r="U154" s="81"/>
      <x:c r="V154" s="81"/>
      <x:c r="W154" s="81"/>
      <x:c r="X154" s="81"/>
      <x:c r="Y154" s="81"/>
      <x:c r="Z154" s="81"/>
    </x:row>
    <x:row r="155">
      <x:c r="A155" s="81"/>
      <x:c r="B155" s="81"/>
      <x:c r="C155" s="81"/>
      <x:c r="D155" s="81"/>
      <x:c r="E155" s="81"/>
      <x:c r="F155" s="81"/>
      <x:c r="G155" s="81"/>
      <x:c r="H155" s="81"/>
      <x:c r="I155" s="81"/>
      <x:c r="J155" s="81"/>
      <x:c r="K155" s="81"/>
      <x:c r="L155" s="81"/>
      <x:c r="M155" s="81"/>
      <x:c r="N155" s="81"/>
      <x:c r="O155" s="81"/>
      <x:c r="P155" s="81"/>
      <x:c r="Q155" s="81"/>
      <x:c r="R155" s="81"/>
      <x:c r="S155" s="81"/>
      <x:c r="T155" s="81"/>
      <x:c r="U155" s="81"/>
      <x:c r="V155" s="81"/>
      <x:c r="W155" s="81"/>
      <x:c r="X155" s="81"/>
      <x:c r="Y155" s="81"/>
      <x:c r="Z155" s="81"/>
    </x:row>
    <x:row r="156">
      <x:c r="A156" s="81"/>
      <x:c r="B156" s="81"/>
      <x:c r="C156" s="81"/>
      <x:c r="D156" s="81"/>
      <x:c r="E156" s="81"/>
      <x:c r="F156" s="81"/>
      <x:c r="G156" s="81"/>
      <x:c r="H156" s="81"/>
      <x:c r="I156" s="81"/>
      <x:c r="J156" s="81"/>
      <x:c r="K156" s="81"/>
      <x:c r="L156" s="81"/>
      <x:c r="M156" s="81"/>
      <x:c r="N156" s="81"/>
      <x:c r="O156" s="81"/>
      <x:c r="P156" s="81"/>
      <x:c r="Q156" s="81"/>
      <x:c r="R156" s="81"/>
      <x:c r="S156" s="81"/>
      <x:c r="T156" s="81"/>
      <x:c r="U156" s="81"/>
      <x:c r="V156" s="81"/>
      <x:c r="W156" s="81"/>
      <x:c r="X156" s="81"/>
      <x:c r="Y156" s="81"/>
      <x:c r="Z156" s="81"/>
    </x:row>
    <x:row r="157">
      <x:c r="A157" s="81"/>
      <x:c r="B157" s="81"/>
      <x:c r="C157" s="81"/>
      <x:c r="D157" s="81"/>
      <x:c r="E157" s="81"/>
      <x:c r="F157" s="81"/>
      <x:c r="G157" s="81"/>
      <x:c r="H157" s="81"/>
      <x:c r="I157" s="81"/>
      <x:c r="J157" s="81"/>
      <x:c r="K157" s="81"/>
      <x:c r="L157" s="81"/>
      <x:c r="M157" s="81"/>
      <x:c r="N157" s="81"/>
      <x:c r="O157" s="81"/>
      <x:c r="P157" s="81"/>
      <x:c r="Q157" s="81"/>
      <x:c r="R157" s="81"/>
      <x:c r="S157" s="81"/>
      <x:c r="T157" s="81"/>
      <x:c r="U157" s="81"/>
      <x:c r="V157" s="81"/>
      <x:c r="W157" s="81"/>
      <x:c r="X157" s="81"/>
      <x:c r="Y157" s="81"/>
      <x:c r="Z157" s="81"/>
    </x:row>
    <x:row r="158">
      <x:c r="A158" s="81"/>
      <x:c r="B158" s="81"/>
      <x:c r="C158" s="81"/>
      <x:c r="D158" s="81"/>
      <x:c r="E158" s="81"/>
      <x:c r="F158" s="81"/>
      <x:c r="G158" s="81"/>
      <x:c r="H158" s="81"/>
      <x:c r="I158" s="81"/>
      <x:c r="J158" s="81"/>
      <x:c r="K158" s="81"/>
      <x:c r="L158" s="81"/>
      <x:c r="M158" s="81"/>
      <x:c r="N158" s="81"/>
      <x:c r="O158" s="81"/>
      <x:c r="P158" s="81"/>
      <x:c r="Q158" s="81"/>
      <x:c r="R158" s="81"/>
      <x:c r="S158" s="81"/>
      <x:c r="T158" s="81"/>
      <x:c r="U158" s="81"/>
      <x:c r="V158" s="81"/>
      <x:c r="W158" s="81"/>
      <x:c r="X158" s="81"/>
      <x:c r="Y158" s="81"/>
      <x:c r="Z158" s="81"/>
    </x:row>
    <x:row r="159">
      <x:c r="A159" s="81"/>
      <x:c r="B159" s="81"/>
      <x:c r="C159" s="81"/>
      <x:c r="D159" s="81"/>
      <x:c r="E159" s="81"/>
      <x:c r="F159" s="81"/>
      <x:c r="G159" s="81"/>
      <x:c r="H159" s="81"/>
      <x:c r="I159" s="81"/>
      <x:c r="J159" s="81"/>
      <x:c r="K159" s="81"/>
      <x:c r="L159" s="81"/>
      <x:c r="M159" s="81"/>
      <x:c r="N159" s="81"/>
      <x:c r="O159" s="81"/>
      <x:c r="P159" s="81"/>
      <x:c r="Q159" s="81"/>
      <x:c r="R159" s="81"/>
      <x:c r="S159" s="81"/>
      <x:c r="T159" s="81"/>
      <x:c r="U159" s="81"/>
      <x:c r="V159" s="81"/>
      <x:c r="W159" s="81"/>
      <x:c r="X159" s="81"/>
      <x:c r="Y159" s="81"/>
      <x:c r="Z159" s="81"/>
    </x:row>
    <x:row r="160">
      <x:c r="A160" s="81"/>
      <x:c r="B160" s="81"/>
      <x:c r="C160" s="81"/>
      <x:c r="D160" s="81"/>
      <x:c r="E160" s="81"/>
      <x:c r="F160" s="81"/>
      <x:c r="G160" s="81"/>
      <x:c r="H160" s="81"/>
      <x:c r="I160" s="81"/>
      <x:c r="J160" s="81"/>
      <x:c r="K160" s="81"/>
      <x:c r="L160" s="81"/>
      <x:c r="M160" s="81"/>
      <x:c r="N160" s="81"/>
      <x:c r="O160" s="81"/>
      <x:c r="P160" s="81"/>
      <x:c r="Q160" s="81"/>
      <x:c r="R160" s="81"/>
      <x:c r="S160" s="81"/>
      <x:c r="T160" s="81"/>
      <x:c r="U160" s="81"/>
      <x:c r="V160" s="81"/>
      <x:c r="W160" s="81"/>
      <x:c r="X160" s="81"/>
      <x:c r="Y160" s="81"/>
      <x:c r="Z160" s="81"/>
    </x:row>
    <x:row r="161">
      <x:c r="A161" s="81"/>
      <x:c r="B161" s="81"/>
      <x:c r="C161" s="81"/>
      <x:c r="D161" s="81"/>
      <x:c r="E161" s="81"/>
      <x:c r="F161" s="81"/>
      <x:c r="G161" s="81"/>
      <x:c r="H161" s="81"/>
      <x:c r="I161" s="81"/>
      <x:c r="J161" s="81"/>
      <x:c r="K161" s="81"/>
      <x:c r="L161" s="81"/>
      <x:c r="M161" s="81"/>
      <x:c r="N161" s="81"/>
      <x:c r="O161" s="81"/>
      <x:c r="P161" s="81"/>
      <x:c r="Q161" s="81"/>
      <x:c r="R161" s="81"/>
      <x:c r="S161" s="81"/>
      <x:c r="T161" s="81"/>
      <x:c r="U161" s="81"/>
      <x:c r="V161" s="81"/>
      <x:c r="W161" s="81"/>
      <x:c r="X161" s="81"/>
      <x:c r="Y161" s="81"/>
      <x:c r="Z161" s="81"/>
    </x:row>
    <x:row r="162">
      <x:c r="A162" s="81"/>
      <x:c r="B162" s="81"/>
      <x:c r="C162" s="81"/>
      <x:c r="D162" s="81"/>
      <x:c r="E162" s="81"/>
      <x:c r="F162" s="81"/>
      <x:c r="G162" s="81"/>
      <x:c r="H162" s="81"/>
      <x:c r="I162" s="81"/>
      <x:c r="J162" s="81"/>
      <x:c r="K162" s="81"/>
      <x:c r="L162" s="81"/>
      <x:c r="M162" s="81"/>
      <x:c r="N162" s="81"/>
      <x:c r="O162" s="81"/>
      <x:c r="P162" s="81"/>
      <x:c r="Q162" s="81"/>
      <x:c r="R162" s="81"/>
      <x:c r="S162" s="81"/>
      <x:c r="T162" s="81"/>
      <x:c r="U162" s="81"/>
      <x:c r="V162" s="81"/>
      <x:c r="W162" s="81"/>
      <x:c r="X162" s="81"/>
      <x:c r="Y162" s="81"/>
      <x:c r="Z162" s="81"/>
    </x:row>
    <x:row r="163">
      <x:c r="A163" s="81"/>
      <x:c r="B163" s="81"/>
      <x:c r="C163" s="81"/>
      <x:c r="D163" s="81"/>
      <x:c r="E163" s="81"/>
      <x:c r="F163" s="81"/>
      <x:c r="G163" s="81"/>
      <x:c r="H163" s="81"/>
      <x:c r="I163" s="81"/>
      <x:c r="J163" s="81"/>
      <x:c r="K163" s="81"/>
      <x:c r="L163" s="81"/>
      <x:c r="M163" s="81"/>
      <x:c r="N163" s="81"/>
      <x:c r="O163" s="81"/>
      <x:c r="P163" s="81"/>
      <x:c r="Q163" s="81"/>
      <x:c r="R163" s="81"/>
      <x:c r="S163" s="81"/>
      <x:c r="T163" s="81"/>
      <x:c r="U163" s="81"/>
      <x:c r="V163" s="81"/>
      <x:c r="W163" s="81"/>
      <x:c r="X163" s="81"/>
      <x:c r="Y163" s="81"/>
      <x:c r="Z163" s="81"/>
    </x:row>
    <x:row r="164">
      <x:c r="A164" s="81"/>
      <x:c r="B164" s="81"/>
      <x:c r="C164" s="81"/>
      <x:c r="D164" s="81"/>
      <x:c r="E164" s="81"/>
      <x:c r="F164" s="81"/>
      <x:c r="G164" s="81"/>
      <x:c r="H164" s="81"/>
      <x:c r="I164" s="81"/>
      <x:c r="J164" s="81"/>
      <x:c r="K164" s="81"/>
      <x:c r="L164" s="81"/>
      <x:c r="M164" s="81"/>
      <x:c r="N164" s="81"/>
      <x:c r="O164" s="81"/>
      <x:c r="P164" s="81"/>
      <x:c r="Q164" s="81"/>
      <x:c r="R164" s="81"/>
      <x:c r="S164" s="81"/>
      <x:c r="T164" s="81"/>
      <x:c r="U164" s="81"/>
      <x:c r="V164" s="81"/>
      <x:c r="W164" s="81"/>
      <x:c r="X164" s="81"/>
      <x:c r="Y164" s="81"/>
      <x:c r="Z164" s="81"/>
    </x:row>
    <x:row r="165">
      <x:c r="A165" s="81"/>
      <x:c r="B165" s="81"/>
      <x:c r="C165" s="81"/>
      <x:c r="D165" s="81"/>
      <x:c r="E165" s="81"/>
      <x:c r="F165" s="81"/>
      <x:c r="G165" s="81"/>
      <x:c r="H165" s="81"/>
      <x:c r="I165" s="81"/>
      <x:c r="J165" s="81"/>
      <x:c r="K165" s="81"/>
      <x:c r="L165" s="81"/>
      <x:c r="M165" s="81"/>
      <x:c r="N165" s="81"/>
      <x:c r="O165" s="81"/>
      <x:c r="P165" s="81"/>
      <x:c r="Q165" s="81"/>
      <x:c r="R165" s="81"/>
      <x:c r="S165" s="81"/>
      <x:c r="T165" s="81"/>
      <x:c r="U165" s="81"/>
      <x:c r="V165" s="81"/>
      <x:c r="W165" s="81"/>
      <x:c r="X165" s="81"/>
      <x:c r="Y165" s="81"/>
      <x:c r="Z165" s="81"/>
    </x:row>
    <x:row r="166">
      <x:c r="A166" s="81"/>
      <x:c r="B166" s="81"/>
      <x:c r="C166" s="81"/>
      <x:c r="D166" s="81"/>
      <x:c r="E166" s="81"/>
      <x:c r="F166" s="81"/>
      <x:c r="G166" s="81"/>
      <x:c r="H166" s="81"/>
      <x:c r="I166" s="81"/>
      <x:c r="J166" s="81"/>
      <x:c r="K166" s="81"/>
      <x:c r="L166" s="81"/>
      <x:c r="M166" s="81"/>
      <x:c r="N166" s="81"/>
      <x:c r="O166" s="81"/>
      <x:c r="P166" s="81"/>
      <x:c r="Q166" s="81"/>
      <x:c r="R166" s="81"/>
      <x:c r="S166" s="81"/>
      <x:c r="T166" s="81"/>
      <x:c r="U166" s="81"/>
      <x:c r="V166" s="81"/>
      <x:c r="W166" s="81"/>
      <x:c r="X166" s="81"/>
      <x:c r="Y166" s="81"/>
      <x:c r="Z166" s="81"/>
    </x:row>
    <x:row r="167">
      <x:c r="A167" s="81"/>
      <x:c r="B167" s="81"/>
      <x:c r="C167" s="81"/>
      <x:c r="D167" s="81"/>
      <x:c r="E167" s="81"/>
      <x:c r="F167" s="81"/>
      <x:c r="G167" s="81"/>
      <x:c r="H167" s="81"/>
      <x:c r="I167" s="81"/>
      <x:c r="J167" s="81"/>
      <x:c r="K167" s="81"/>
      <x:c r="L167" s="81"/>
      <x:c r="M167" s="81"/>
      <x:c r="N167" s="81"/>
      <x:c r="O167" s="81"/>
      <x:c r="P167" s="81"/>
      <x:c r="Q167" s="81"/>
      <x:c r="R167" s="81"/>
      <x:c r="S167" s="81"/>
      <x:c r="T167" s="81"/>
      <x:c r="U167" s="81"/>
      <x:c r="V167" s="81"/>
      <x:c r="W167" s="81"/>
      <x:c r="X167" s="81"/>
      <x:c r="Y167" s="81"/>
      <x:c r="Z167" s="81"/>
    </x:row>
    <x:row r="168">
      <x:c r="A168" s="81"/>
      <x:c r="B168" s="81"/>
      <x:c r="C168" s="81"/>
      <x:c r="D168" s="81"/>
      <x:c r="E168" s="81"/>
      <x:c r="F168" s="81"/>
      <x:c r="G168" s="81"/>
      <x:c r="H168" s="81"/>
      <x:c r="I168" s="81"/>
      <x:c r="J168" s="81"/>
      <x:c r="K168" s="81"/>
      <x:c r="L168" s="81"/>
      <x:c r="M168" s="81"/>
      <x:c r="N168" s="81"/>
      <x:c r="O168" s="81"/>
      <x:c r="P168" s="81"/>
      <x:c r="Q168" s="81"/>
      <x:c r="R168" s="81"/>
      <x:c r="S168" s="81"/>
      <x:c r="T168" s="81"/>
      <x:c r="U168" s="81"/>
      <x:c r="V168" s="81"/>
      <x:c r="W168" s="81"/>
      <x:c r="X168" s="81"/>
      <x:c r="Y168" s="81"/>
      <x:c r="Z168" s="81"/>
    </x:row>
    <x:row r="169">
      <x:c r="A169" s="81"/>
      <x:c r="B169" s="81"/>
      <x:c r="C169" s="81"/>
      <x:c r="D169" s="81"/>
      <x:c r="E169" s="81"/>
      <x:c r="F169" s="81"/>
      <x:c r="G169" s="81"/>
      <x:c r="H169" s="81"/>
      <x:c r="I169" s="81"/>
      <x:c r="J169" s="81"/>
      <x:c r="K169" s="81"/>
      <x:c r="L169" s="81"/>
      <x:c r="M169" s="81"/>
      <x:c r="N169" s="81"/>
      <x:c r="O169" s="81"/>
      <x:c r="P169" s="81"/>
      <x:c r="Q169" s="81"/>
      <x:c r="R169" s="81"/>
      <x:c r="S169" s="81"/>
      <x:c r="T169" s="81"/>
      <x:c r="U169" s="81"/>
      <x:c r="V169" s="81"/>
      <x:c r="W169" s="81"/>
      <x:c r="X169" s="81"/>
      <x:c r="Y169" s="81"/>
      <x:c r="Z169" s="81"/>
    </x:row>
    <x:row r="170">
      <x:c r="A170" s="81"/>
      <x:c r="B170" s="81"/>
      <x:c r="C170" s="81"/>
      <x:c r="D170" s="81"/>
      <x:c r="E170" s="81"/>
      <x:c r="F170" s="81"/>
      <x:c r="G170" s="81"/>
      <x:c r="H170" s="81"/>
      <x:c r="I170" s="81"/>
      <x:c r="J170" s="81"/>
      <x:c r="K170" s="81"/>
      <x:c r="L170" s="81"/>
      <x:c r="M170" s="81"/>
      <x:c r="N170" s="81"/>
      <x:c r="O170" s="81"/>
      <x:c r="P170" s="81"/>
      <x:c r="Q170" s="81"/>
      <x:c r="R170" s="81"/>
      <x:c r="S170" s="81"/>
      <x:c r="T170" s="81"/>
      <x:c r="U170" s="81"/>
      <x:c r="V170" s="81"/>
      <x:c r="W170" s="81"/>
      <x:c r="X170" s="81"/>
      <x:c r="Y170" s="81"/>
      <x:c r="Z170" s="81"/>
    </x:row>
    <x:row r="171">
      <x:c r="A171" s="81"/>
      <x:c r="B171" s="81"/>
      <x:c r="C171" s="81"/>
      <x:c r="D171" s="81"/>
      <x:c r="E171" s="81"/>
      <x:c r="F171" s="81"/>
      <x:c r="G171" s="81"/>
      <x:c r="H171" s="81"/>
      <x:c r="I171" s="81"/>
      <x:c r="J171" s="81"/>
      <x:c r="K171" s="81"/>
      <x:c r="L171" s="81"/>
      <x:c r="M171" s="81"/>
      <x:c r="N171" s="81"/>
      <x:c r="O171" s="81"/>
      <x:c r="P171" s="81"/>
      <x:c r="Q171" s="81"/>
      <x:c r="R171" s="81"/>
      <x:c r="S171" s="81"/>
      <x:c r="T171" s="81"/>
      <x:c r="U171" s="81"/>
      <x:c r="V171" s="81"/>
      <x:c r="W171" s="81"/>
      <x:c r="X171" s="81"/>
      <x:c r="Y171" s="81"/>
      <x:c r="Z171" s="81"/>
    </x:row>
    <x:row r="172">
      <x:c r="A172" s="81"/>
      <x:c r="B172" s="81"/>
      <x:c r="C172" s="81"/>
      <x:c r="D172" s="81"/>
      <x:c r="E172" s="81"/>
      <x:c r="F172" s="81"/>
      <x:c r="G172" s="81"/>
      <x:c r="H172" s="81"/>
      <x:c r="I172" s="81"/>
      <x:c r="J172" s="81"/>
      <x:c r="K172" s="81"/>
      <x:c r="L172" s="81"/>
      <x:c r="M172" s="81"/>
      <x:c r="N172" s="81"/>
      <x:c r="O172" s="81"/>
      <x:c r="P172" s="81"/>
      <x:c r="Q172" s="81"/>
      <x:c r="R172" s="81"/>
      <x:c r="S172" s="81"/>
      <x:c r="T172" s="81"/>
      <x:c r="U172" s="81"/>
      <x:c r="V172" s="81"/>
      <x:c r="W172" s="81"/>
      <x:c r="X172" s="81"/>
      <x:c r="Y172" s="81"/>
      <x:c r="Z172" s="81"/>
    </x:row>
    <x:row r="173">
      <x:c r="A173" s="81"/>
      <x:c r="B173" s="81"/>
      <x:c r="C173" s="81"/>
      <x:c r="D173" s="81"/>
      <x:c r="E173" s="81"/>
      <x:c r="F173" s="81"/>
      <x:c r="G173" s="81"/>
      <x:c r="H173" s="81"/>
      <x:c r="I173" s="81"/>
      <x:c r="J173" s="81"/>
      <x:c r="K173" s="81"/>
      <x:c r="L173" s="81"/>
      <x:c r="M173" s="81"/>
      <x:c r="N173" s="81"/>
      <x:c r="O173" s="81"/>
      <x:c r="P173" s="81"/>
      <x:c r="Q173" s="81"/>
      <x:c r="R173" s="81"/>
      <x:c r="S173" s="81"/>
      <x:c r="T173" s="81"/>
      <x:c r="U173" s="81"/>
      <x:c r="V173" s="81"/>
      <x:c r="W173" s="81"/>
      <x:c r="X173" s="81"/>
      <x:c r="Y173" s="81"/>
      <x:c r="Z173" s="81"/>
    </x:row>
    <x:row r="174">
      <x:c r="A174" s="81"/>
      <x:c r="B174" s="81"/>
      <x:c r="C174" s="81"/>
      <x:c r="D174" s="81"/>
      <x:c r="E174" s="81"/>
      <x:c r="F174" s="81"/>
      <x:c r="G174" s="81"/>
      <x:c r="H174" s="81"/>
      <x:c r="I174" s="81"/>
      <x:c r="J174" s="81"/>
      <x:c r="K174" s="81"/>
      <x:c r="L174" s="81"/>
      <x:c r="M174" s="81"/>
      <x:c r="N174" s="81"/>
      <x:c r="O174" s="81"/>
      <x:c r="P174" s="81"/>
      <x:c r="Q174" s="81"/>
      <x:c r="R174" s="81"/>
      <x:c r="S174" s="81"/>
      <x:c r="T174" s="81"/>
      <x:c r="U174" s="81"/>
      <x:c r="V174" s="81"/>
      <x:c r="W174" s="81"/>
      <x:c r="X174" s="81"/>
      <x:c r="Y174" s="81"/>
      <x:c r="Z174" s="81"/>
    </x:row>
    <x:row r="175">
      <x:c r="A175" s="81"/>
      <x:c r="B175" s="81"/>
      <x:c r="C175" s="81"/>
      <x:c r="D175" s="81"/>
      <x:c r="E175" s="81"/>
      <x:c r="F175" s="81"/>
      <x:c r="G175" s="81"/>
      <x:c r="H175" s="81"/>
      <x:c r="I175" s="81"/>
      <x:c r="J175" s="81"/>
      <x:c r="K175" s="81"/>
      <x:c r="L175" s="81"/>
      <x:c r="M175" s="81"/>
      <x:c r="N175" s="81"/>
      <x:c r="O175" s="81"/>
      <x:c r="P175" s="81"/>
      <x:c r="Q175" s="81"/>
      <x:c r="R175" s="81"/>
      <x:c r="S175" s="81"/>
      <x:c r="T175" s="81"/>
      <x:c r="U175" s="81"/>
      <x:c r="V175" s="81"/>
      <x:c r="W175" s="81"/>
      <x:c r="X175" s="81"/>
      <x:c r="Y175" s="81"/>
      <x:c r="Z175" s="81"/>
    </x:row>
    <x:row r="176">
      <x:c r="A176" s="81"/>
      <x:c r="B176" s="81"/>
      <x:c r="C176" s="81"/>
      <x:c r="D176" s="81"/>
      <x:c r="E176" s="81"/>
      <x:c r="F176" s="81"/>
      <x:c r="G176" s="81"/>
      <x:c r="H176" s="81"/>
      <x:c r="I176" s="81"/>
      <x:c r="J176" s="81"/>
      <x:c r="K176" s="81"/>
      <x:c r="L176" s="81"/>
      <x:c r="M176" s="81"/>
      <x:c r="N176" s="81"/>
      <x:c r="O176" s="81"/>
      <x:c r="P176" s="81"/>
      <x:c r="Q176" s="81"/>
      <x:c r="R176" s="81"/>
      <x:c r="S176" s="81"/>
      <x:c r="T176" s="81"/>
      <x:c r="U176" s="81"/>
      <x:c r="V176" s="81"/>
      <x:c r="W176" s="81"/>
      <x:c r="X176" s="81"/>
      <x:c r="Y176" s="81"/>
      <x:c r="Z176" s="81"/>
    </x:row>
    <x:row r="177">
      <x:c r="A177" s="81"/>
      <x:c r="B177" s="81"/>
      <x:c r="C177" s="81"/>
      <x:c r="D177" s="81"/>
      <x:c r="E177" s="81"/>
      <x:c r="F177" s="81"/>
      <x:c r="G177" s="81"/>
      <x:c r="H177" s="81"/>
      <x:c r="I177" s="81"/>
      <x:c r="J177" s="81"/>
      <x:c r="K177" s="81"/>
      <x:c r="L177" s="81"/>
      <x:c r="M177" s="81"/>
      <x:c r="N177" s="81"/>
      <x:c r="O177" s="81"/>
      <x:c r="P177" s="81"/>
      <x:c r="Q177" s="81"/>
      <x:c r="R177" s="81"/>
      <x:c r="S177" s="81"/>
      <x:c r="T177" s="81"/>
      <x:c r="U177" s="81"/>
      <x:c r="V177" s="81"/>
      <x:c r="W177" s="81"/>
      <x:c r="X177" s="81"/>
      <x:c r="Y177" s="81"/>
      <x:c r="Z177" s="81"/>
    </x:row>
    <x:row r="178">
      <x:c r="A178" s="81"/>
      <x:c r="B178" s="81"/>
      <x:c r="C178" s="81"/>
      <x:c r="D178" s="81"/>
      <x:c r="E178" s="81"/>
      <x:c r="F178" s="81"/>
      <x:c r="G178" s="81"/>
      <x:c r="H178" s="81"/>
      <x:c r="I178" s="81"/>
      <x:c r="J178" s="81"/>
      <x:c r="K178" s="81"/>
      <x:c r="L178" s="81"/>
      <x:c r="M178" s="81"/>
      <x:c r="N178" s="81"/>
      <x:c r="O178" s="81"/>
      <x:c r="P178" s="81"/>
      <x:c r="Q178" s="81"/>
      <x:c r="R178" s="81"/>
      <x:c r="S178" s="81"/>
      <x:c r="T178" s="81"/>
      <x:c r="U178" s="81"/>
      <x:c r="V178" s="81"/>
      <x:c r="W178" s="81"/>
      <x:c r="X178" s="81"/>
      <x:c r="Y178" s="81"/>
      <x:c r="Z178" s="81"/>
    </x:row>
    <x:row r="179">
      <x:c r="A179" s="81"/>
      <x:c r="B179" s="81"/>
      <x:c r="C179" s="81"/>
      <x:c r="D179" s="81"/>
      <x:c r="E179" s="81"/>
      <x:c r="F179" s="81"/>
      <x:c r="G179" s="81"/>
      <x:c r="H179" s="81"/>
      <x:c r="I179" s="81"/>
      <x:c r="J179" s="81"/>
      <x:c r="K179" s="81"/>
      <x:c r="L179" s="81"/>
      <x:c r="M179" s="81"/>
      <x:c r="N179" s="81"/>
      <x:c r="O179" s="81"/>
      <x:c r="P179" s="81"/>
      <x:c r="Q179" s="81"/>
      <x:c r="R179" s="81"/>
      <x:c r="S179" s="81"/>
      <x:c r="T179" s="81"/>
      <x:c r="U179" s="81"/>
      <x:c r="V179" s="81"/>
      <x:c r="W179" s="81"/>
      <x:c r="X179" s="81"/>
      <x:c r="Y179" s="81"/>
      <x:c r="Z179" s="81"/>
    </x:row>
    <x:row r="180">
      <x:c r="A180" s="81"/>
      <x:c r="B180" s="81"/>
      <x:c r="C180" s="81"/>
      <x:c r="D180" s="81"/>
      <x:c r="E180" s="81"/>
      <x:c r="F180" s="81"/>
      <x:c r="G180" s="81"/>
      <x:c r="H180" s="81"/>
      <x:c r="I180" s="81"/>
      <x:c r="J180" s="81"/>
      <x:c r="K180" s="81"/>
      <x:c r="L180" s="81"/>
      <x:c r="M180" s="81"/>
      <x:c r="N180" s="81"/>
      <x:c r="O180" s="81"/>
      <x:c r="P180" s="81"/>
      <x:c r="Q180" s="81"/>
      <x:c r="R180" s="81"/>
      <x:c r="S180" s="81"/>
      <x:c r="T180" s="81"/>
      <x:c r="U180" s="81"/>
      <x:c r="V180" s="81"/>
      <x:c r="W180" s="81"/>
      <x:c r="X180" s="81"/>
      <x:c r="Y180" s="81"/>
      <x:c r="Z180" s="81"/>
    </x:row>
    <x:row r="181">
      <x:c r="A181" s="81"/>
      <x:c r="B181" s="81"/>
      <x:c r="C181" s="81"/>
      <x:c r="D181" s="81"/>
      <x:c r="E181" s="81"/>
      <x:c r="F181" s="81"/>
      <x:c r="G181" s="81"/>
      <x:c r="H181" s="81"/>
      <x:c r="I181" s="81"/>
      <x:c r="J181" s="81"/>
      <x:c r="K181" s="81"/>
      <x:c r="L181" s="81"/>
      <x:c r="M181" s="81"/>
      <x:c r="N181" s="81"/>
      <x:c r="O181" s="81"/>
      <x:c r="P181" s="81"/>
      <x:c r="Q181" s="81"/>
      <x:c r="R181" s="81"/>
      <x:c r="S181" s="81"/>
      <x:c r="T181" s="81"/>
      <x:c r="U181" s="81"/>
      <x:c r="V181" s="81"/>
      <x:c r="W181" s="81"/>
      <x:c r="X181" s="81"/>
      <x:c r="Y181" s="81"/>
      <x:c r="Z181" s="81"/>
    </x:row>
    <x:row r="182">
      <x:c r="A182" s="81"/>
      <x:c r="B182" s="81"/>
      <x:c r="C182" s="81"/>
      <x:c r="D182" s="81"/>
      <x:c r="E182" s="81"/>
      <x:c r="F182" s="81"/>
      <x:c r="G182" s="81"/>
      <x:c r="H182" s="81"/>
      <x:c r="I182" s="81"/>
      <x:c r="J182" s="81"/>
      <x:c r="K182" s="81"/>
      <x:c r="L182" s="81"/>
      <x:c r="M182" s="81"/>
      <x:c r="N182" s="81"/>
      <x:c r="O182" s="81"/>
      <x:c r="P182" s="81"/>
      <x:c r="Q182" s="81"/>
      <x:c r="R182" s="81"/>
      <x:c r="S182" s="81"/>
      <x:c r="T182" s="81"/>
      <x:c r="U182" s="81"/>
      <x:c r="V182" s="81"/>
      <x:c r="W182" s="81"/>
      <x:c r="X182" s="81"/>
      <x:c r="Y182" s="81"/>
      <x:c r="Z182" s="81"/>
    </x:row>
    <x:row r="183">
      <x:c r="A183" s="81"/>
      <x:c r="B183" s="81"/>
      <x:c r="C183" s="81"/>
      <x:c r="D183" s="81"/>
      <x:c r="E183" s="81"/>
      <x:c r="F183" s="81"/>
      <x:c r="G183" s="81"/>
      <x:c r="H183" s="81"/>
      <x:c r="I183" s="81"/>
      <x:c r="J183" s="81"/>
      <x:c r="K183" s="81"/>
      <x:c r="L183" s="81"/>
      <x:c r="M183" s="81"/>
      <x:c r="N183" s="81"/>
      <x:c r="O183" s="81"/>
      <x:c r="P183" s="81"/>
      <x:c r="Q183" s="81"/>
      <x:c r="R183" s="81"/>
      <x:c r="S183" s="81"/>
      <x:c r="T183" s="81"/>
      <x:c r="U183" s="81"/>
      <x:c r="V183" s="81"/>
      <x:c r="W183" s="81"/>
      <x:c r="X183" s="81"/>
      <x:c r="Y183" s="81"/>
      <x:c r="Z183" s="81"/>
    </x:row>
    <x:row r="184">
      <x:c r="A184" s="81"/>
      <x:c r="B184" s="81"/>
      <x:c r="C184" s="81"/>
      <x:c r="D184" s="81"/>
      <x:c r="E184" s="81"/>
      <x:c r="F184" s="81"/>
      <x:c r="G184" s="81"/>
      <x:c r="H184" s="81"/>
      <x:c r="I184" s="81"/>
      <x:c r="J184" s="81"/>
      <x:c r="K184" s="81"/>
      <x:c r="L184" s="81"/>
      <x:c r="M184" s="81"/>
      <x:c r="N184" s="81"/>
      <x:c r="O184" s="81"/>
      <x:c r="P184" s="81"/>
      <x:c r="Q184" s="81"/>
      <x:c r="R184" s="81"/>
      <x:c r="S184" s="81"/>
      <x:c r="T184" s="81"/>
      <x:c r="U184" s="81"/>
      <x:c r="V184" s="81"/>
      <x:c r="W184" s="81"/>
      <x:c r="X184" s="81"/>
      <x:c r="Y184" s="81"/>
      <x:c r="Z184" s="81"/>
    </x:row>
    <x:row r="185">
      <x:c r="A185" s="81"/>
      <x:c r="B185" s="81"/>
      <x:c r="C185" s="81"/>
      <x:c r="D185" s="81"/>
      <x:c r="E185" s="81"/>
      <x:c r="F185" s="81"/>
      <x:c r="G185" s="81"/>
      <x:c r="H185" s="81"/>
      <x:c r="I185" s="81"/>
      <x:c r="J185" s="81"/>
      <x:c r="K185" s="81"/>
      <x:c r="L185" s="81"/>
      <x:c r="M185" s="81"/>
      <x:c r="N185" s="81"/>
      <x:c r="O185" s="81"/>
      <x:c r="P185" s="81"/>
      <x:c r="Q185" s="81"/>
      <x:c r="R185" s="81"/>
      <x:c r="S185" s="81"/>
      <x:c r="T185" s="81"/>
      <x:c r="U185" s="81"/>
      <x:c r="V185" s="81"/>
      <x:c r="W185" s="81"/>
      <x:c r="X185" s="81"/>
      <x:c r="Y185" s="81"/>
      <x:c r="Z185" s="81"/>
    </x:row>
    <x:row r="186">
      <x:c r="A186" s="81"/>
      <x:c r="B186" s="81"/>
      <x:c r="C186" s="81"/>
      <x:c r="D186" s="81"/>
      <x:c r="E186" s="81"/>
      <x:c r="F186" s="81"/>
      <x:c r="G186" s="81"/>
      <x:c r="H186" s="81"/>
      <x:c r="I186" s="81"/>
      <x:c r="J186" s="81"/>
      <x:c r="K186" s="81"/>
      <x:c r="L186" s="81"/>
      <x:c r="M186" s="81"/>
      <x:c r="N186" s="81"/>
      <x:c r="O186" s="81"/>
      <x:c r="P186" s="81"/>
      <x:c r="Q186" s="81"/>
      <x:c r="R186" s="81"/>
      <x:c r="S186" s="81"/>
      <x:c r="T186" s="81"/>
      <x:c r="U186" s="81"/>
      <x:c r="V186" s="81"/>
      <x:c r="W186" s="81"/>
      <x:c r="X186" s="81"/>
      <x:c r="Y186" s="81"/>
      <x:c r="Z186" s="81"/>
    </x:row>
    <x:row r="187">
      <x:c r="A187" s="81"/>
      <x:c r="B187" s="81"/>
      <x:c r="C187" s="81"/>
      <x:c r="D187" s="81"/>
      <x:c r="E187" s="81"/>
      <x:c r="F187" s="81"/>
      <x:c r="G187" s="81"/>
      <x:c r="H187" s="81"/>
      <x:c r="I187" s="81"/>
      <x:c r="J187" s="81"/>
      <x:c r="K187" s="81"/>
      <x:c r="L187" s="81"/>
      <x:c r="M187" s="81"/>
      <x:c r="N187" s="81"/>
      <x:c r="O187" s="81"/>
      <x:c r="P187" s="81"/>
      <x:c r="Q187" s="81"/>
      <x:c r="R187" s="81"/>
      <x:c r="S187" s="81"/>
      <x:c r="T187" s="81"/>
      <x:c r="U187" s="81"/>
      <x:c r="V187" s="81"/>
      <x:c r="W187" s="81"/>
      <x:c r="X187" s="81"/>
      <x:c r="Y187" s="81"/>
      <x:c r="Z187" s="81"/>
    </x:row>
    <x:row r="188">
      <x:c r="A188" s="81"/>
      <x:c r="B188" s="81"/>
      <x:c r="C188" s="81"/>
      <x:c r="D188" s="81"/>
      <x:c r="E188" s="81"/>
      <x:c r="F188" s="81"/>
      <x:c r="G188" s="81"/>
      <x:c r="H188" s="81"/>
      <x:c r="I188" s="81"/>
      <x:c r="J188" s="81"/>
      <x:c r="K188" s="81"/>
      <x:c r="L188" s="81"/>
      <x:c r="M188" s="81"/>
      <x:c r="N188" s="81"/>
      <x:c r="O188" s="81"/>
      <x:c r="P188" s="81"/>
      <x:c r="Q188" s="81"/>
      <x:c r="R188" s="81"/>
      <x:c r="S188" s="81"/>
      <x:c r="T188" s="81"/>
      <x:c r="U188" s="81"/>
      <x:c r="V188" s="81"/>
      <x:c r="W188" s="81"/>
      <x:c r="X188" s="81"/>
      <x:c r="Y188" s="81"/>
      <x:c r="Z188" s="81"/>
    </x:row>
    <x:row r="189">
      <x:c r="A189" s="81"/>
      <x:c r="B189" s="81"/>
      <x:c r="C189" s="81"/>
      <x:c r="D189" s="81"/>
      <x:c r="E189" s="81"/>
      <x:c r="F189" s="81"/>
      <x:c r="G189" s="81"/>
      <x:c r="H189" s="81"/>
      <x:c r="I189" s="81"/>
      <x:c r="J189" s="81"/>
      <x:c r="K189" s="81"/>
      <x:c r="L189" s="81"/>
      <x:c r="M189" s="81"/>
      <x:c r="N189" s="81"/>
      <x:c r="O189" s="81"/>
      <x:c r="P189" s="81"/>
      <x:c r="Q189" s="81"/>
      <x:c r="R189" s="81"/>
      <x:c r="S189" s="81"/>
      <x:c r="T189" s="81"/>
      <x:c r="U189" s="81"/>
      <x:c r="V189" s="81"/>
      <x:c r="W189" s="81"/>
      <x:c r="X189" s="81"/>
      <x:c r="Y189" s="81"/>
      <x:c r="Z189" s="81"/>
    </x:row>
    <x:row r="190">
      <x:c r="A190" s="81"/>
      <x:c r="B190" s="81"/>
      <x:c r="C190" s="81"/>
      <x:c r="D190" s="81"/>
      <x:c r="E190" s="81"/>
      <x:c r="F190" s="81"/>
      <x:c r="G190" s="81"/>
      <x:c r="H190" s="81"/>
      <x:c r="I190" s="81"/>
      <x:c r="J190" s="81"/>
      <x:c r="K190" s="81"/>
      <x:c r="L190" s="81"/>
      <x:c r="M190" s="81"/>
      <x:c r="N190" s="81"/>
      <x:c r="O190" s="81"/>
      <x:c r="P190" s="81"/>
      <x:c r="Q190" s="81"/>
      <x:c r="R190" s="81"/>
      <x:c r="S190" s="81"/>
      <x:c r="T190" s="81"/>
      <x:c r="U190" s="81"/>
      <x:c r="V190" s="81"/>
      <x:c r="W190" s="81"/>
      <x:c r="X190" s="81"/>
      <x:c r="Y190" s="81"/>
      <x:c r="Z190" s="81"/>
    </x:row>
    <x:row r="191">
      <x:c r="A191" s="81"/>
      <x:c r="B191" s="81"/>
      <x:c r="C191" s="81"/>
      <x:c r="D191" s="81"/>
      <x:c r="E191" s="81"/>
      <x:c r="F191" s="81"/>
      <x:c r="G191" s="81"/>
      <x:c r="H191" s="81"/>
      <x:c r="I191" s="81"/>
      <x:c r="J191" s="81"/>
      <x:c r="K191" s="81"/>
      <x:c r="L191" s="81"/>
      <x:c r="M191" s="81"/>
      <x:c r="N191" s="81"/>
      <x:c r="O191" s="81"/>
      <x:c r="P191" s="81"/>
      <x:c r="Q191" s="81"/>
      <x:c r="R191" s="81"/>
      <x:c r="S191" s="81"/>
      <x:c r="T191" s="81"/>
      <x:c r="U191" s="81"/>
      <x:c r="V191" s="81"/>
      <x:c r="W191" s="81"/>
      <x:c r="X191" s="81"/>
      <x:c r="Y191" s="81"/>
      <x:c r="Z191" s="81"/>
    </x:row>
    <x:row r="192">
      <x:c r="A192" s="81"/>
      <x:c r="B192" s="81"/>
      <x:c r="C192" s="81"/>
      <x:c r="D192" s="81"/>
      <x:c r="E192" s="81"/>
      <x:c r="F192" s="81"/>
      <x:c r="G192" s="81"/>
      <x:c r="H192" s="81"/>
      <x:c r="I192" s="81"/>
      <x:c r="J192" s="81"/>
      <x:c r="K192" s="81"/>
      <x:c r="L192" s="81"/>
      <x:c r="M192" s="81"/>
      <x:c r="N192" s="81"/>
      <x:c r="O192" s="81"/>
      <x:c r="P192" s="81"/>
      <x:c r="Q192" s="81"/>
      <x:c r="R192" s="81"/>
      <x:c r="S192" s="81"/>
      <x:c r="T192" s="81"/>
      <x:c r="U192" s="81"/>
      <x:c r="V192" s="81"/>
      <x:c r="W192" s="81"/>
      <x:c r="X192" s="81"/>
      <x:c r="Y192" s="81"/>
      <x:c r="Z192" s="81"/>
    </x:row>
    <x:row r="193">
      <x:c r="A193" s="81"/>
      <x:c r="B193" s="81"/>
      <x:c r="C193" s="81"/>
      <x:c r="D193" s="81"/>
      <x:c r="E193" s="81"/>
      <x:c r="F193" s="81"/>
      <x:c r="G193" s="81"/>
      <x:c r="H193" s="81"/>
      <x:c r="I193" s="81"/>
      <x:c r="J193" s="81"/>
      <x:c r="K193" s="81"/>
      <x:c r="L193" s="81"/>
      <x:c r="M193" s="81"/>
      <x:c r="N193" s="81"/>
      <x:c r="O193" s="81"/>
      <x:c r="P193" s="81"/>
      <x:c r="Q193" s="81"/>
      <x:c r="R193" s="81"/>
      <x:c r="S193" s="81"/>
      <x:c r="T193" s="81"/>
      <x:c r="U193" s="81"/>
      <x:c r="V193" s="81"/>
      <x:c r="W193" s="81"/>
      <x:c r="X193" s="81"/>
      <x:c r="Y193" s="81"/>
      <x:c r="Z193" s="81"/>
    </x:row>
    <x:row r="194">
      <x:c r="A194" s="81"/>
      <x:c r="B194" s="81"/>
      <x:c r="C194" s="81"/>
      <x:c r="D194" s="81"/>
      <x:c r="E194" s="81"/>
      <x:c r="F194" s="81"/>
      <x:c r="G194" s="81"/>
      <x:c r="H194" s="81"/>
      <x:c r="I194" s="81"/>
      <x:c r="J194" s="81"/>
      <x:c r="K194" s="81"/>
      <x:c r="L194" s="81"/>
      <x:c r="M194" s="81"/>
      <x:c r="N194" s="81"/>
      <x:c r="O194" s="81"/>
      <x:c r="P194" s="81"/>
      <x:c r="Q194" s="81"/>
      <x:c r="R194" s="81"/>
      <x:c r="S194" s="81"/>
      <x:c r="T194" s="81"/>
      <x:c r="U194" s="81"/>
      <x:c r="V194" s="81"/>
      <x:c r="W194" s="81"/>
      <x:c r="X194" s="81"/>
      <x:c r="Y194" s="81"/>
      <x:c r="Z194" s="81"/>
    </x:row>
    <x:row r="195">
      <x:c r="A195" s="81"/>
      <x:c r="B195" s="81"/>
      <x:c r="C195" s="81"/>
      <x:c r="D195" s="81"/>
      <x:c r="E195" s="81"/>
      <x:c r="F195" s="81"/>
      <x:c r="G195" s="81"/>
      <x:c r="H195" s="81"/>
      <x:c r="I195" s="81"/>
      <x:c r="J195" s="81"/>
      <x:c r="K195" s="81"/>
      <x:c r="L195" s="81"/>
      <x:c r="M195" s="81"/>
      <x:c r="N195" s="81"/>
      <x:c r="O195" s="81"/>
      <x:c r="P195" s="81"/>
      <x:c r="Q195" s="81"/>
      <x:c r="R195" s="81"/>
      <x:c r="S195" s="81"/>
      <x:c r="T195" s="81"/>
      <x:c r="U195" s="81"/>
      <x:c r="V195" s="81"/>
      <x:c r="W195" s="81"/>
      <x:c r="X195" s="81"/>
      <x:c r="Y195" s="81"/>
      <x:c r="Z195" s="81"/>
    </x:row>
    <x:row r="196">
      <x:c r="A196" s="81"/>
      <x:c r="B196" s="81"/>
      <x:c r="C196" s="81"/>
      <x:c r="D196" s="81"/>
      <x:c r="E196" s="81"/>
      <x:c r="F196" s="81"/>
      <x:c r="G196" s="81"/>
      <x:c r="H196" s="81"/>
      <x:c r="I196" s="81"/>
      <x:c r="J196" s="81"/>
      <x:c r="K196" s="81"/>
      <x:c r="L196" s="81"/>
      <x:c r="M196" s="81"/>
      <x:c r="N196" s="81"/>
      <x:c r="O196" s="81"/>
      <x:c r="P196" s="81"/>
      <x:c r="Q196" s="81"/>
      <x:c r="R196" s="81"/>
      <x:c r="S196" s="81"/>
      <x:c r="T196" s="81"/>
      <x:c r="U196" s="81"/>
      <x:c r="V196" s="81"/>
      <x:c r="W196" s="81"/>
      <x:c r="X196" s="81"/>
      <x:c r="Y196" s="81"/>
      <x:c r="Z196" s="81"/>
    </x:row>
    <x:row r="197">
      <x:c r="A197" s="81"/>
      <x:c r="B197" s="81"/>
      <x:c r="C197" s="81"/>
      <x:c r="D197" s="81"/>
      <x:c r="E197" s="81"/>
      <x:c r="F197" s="81"/>
      <x:c r="G197" s="81"/>
      <x:c r="H197" s="81"/>
      <x:c r="I197" s="81"/>
      <x:c r="J197" s="81"/>
      <x:c r="K197" s="81"/>
      <x:c r="L197" s="81"/>
      <x:c r="M197" s="81"/>
      <x:c r="N197" s="81"/>
      <x:c r="O197" s="81"/>
      <x:c r="P197" s="81"/>
      <x:c r="Q197" s="81"/>
      <x:c r="R197" s="81"/>
      <x:c r="S197" s="81"/>
      <x:c r="T197" s="81"/>
      <x:c r="U197" s="81"/>
      <x:c r="V197" s="81"/>
      <x:c r="W197" s="81"/>
      <x:c r="X197" s="81"/>
      <x:c r="Y197" s="81"/>
      <x:c r="Z197" s="81"/>
    </x:row>
    <x:row r="198">
      <x:c r="A198" s="81"/>
      <x:c r="B198" s="81"/>
      <x:c r="C198" s="81"/>
      <x:c r="D198" s="81"/>
      <x:c r="E198" s="81"/>
      <x:c r="F198" s="81"/>
      <x:c r="G198" s="81"/>
      <x:c r="H198" s="81"/>
      <x:c r="I198" s="81"/>
      <x:c r="J198" s="81"/>
      <x:c r="K198" s="81"/>
      <x:c r="L198" s="81"/>
      <x:c r="M198" s="81"/>
      <x:c r="N198" s="81"/>
      <x:c r="O198" s="81"/>
      <x:c r="P198" s="81"/>
      <x:c r="Q198" s="81"/>
      <x:c r="R198" s="81"/>
      <x:c r="S198" s="81"/>
      <x:c r="T198" s="81"/>
      <x:c r="U198" s="81"/>
      <x:c r="V198" s="81"/>
      <x:c r="W198" s="81"/>
      <x:c r="X198" s="81"/>
      <x:c r="Y198" s="81"/>
      <x:c r="Z198" s="81"/>
    </x:row>
    <x:row r="199">
      <x:c r="A199" s="81"/>
      <x:c r="B199" s="81"/>
      <x:c r="C199" s="81"/>
      <x:c r="D199" s="81"/>
      <x:c r="E199" s="81"/>
      <x:c r="F199" s="81"/>
      <x:c r="G199" s="81"/>
      <x:c r="H199" s="81"/>
      <x:c r="I199" s="81"/>
      <x:c r="J199" s="81"/>
      <x:c r="K199" s="81"/>
      <x:c r="L199" s="81"/>
      <x:c r="M199" s="81"/>
      <x:c r="N199" s="81"/>
      <x:c r="O199" s="81"/>
      <x:c r="P199" s="81"/>
      <x:c r="Q199" s="81"/>
      <x:c r="R199" s="81"/>
      <x:c r="S199" s="81"/>
      <x:c r="T199" s="81"/>
      <x:c r="U199" s="81"/>
      <x:c r="V199" s="81"/>
      <x:c r="W199" s="81"/>
      <x:c r="X199" s="81"/>
      <x:c r="Y199" s="81"/>
      <x:c r="Z199" s="81"/>
    </x:row>
    <x:row r="200">
      <x:c r="A200" s="81"/>
      <x:c r="B200" s="81"/>
      <x:c r="C200" s="81"/>
      <x:c r="D200" s="81"/>
      <x:c r="E200" s="81"/>
      <x:c r="F200" s="81"/>
      <x:c r="G200" s="81"/>
      <x:c r="H200" s="81"/>
      <x:c r="I200" s="81"/>
      <x:c r="J200" s="81"/>
      <x:c r="K200" s="81"/>
      <x:c r="L200" s="81"/>
      <x:c r="M200" s="81"/>
      <x:c r="N200" s="81"/>
      <x:c r="O200" s="81"/>
      <x:c r="P200" s="81"/>
      <x:c r="Q200" s="81"/>
      <x:c r="R200" s="81"/>
      <x:c r="S200" s="81"/>
      <x:c r="T200" s="81"/>
      <x:c r="U200" s="81"/>
      <x:c r="V200" s="81"/>
      <x:c r="W200" s="81"/>
      <x:c r="X200" s="81"/>
      <x:c r="Y200" s="81"/>
      <x:c r="Z200" s="81"/>
    </x:row>
    <x:row r="201">
      <x:c r="A201" s="81"/>
      <x:c r="B201" s="81"/>
      <x:c r="C201" s="81"/>
      <x:c r="D201" s="81"/>
      <x:c r="E201" s="81"/>
      <x:c r="F201" s="81"/>
      <x:c r="G201" s="81"/>
      <x:c r="H201" s="81"/>
      <x:c r="I201" s="81"/>
      <x:c r="J201" s="81"/>
      <x:c r="K201" s="81"/>
      <x:c r="L201" s="81"/>
      <x:c r="M201" s="81"/>
      <x:c r="N201" s="81"/>
      <x:c r="O201" s="81"/>
      <x:c r="P201" s="81"/>
      <x:c r="Q201" s="81"/>
      <x:c r="R201" s="81"/>
      <x:c r="S201" s="81"/>
      <x:c r="T201" s="81"/>
      <x:c r="U201" s="81"/>
      <x:c r="V201" s="81"/>
      <x:c r="W201" s="81"/>
      <x:c r="X201" s="81"/>
      <x:c r="Y201" s="81"/>
      <x:c r="Z201" s="81"/>
    </x:row>
    <x:row r="202">
      <x:c r="A202" s="81"/>
      <x:c r="B202" s="81"/>
      <x:c r="C202" s="81"/>
      <x:c r="D202" s="81"/>
      <x:c r="E202" s="81"/>
      <x:c r="F202" s="81"/>
      <x:c r="G202" s="81"/>
      <x:c r="H202" s="81"/>
      <x:c r="I202" s="81"/>
      <x:c r="J202" s="81"/>
      <x:c r="K202" s="81"/>
      <x:c r="L202" s="81"/>
      <x:c r="M202" s="81"/>
      <x:c r="N202" s="81"/>
      <x:c r="O202" s="81"/>
      <x:c r="P202" s="81"/>
      <x:c r="Q202" s="81"/>
      <x:c r="R202" s="81"/>
      <x:c r="S202" s="81"/>
      <x:c r="T202" s="81"/>
      <x:c r="U202" s="81"/>
      <x:c r="V202" s="81"/>
      <x:c r="W202" s="81"/>
      <x:c r="X202" s="81"/>
      <x:c r="Y202" s="81"/>
      <x:c r="Z202" s="81"/>
    </x:row>
    <x:row r="203">
      <x:c r="A203" s="81"/>
      <x:c r="B203" s="81"/>
      <x:c r="C203" s="81"/>
      <x:c r="D203" s="81"/>
      <x:c r="E203" s="81"/>
      <x:c r="F203" s="81"/>
      <x:c r="G203" s="81"/>
      <x:c r="H203" s="81"/>
      <x:c r="I203" s="81"/>
      <x:c r="J203" s="81"/>
      <x:c r="K203" s="81"/>
      <x:c r="L203" s="81"/>
      <x:c r="M203" s="81"/>
      <x:c r="N203" s="81"/>
      <x:c r="O203" s="81"/>
      <x:c r="P203" s="81"/>
      <x:c r="Q203" s="81"/>
      <x:c r="R203" s="81"/>
      <x:c r="S203" s="81"/>
      <x:c r="T203" s="81"/>
      <x:c r="U203" s="81"/>
      <x:c r="V203" s="81"/>
      <x:c r="W203" s="81"/>
      <x:c r="X203" s="81"/>
      <x:c r="Y203" s="81"/>
      <x:c r="Z203" s="81"/>
    </x:row>
    <x:row r="204">
      <x:c r="A204" s="81"/>
      <x:c r="B204" s="81"/>
      <x:c r="C204" s="81"/>
      <x:c r="D204" s="81"/>
      <x:c r="E204" s="81"/>
      <x:c r="F204" s="81"/>
      <x:c r="G204" s="81"/>
      <x:c r="H204" s="81"/>
      <x:c r="I204" s="81"/>
      <x:c r="J204" s="81"/>
      <x:c r="K204" s="81"/>
      <x:c r="L204" s="81"/>
      <x:c r="M204" s="81"/>
      <x:c r="N204" s="81"/>
      <x:c r="O204" s="81"/>
      <x:c r="P204" s="81"/>
      <x:c r="Q204" s="81"/>
      <x:c r="R204" s="81"/>
      <x:c r="S204" s="81"/>
      <x:c r="T204" s="81"/>
      <x:c r="U204" s="81"/>
      <x:c r="V204" s="81"/>
      <x:c r="W204" s="81"/>
      <x:c r="X204" s="81"/>
      <x:c r="Y204" s="81"/>
      <x:c r="Z204" s="81"/>
    </x:row>
    <x:row r="205">
      <x:c r="A205" s="81"/>
      <x:c r="B205" s="81"/>
      <x:c r="C205" s="81"/>
      <x:c r="D205" s="81"/>
      <x:c r="E205" s="81"/>
      <x:c r="F205" s="81"/>
      <x:c r="G205" s="81"/>
      <x:c r="H205" s="81"/>
      <x:c r="I205" s="81"/>
      <x:c r="J205" s="81"/>
      <x:c r="K205" s="81"/>
      <x:c r="L205" s="81"/>
      <x:c r="M205" s="81"/>
      <x:c r="N205" s="81"/>
      <x:c r="O205" s="81"/>
      <x:c r="P205" s="81"/>
      <x:c r="Q205" s="81"/>
      <x:c r="R205" s="81"/>
      <x:c r="S205" s="81"/>
      <x:c r="T205" s="81"/>
      <x:c r="U205" s="81"/>
      <x:c r="V205" s="81"/>
      <x:c r="W205" s="81"/>
      <x:c r="X205" s="81"/>
      <x:c r="Y205" s="81"/>
      <x:c r="Z205" s="81"/>
    </x:row>
    <x:row r="206">
      <x:c r="A206" s="81"/>
      <x:c r="B206" s="81"/>
      <x:c r="C206" s="81"/>
      <x:c r="D206" s="81"/>
      <x:c r="E206" s="81"/>
      <x:c r="F206" s="81"/>
      <x:c r="G206" s="81"/>
      <x:c r="H206" s="81"/>
      <x:c r="I206" s="81"/>
      <x:c r="J206" s="81"/>
      <x:c r="K206" s="81"/>
      <x:c r="L206" s="81"/>
      <x:c r="M206" s="81"/>
      <x:c r="N206" s="81"/>
      <x:c r="O206" s="81"/>
      <x:c r="P206" s="81"/>
      <x:c r="Q206" s="81"/>
      <x:c r="R206" s="81"/>
      <x:c r="S206" s="81"/>
      <x:c r="T206" s="81"/>
      <x:c r="U206" s="81"/>
      <x:c r="V206" s="81"/>
      <x:c r="W206" s="81"/>
      <x:c r="X206" s="81"/>
      <x:c r="Y206" s="81"/>
      <x:c r="Z206" s="81"/>
    </x:row>
    <x:row r="207">
      <x:c r="A207" s="81"/>
      <x:c r="B207" s="81"/>
      <x:c r="C207" s="81"/>
      <x:c r="D207" s="81"/>
      <x:c r="E207" s="81"/>
      <x:c r="F207" s="81"/>
      <x:c r="G207" s="81"/>
      <x:c r="H207" s="81"/>
      <x:c r="I207" s="81"/>
      <x:c r="J207" s="81"/>
      <x:c r="K207" s="81"/>
      <x:c r="L207" s="81"/>
      <x:c r="M207" s="81"/>
      <x:c r="N207" s="81"/>
      <x:c r="O207" s="81"/>
      <x:c r="P207" s="81"/>
      <x:c r="Q207" s="81"/>
      <x:c r="R207" s="81"/>
      <x:c r="S207" s="81"/>
      <x:c r="T207" s="81"/>
      <x:c r="U207" s="81"/>
      <x:c r="V207" s="81"/>
      <x:c r="W207" s="81"/>
      <x:c r="X207" s="81"/>
      <x:c r="Y207" s="81"/>
      <x:c r="Z207" s="81"/>
    </x:row>
    <x:row r="208">
      <x:c r="A208" s="81"/>
      <x:c r="B208" s="81"/>
      <x:c r="C208" s="81"/>
      <x:c r="D208" s="81"/>
      <x:c r="E208" s="81"/>
      <x:c r="F208" s="81"/>
      <x:c r="G208" s="81"/>
      <x:c r="H208" s="81"/>
      <x:c r="I208" s="81"/>
      <x:c r="J208" s="81"/>
      <x:c r="K208" s="81"/>
      <x:c r="L208" s="81"/>
      <x:c r="M208" s="81"/>
      <x:c r="N208" s="81"/>
      <x:c r="O208" s="81"/>
      <x:c r="P208" s="81"/>
      <x:c r="Q208" s="81"/>
      <x:c r="R208" s="81"/>
      <x:c r="S208" s="81"/>
      <x:c r="T208" s="81"/>
      <x:c r="U208" s="81"/>
      <x:c r="V208" s="81"/>
      <x:c r="W208" s="81"/>
      <x:c r="X208" s="81"/>
      <x:c r="Y208" s="81"/>
      <x:c r="Z208" s="81"/>
    </x:row>
    <x:row r="209">
      <x:c r="A209" s="81"/>
      <x:c r="B209" s="81"/>
      <x:c r="C209" s="81"/>
      <x:c r="D209" s="81"/>
      <x:c r="E209" s="81"/>
      <x:c r="F209" s="81"/>
      <x:c r="G209" s="81"/>
      <x:c r="H209" s="81"/>
      <x:c r="I209" s="81"/>
      <x:c r="J209" s="81"/>
      <x:c r="K209" s="81"/>
      <x:c r="L209" s="81"/>
      <x:c r="M209" s="81"/>
      <x:c r="N209" s="81"/>
      <x:c r="O209" s="81"/>
      <x:c r="P209" s="81"/>
      <x:c r="Q209" s="81"/>
      <x:c r="R209" s="81"/>
      <x:c r="S209" s="81"/>
      <x:c r="T209" s="81"/>
      <x:c r="U209" s="81"/>
      <x:c r="V209" s="81"/>
      <x:c r="W209" s="81"/>
      <x:c r="X209" s="81"/>
      <x:c r="Y209" s="81"/>
      <x:c r="Z209" s="81"/>
    </x:row>
    <x:row r="210">
      <x:c r="A210" s="81"/>
      <x:c r="B210" s="81"/>
      <x:c r="C210" s="81"/>
      <x:c r="D210" s="81"/>
      <x:c r="E210" s="81"/>
      <x:c r="F210" s="81"/>
      <x:c r="G210" s="81"/>
      <x:c r="H210" s="81"/>
      <x:c r="I210" s="81"/>
      <x:c r="J210" s="81"/>
      <x:c r="K210" s="81"/>
      <x:c r="L210" s="81"/>
      <x:c r="M210" s="81"/>
      <x:c r="N210" s="81"/>
      <x:c r="O210" s="81"/>
      <x:c r="P210" s="81"/>
      <x:c r="Q210" s="81"/>
      <x:c r="R210" s="81"/>
      <x:c r="S210" s="81"/>
      <x:c r="T210" s="81"/>
      <x:c r="U210" s="81"/>
      <x:c r="V210" s="81"/>
      <x:c r="W210" s="81"/>
      <x:c r="X210" s="81"/>
      <x:c r="Y210" s="81"/>
      <x:c r="Z210" s="81"/>
    </x:row>
    <x:row r="211">
      <x:c r="A211" s="81"/>
      <x:c r="B211" s="81"/>
      <x:c r="C211" s="81"/>
      <x:c r="D211" s="81"/>
      <x:c r="E211" s="81"/>
      <x:c r="F211" s="81"/>
      <x:c r="G211" s="81"/>
      <x:c r="H211" s="81"/>
      <x:c r="I211" s="81"/>
      <x:c r="J211" s="81"/>
      <x:c r="K211" s="81"/>
      <x:c r="L211" s="81"/>
      <x:c r="M211" s="81"/>
      <x:c r="N211" s="81"/>
      <x:c r="O211" s="81"/>
      <x:c r="P211" s="81"/>
      <x:c r="Q211" s="81"/>
      <x:c r="R211" s="81"/>
      <x:c r="S211" s="81"/>
      <x:c r="T211" s="81"/>
      <x:c r="U211" s="81"/>
      <x:c r="V211" s="81"/>
      <x:c r="W211" s="81"/>
      <x:c r="X211" s="81"/>
      <x:c r="Y211" s="81"/>
      <x:c r="Z211" s="81"/>
    </x:row>
    <x:row r="212">
      <x:c r="A212" s="81"/>
      <x:c r="B212" s="81"/>
      <x:c r="C212" s="81"/>
      <x:c r="D212" s="81"/>
      <x:c r="E212" s="81"/>
      <x:c r="F212" s="81"/>
      <x:c r="G212" s="81"/>
      <x:c r="H212" s="81"/>
      <x:c r="I212" s="81"/>
      <x:c r="J212" s="81"/>
      <x:c r="K212" s="81"/>
      <x:c r="L212" s="81"/>
      <x:c r="M212" s="81"/>
      <x:c r="N212" s="81"/>
      <x:c r="O212" s="81"/>
      <x:c r="P212" s="81"/>
      <x:c r="Q212" s="81"/>
      <x:c r="R212" s="81"/>
      <x:c r="S212" s="81"/>
      <x:c r="T212" s="81"/>
      <x:c r="U212" s="81"/>
      <x:c r="V212" s="81"/>
      <x:c r="W212" s="81"/>
      <x:c r="X212" s="81"/>
      <x:c r="Y212" s="81"/>
      <x:c r="Z212" s="81"/>
    </x:row>
    <x:row r="213">
      <x:c r="A213" s="81"/>
      <x:c r="B213" s="81"/>
      <x:c r="C213" s="81"/>
      <x:c r="D213" s="81"/>
      <x:c r="E213" s="81"/>
      <x:c r="F213" s="81"/>
      <x:c r="G213" s="81"/>
      <x:c r="H213" s="81"/>
      <x:c r="I213" s="81"/>
      <x:c r="J213" s="81"/>
      <x:c r="K213" s="81"/>
      <x:c r="L213" s="81"/>
      <x:c r="M213" s="81"/>
      <x:c r="N213" s="81"/>
      <x:c r="O213" s="81"/>
      <x:c r="P213" s="81"/>
      <x:c r="Q213" s="81"/>
      <x:c r="R213" s="81"/>
      <x:c r="S213" s="81"/>
      <x:c r="T213" s="81"/>
      <x:c r="U213" s="81"/>
      <x:c r="V213" s="81"/>
      <x:c r="W213" s="81"/>
      <x:c r="X213" s="81"/>
      <x:c r="Y213" s="81"/>
      <x:c r="Z213" s="81"/>
    </x:row>
    <x:row r="214">
      <x:c r="A214" s="81"/>
      <x:c r="B214" s="81"/>
      <x:c r="C214" s="81"/>
      <x:c r="D214" s="81"/>
      <x:c r="E214" s="81"/>
      <x:c r="F214" s="81"/>
      <x:c r="G214" s="81"/>
      <x:c r="H214" s="81"/>
      <x:c r="I214" s="81"/>
      <x:c r="J214" s="81"/>
      <x:c r="K214" s="81"/>
      <x:c r="L214" s="81"/>
      <x:c r="M214" s="81"/>
      <x:c r="N214" s="81"/>
      <x:c r="O214" s="81"/>
      <x:c r="P214" s="81"/>
      <x:c r="Q214" s="81"/>
      <x:c r="R214" s="81"/>
      <x:c r="S214" s="81"/>
      <x:c r="T214" s="81"/>
      <x:c r="U214" s="81"/>
      <x:c r="V214" s="81"/>
      <x:c r="W214" s="81"/>
      <x:c r="X214" s="81"/>
      <x:c r="Y214" s="81"/>
      <x:c r="Z214" s="81"/>
    </x:row>
    <x:row r="215">
      <x:c r="A215" s="81"/>
      <x:c r="B215" s="81"/>
      <x:c r="C215" s="81"/>
      <x:c r="D215" s="81"/>
      <x:c r="E215" s="81"/>
      <x:c r="F215" s="81"/>
      <x:c r="G215" s="81"/>
      <x:c r="H215" s="81"/>
      <x:c r="I215" s="81"/>
      <x:c r="J215" s="81"/>
      <x:c r="K215" s="81"/>
      <x:c r="L215" s="81"/>
      <x:c r="M215" s="81"/>
      <x:c r="N215" s="81"/>
      <x:c r="O215" s="81"/>
      <x:c r="P215" s="81"/>
      <x:c r="Q215" s="81"/>
      <x:c r="R215" s="81"/>
      <x:c r="S215" s="81"/>
      <x:c r="T215" s="81"/>
      <x:c r="U215" s="81"/>
      <x:c r="V215" s="81"/>
      <x:c r="W215" s="81"/>
      <x:c r="X215" s="81"/>
      <x:c r="Y215" s="81"/>
      <x:c r="Z215" s="81"/>
    </x:row>
    <x:row r="216">
      <x:c r="A216" s="81"/>
      <x:c r="B216" s="81"/>
      <x:c r="C216" s="81"/>
      <x:c r="D216" s="81"/>
      <x:c r="E216" s="81"/>
      <x:c r="F216" s="81"/>
      <x:c r="G216" s="81"/>
      <x:c r="H216" s="81"/>
      <x:c r="I216" s="81"/>
      <x:c r="J216" s="81"/>
      <x:c r="K216" s="81"/>
      <x:c r="L216" s="81"/>
      <x:c r="M216" s="81"/>
      <x:c r="N216" s="81"/>
      <x:c r="O216" s="81"/>
      <x:c r="P216" s="81"/>
      <x:c r="Q216" s="81"/>
      <x:c r="R216" s="81"/>
      <x:c r="S216" s="81"/>
      <x:c r="T216" s="81"/>
      <x:c r="U216" s="81"/>
      <x:c r="V216" s="81"/>
      <x:c r="W216" s="81"/>
      <x:c r="X216" s="81"/>
      <x:c r="Y216" s="81"/>
      <x:c r="Z216" s="81"/>
    </x:row>
    <x:row r="217">
      <x:c r="A217" s="81"/>
      <x:c r="B217" s="81"/>
      <x:c r="C217" s="81"/>
      <x:c r="D217" s="81"/>
      <x:c r="E217" s="81"/>
      <x:c r="F217" s="81"/>
      <x:c r="G217" s="81"/>
      <x:c r="H217" s="81"/>
      <x:c r="I217" s="81"/>
      <x:c r="J217" s="81"/>
      <x:c r="K217" s="81"/>
      <x:c r="L217" s="81"/>
      <x:c r="M217" s="81"/>
      <x:c r="N217" s="81"/>
      <x:c r="O217" s="81"/>
      <x:c r="P217" s="81"/>
      <x:c r="Q217" s="81"/>
      <x:c r="R217" s="81"/>
      <x:c r="S217" s="81"/>
      <x:c r="T217" s="81"/>
      <x:c r="U217" s="81"/>
      <x:c r="V217" s="81"/>
      <x:c r="W217" s="81"/>
      <x:c r="X217" s="81"/>
      <x:c r="Y217" s="81"/>
      <x:c r="Z217" s="81"/>
    </x:row>
    <x:row r="218">
      <x:c r="A218" s="81"/>
      <x:c r="B218" s="81"/>
      <x:c r="C218" s="81"/>
      <x:c r="D218" s="81"/>
      <x:c r="E218" s="81"/>
      <x:c r="F218" s="81"/>
      <x:c r="G218" s="81"/>
      <x:c r="H218" s="81"/>
      <x:c r="I218" s="81"/>
      <x:c r="J218" s="81"/>
      <x:c r="K218" s="81"/>
      <x:c r="L218" s="81"/>
      <x:c r="M218" s="81"/>
      <x:c r="N218" s="81"/>
      <x:c r="O218" s="81"/>
      <x:c r="P218" s="81"/>
      <x:c r="Q218" s="81"/>
      <x:c r="R218" s="81"/>
      <x:c r="S218" s="81"/>
      <x:c r="T218" s="81"/>
      <x:c r="U218" s="81"/>
      <x:c r="V218" s="81"/>
      <x:c r="W218" s="81"/>
      <x:c r="X218" s="81"/>
      <x:c r="Y218" s="81"/>
      <x:c r="Z218" s="81"/>
    </x:row>
    <x:row r="219">
      <x:c r="A219" s="81"/>
      <x:c r="B219" s="81"/>
      <x:c r="C219" s="81"/>
      <x:c r="D219" s="81"/>
      <x:c r="E219" s="81"/>
      <x:c r="F219" s="81"/>
      <x:c r="G219" s="81"/>
      <x:c r="H219" s="81"/>
      <x:c r="I219" s="81"/>
      <x:c r="J219" s="81"/>
      <x:c r="K219" s="81"/>
      <x:c r="L219" s="81"/>
      <x:c r="M219" s="81"/>
      <x:c r="N219" s="81"/>
      <x:c r="O219" s="81"/>
      <x:c r="P219" s="81"/>
      <x:c r="Q219" s="81"/>
      <x:c r="R219" s="81"/>
      <x:c r="S219" s="81"/>
      <x:c r="T219" s="81"/>
      <x:c r="U219" s="81"/>
      <x:c r="V219" s="81"/>
      <x:c r="W219" s="81"/>
      <x:c r="X219" s="81"/>
      <x:c r="Y219" s="81"/>
      <x:c r="Z219" s="81"/>
    </x:row>
    <x:row r="220">
      <x:c r="A220" s="81"/>
      <x:c r="B220" s="81"/>
      <x:c r="C220" s="81"/>
      <x:c r="D220" s="81"/>
      <x:c r="E220" s="81"/>
      <x:c r="F220" s="81"/>
      <x:c r="G220" s="81"/>
      <x:c r="H220" s="81"/>
      <x:c r="I220" s="81"/>
      <x:c r="J220" s="81"/>
      <x:c r="K220" s="81"/>
      <x:c r="L220" s="81"/>
      <x:c r="M220" s="81"/>
      <x:c r="N220" s="81"/>
      <x:c r="O220" s="81"/>
      <x:c r="P220" s="81"/>
      <x:c r="Q220" s="81"/>
      <x:c r="R220" s="81"/>
      <x:c r="S220" s="81"/>
      <x:c r="T220" s="81"/>
      <x:c r="U220" s="81"/>
      <x:c r="V220" s="81"/>
      <x:c r="W220" s="81"/>
      <x:c r="X220" s="81"/>
      <x:c r="Y220" s="81"/>
      <x:c r="Z220" s="81"/>
    </x:row>
    <x:row r="221">
      <x:c r="A221" s="81"/>
      <x:c r="B221" s="81"/>
      <x:c r="C221" s="81"/>
      <x:c r="D221" s="81"/>
      <x:c r="E221" s="81"/>
      <x:c r="F221" s="81"/>
      <x:c r="G221" s="81"/>
      <x:c r="H221" s="81"/>
      <x:c r="I221" s="81"/>
      <x:c r="J221" s="81"/>
      <x:c r="K221" s="81"/>
      <x:c r="L221" s="81"/>
      <x:c r="M221" s="81"/>
      <x:c r="N221" s="81"/>
      <x:c r="O221" s="81"/>
      <x:c r="P221" s="81"/>
      <x:c r="Q221" s="81"/>
      <x:c r="R221" s="81"/>
      <x:c r="S221" s="81"/>
      <x:c r="T221" s="81"/>
      <x:c r="U221" s="81"/>
      <x:c r="V221" s="81"/>
      <x:c r="W221" s="81"/>
      <x:c r="X221" s="81"/>
      <x:c r="Y221" s="81"/>
      <x:c r="Z221" s="81"/>
    </x:row>
    <x:row r="222">
      <x:c r="A222" s="81"/>
      <x:c r="B222" s="81"/>
      <x:c r="C222" s="81"/>
      <x:c r="D222" s="81"/>
      <x:c r="E222" s="81"/>
      <x:c r="F222" s="81"/>
      <x:c r="G222" s="81"/>
      <x:c r="H222" s="81"/>
      <x:c r="I222" s="81"/>
      <x:c r="J222" s="81"/>
      <x:c r="K222" s="81"/>
      <x:c r="L222" s="81"/>
      <x:c r="M222" s="81"/>
      <x:c r="N222" s="81"/>
      <x:c r="O222" s="81"/>
      <x:c r="P222" s="81"/>
      <x:c r="Q222" s="81"/>
      <x:c r="R222" s="81"/>
      <x:c r="S222" s="81"/>
      <x:c r="T222" s="81"/>
      <x:c r="U222" s="81"/>
      <x:c r="V222" s="81"/>
      <x:c r="W222" s="81"/>
      <x:c r="X222" s="81"/>
      <x:c r="Y222" s="81"/>
      <x:c r="Z222" s="81"/>
    </x:row>
    <x:row r="223">
      <x:c r="A223" s="81"/>
      <x:c r="B223" s="81"/>
      <x:c r="C223" s="81"/>
      <x:c r="D223" s="81"/>
      <x:c r="E223" s="81"/>
      <x:c r="F223" s="81"/>
      <x:c r="G223" s="81"/>
      <x:c r="H223" s="81"/>
      <x:c r="I223" s="81"/>
      <x:c r="J223" s="81"/>
      <x:c r="K223" s="81"/>
      <x:c r="L223" s="81"/>
      <x:c r="M223" s="81"/>
      <x:c r="N223" s="81"/>
      <x:c r="O223" s="81"/>
      <x:c r="P223" s="81"/>
      <x:c r="Q223" s="81"/>
      <x:c r="R223" s="81"/>
      <x:c r="S223" s="81"/>
      <x:c r="T223" s="81"/>
      <x:c r="U223" s="81"/>
      <x:c r="V223" s="81"/>
      <x:c r="W223" s="81"/>
      <x:c r="X223" s="81"/>
      <x:c r="Y223" s="81"/>
      <x:c r="Z223" s="81"/>
    </x:row>
    <x:row r="224">
      <x:c r="A224" s="81"/>
      <x:c r="B224" s="81"/>
      <x:c r="C224" s="81"/>
      <x:c r="D224" s="81"/>
      <x:c r="E224" s="81"/>
      <x:c r="F224" s="81"/>
      <x:c r="G224" s="81"/>
      <x:c r="H224" s="81"/>
      <x:c r="I224" s="81"/>
      <x:c r="J224" s="81"/>
      <x:c r="K224" s="81"/>
      <x:c r="L224" s="81"/>
      <x:c r="M224" s="81"/>
      <x:c r="N224" s="81"/>
      <x:c r="O224" s="81"/>
      <x:c r="P224" s="81"/>
      <x:c r="Q224" s="81"/>
      <x:c r="R224" s="81"/>
      <x:c r="S224" s="81"/>
      <x:c r="T224" s="81"/>
      <x:c r="U224" s="81"/>
      <x:c r="V224" s="81"/>
      <x:c r="W224" s="81"/>
      <x:c r="X224" s="81"/>
      <x:c r="Y224" s="81"/>
      <x:c r="Z224" s="81"/>
    </x:row>
    <x:row r="225">
      <x:c r="A225" s="81"/>
      <x:c r="B225" s="81"/>
      <x:c r="C225" s="81"/>
      <x:c r="D225" s="81"/>
      <x:c r="E225" s="81"/>
      <x:c r="F225" s="81"/>
      <x:c r="G225" s="81"/>
      <x:c r="H225" s="81"/>
      <x:c r="I225" s="81"/>
      <x:c r="J225" s="81"/>
      <x:c r="K225" s="81"/>
      <x:c r="L225" s="81"/>
      <x:c r="M225" s="81"/>
      <x:c r="N225" s="81"/>
      <x:c r="O225" s="81"/>
      <x:c r="P225" s="81"/>
      <x:c r="Q225" s="81"/>
      <x:c r="R225" s="81"/>
      <x:c r="S225" s="81"/>
      <x:c r="T225" s="81"/>
      <x:c r="U225" s="81"/>
      <x:c r="V225" s="81"/>
      <x:c r="W225" s="81"/>
      <x:c r="X225" s="81"/>
      <x:c r="Y225" s="81"/>
      <x:c r="Z225" s="81"/>
    </x:row>
    <x:row r="226">
      <x:c r="A226" s="81"/>
      <x:c r="B226" s="81"/>
      <x:c r="C226" s="81"/>
      <x:c r="D226" s="81"/>
      <x:c r="E226" s="81"/>
      <x:c r="F226" s="81"/>
      <x:c r="G226" s="81"/>
      <x:c r="H226" s="81"/>
      <x:c r="I226" s="81"/>
      <x:c r="J226" s="81"/>
      <x:c r="K226" s="81"/>
      <x:c r="L226" s="81"/>
      <x:c r="M226" s="81"/>
      <x:c r="N226" s="81"/>
      <x:c r="O226" s="81"/>
      <x:c r="P226" s="81"/>
      <x:c r="Q226" s="81"/>
      <x:c r="R226" s="81"/>
      <x:c r="S226" s="81"/>
      <x:c r="T226" s="81"/>
      <x:c r="U226" s="81"/>
      <x:c r="V226" s="81"/>
      <x:c r="W226" s="81"/>
      <x:c r="X226" s="81"/>
      <x:c r="Y226" s="81"/>
      <x:c r="Z226" s="81"/>
    </x:row>
    <x:row r="227">
      <x:c r="A227" s="81"/>
      <x:c r="B227" s="81"/>
      <x:c r="C227" s="81"/>
      <x:c r="D227" s="81"/>
      <x:c r="E227" s="81"/>
      <x:c r="F227" s="81"/>
      <x:c r="G227" s="81"/>
      <x:c r="H227" s="81"/>
      <x:c r="I227" s="81"/>
      <x:c r="J227" s="81"/>
      <x:c r="K227" s="81"/>
      <x:c r="L227" s="81"/>
      <x:c r="M227" s="81"/>
      <x:c r="N227" s="81"/>
      <x:c r="O227" s="81"/>
      <x:c r="P227" s="81"/>
      <x:c r="Q227" s="81"/>
      <x:c r="R227" s="81"/>
      <x:c r="S227" s="81"/>
      <x:c r="T227" s="81"/>
      <x:c r="U227" s="81"/>
      <x:c r="V227" s="81"/>
      <x:c r="W227" s="81"/>
      <x:c r="X227" s="81"/>
      <x:c r="Y227" s="81"/>
      <x:c r="Z227" s="81"/>
    </x:row>
    <x:row r="228">
      <x:c r="A228" s="81"/>
      <x:c r="B228" s="81"/>
      <x:c r="C228" s="81"/>
      <x:c r="D228" s="81"/>
      <x:c r="E228" s="81"/>
      <x:c r="F228" s="81"/>
      <x:c r="G228" s="81"/>
      <x:c r="H228" s="81"/>
      <x:c r="I228" s="81"/>
      <x:c r="J228" s="81"/>
      <x:c r="K228" s="81"/>
      <x:c r="L228" s="81"/>
      <x:c r="M228" s="81"/>
      <x:c r="N228" s="81"/>
      <x:c r="O228" s="81"/>
      <x:c r="P228" s="81"/>
      <x:c r="Q228" s="81"/>
      <x:c r="R228" s="81"/>
      <x:c r="S228" s="81"/>
      <x:c r="T228" s="81"/>
      <x:c r="U228" s="81"/>
      <x:c r="V228" s="81"/>
      <x:c r="W228" s="81"/>
      <x:c r="X228" s="81"/>
      <x:c r="Y228" s="81"/>
      <x:c r="Z228" s="81"/>
    </x:row>
    <x:row r="229">
      <x:c r="A229" s="81"/>
      <x:c r="B229" s="81"/>
      <x:c r="C229" s="81"/>
      <x:c r="D229" s="81"/>
      <x:c r="E229" s="81"/>
      <x:c r="F229" s="81"/>
      <x:c r="G229" s="81"/>
      <x:c r="H229" s="81"/>
      <x:c r="I229" s="81"/>
      <x:c r="J229" s="81"/>
      <x:c r="K229" s="81"/>
      <x:c r="L229" s="81"/>
      <x:c r="M229" s="81"/>
      <x:c r="N229" s="81"/>
      <x:c r="O229" s="81"/>
      <x:c r="P229" s="81"/>
      <x:c r="Q229" s="81"/>
      <x:c r="R229" s="81"/>
      <x:c r="S229" s="81"/>
      <x:c r="T229" s="81"/>
      <x:c r="U229" s="81"/>
      <x:c r="V229" s="81"/>
      <x:c r="W229" s="81"/>
      <x:c r="X229" s="81"/>
      <x:c r="Y229" s="81"/>
      <x:c r="Z229" s="81"/>
    </x:row>
    <x:row r="230">
      <x:c r="A230" s="81"/>
      <x:c r="B230" s="81"/>
      <x:c r="C230" s="81"/>
      <x:c r="D230" s="81"/>
      <x:c r="E230" s="81"/>
      <x:c r="F230" s="81"/>
      <x:c r="G230" s="81"/>
      <x:c r="H230" s="81"/>
      <x:c r="I230" s="81"/>
      <x:c r="J230" s="81"/>
      <x:c r="K230" s="81"/>
      <x:c r="L230" s="81"/>
      <x:c r="M230" s="81"/>
      <x:c r="N230" s="81"/>
      <x:c r="O230" s="81"/>
      <x:c r="P230" s="81"/>
      <x:c r="Q230" s="81"/>
      <x:c r="R230" s="81"/>
      <x:c r="S230" s="81"/>
      <x:c r="T230" s="81"/>
      <x:c r="U230" s="81"/>
      <x:c r="V230" s="81"/>
      <x:c r="W230" s="81"/>
      <x:c r="X230" s="81"/>
      <x:c r="Y230" s="81"/>
      <x:c r="Z230" s="81"/>
    </x:row>
    <x:row r="231">
      <x:c r="A231" s="81"/>
      <x:c r="B231" s="81"/>
      <x:c r="C231" s="81"/>
      <x:c r="D231" s="81"/>
      <x:c r="E231" s="81"/>
      <x:c r="F231" s="81"/>
      <x:c r="G231" s="81"/>
      <x:c r="H231" s="81"/>
      <x:c r="I231" s="81"/>
      <x:c r="J231" s="81"/>
      <x:c r="K231" s="81"/>
      <x:c r="L231" s="81"/>
      <x:c r="M231" s="81"/>
      <x:c r="N231" s="81"/>
      <x:c r="O231" s="81"/>
      <x:c r="P231" s="81"/>
      <x:c r="Q231" s="81"/>
      <x:c r="R231" s="81"/>
      <x:c r="S231" s="81"/>
      <x:c r="T231" s="81"/>
      <x:c r="U231" s="81"/>
      <x:c r="V231" s="81"/>
      <x:c r="W231" s="81"/>
      <x:c r="X231" s="81"/>
      <x:c r="Y231" s="81"/>
      <x:c r="Z231" s="81"/>
    </x:row>
    <x:row r="232">
      <x:c r="A232" s="81"/>
      <x:c r="B232" s="81"/>
      <x:c r="C232" s="81"/>
      <x:c r="D232" s="81"/>
      <x:c r="E232" s="81"/>
      <x:c r="F232" s="81"/>
      <x:c r="G232" s="81"/>
      <x:c r="H232" s="81"/>
      <x:c r="I232" s="81"/>
      <x:c r="J232" s="81"/>
      <x:c r="K232" s="81"/>
      <x:c r="L232" s="81"/>
      <x:c r="M232" s="81"/>
      <x:c r="N232" s="81"/>
      <x:c r="O232" s="81"/>
      <x:c r="P232" s="81"/>
      <x:c r="Q232" s="81"/>
      <x:c r="R232" s="81"/>
      <x:c r="S232" s="81"/>
      <x:c r="T232" s="81"/>
      <x:c r="U232" s="81"/>
      <x:c r="V232" s="81"/>
      <x:c r="W232" s="81"/>
      <x:c r="X232" s="81"/>
      <x:c r="Y232" s="81"/>
      <x:c r="Z232" s="81"/>
    </x:row>
    <x:row r="233">
      <x:c r="A233" s="81"/>
      <x:c r="B233" s="81"/>
      <x:c r="C233" s="81"/>
      <x:c r="D233" s="81"/>
      <x:c r="E233" s="81"/>
      <x:c r="F233" s="81"/>
      <x:c r="G233" s="81"/>
      <x:c r="H233" s="81"/>
      <x:c r="I233" s="81"/>
      <x:c r="J233" s="81"/>
      <x:c r="K233" s="81"/>
      <x:c r="L233" s="81"/>
      <x:c r="M233" s="81"/>
      <x:c r="N233" s="81"/>
      <x:c r="O233" s="81"/>
      <x:c r="P233" s="81"/>
      <x:c r="Q233" s="81"/>
      <x:c r="R233" s="81"/>
      <x:c r="S233" s="81"/>
      <x:c r="T233" s="81"/>
      <x:c r="U233" s="81"/>
      <x:c r="V233" s="81"/>
      <x:c r="W233" s="81"/>
      <x:c r="X233" s="81"/>
      <x:c r="Y233" s="81"/>
      <x:c r="Z233" s="81"/>
    </x:row>
    <x:row r="234">
      <x:c r="A234" s="81"/>
      <x:c r="B234" s="81"/>
      <x:c r="C234" s="81"/>
      <x:c r="D234" s="81"/>
      <x:c r="E234" s="81"/>
      <x:c r="F234" s="81"/>
      <x:c r="G234" s="81"/>
      <x:c r="H234" s="81"/>
      <x:c r="I234" s="81"/>
      <x:c r="J234" s="81"/>
      <x:c r="K234" s="81"/>
      <x:c r="L234" s="81"/>
      <x:c r="M234" s="81"/>
      <x:c r="N234" s="81"/>
      <x:c r="O234" s="81"/>
      <x:c r="P234" s="81"/>
      <x:c r="Q234" s="81"/>
      <x:c r="R234" s="81"/>
      <x:c r="S234" s="81"/>
      <x:c r="T234" s="81"/>
      <x:c r="U234" s="81"/>
      <x:c r="V234" s="81"/>
      <x:c r="W234" s="81"/>
      <x:c r="X234" s="81"/>
      <x:c r="Y234" s="81"/>
      <x:c r="Z234" s="81"/>
    </x:row>
    <x:row r="235">
      <x:c r="A235" s="81"/>
      <x:c r="B235" s="81"/>
      <x:c r="C235" s="81"/>
      <x:c r="D235" s="81"/>
      <x:c r="E235" s="81"/>
      <x:c r="F235" s="81"/>
      <x:c r="G235" s="81"/>
      <x:c r="H235" s="81"/>
      <x:c r="I235" s="81"/>
      <x:c r="J235" s="81"/>
      <x:c r="K235" s="81"/>
      <x:c r="L235" s="81"/>
      <x:c r="M235" s="81"/>
      <x:c r="N235" s="81"/>
      <x:c r="O235" s="81"/>
      <x:c r="P235" s="81"/>
      <x:c r="Q235" s="81"/>
      <x:c r="R235" s="81"/>
      <x:c r="S235" s="81"/>
      <x:c r="T235" s="81"/>
      <x:c r="U235" s="81"/>
      <x:c r="V235" s="81"/>
      <x:c r="W235" s="81"/>
      <x:c r="X235" s="81"/>
      <x:c r="Y235" s="81"/>
      <x:c r="Z235" s="81"/>
    </x:row>
    <x:row r="236">
      <x:c r="A236" s="81"/>
      <x:c r="B236" s="81"/>
      <x:c r="C236" s="81"/>
      <x:c r="D236" s="81"/>
      <x:c r="E236" s="81"/>
      <x:c r="F236" s="81"/>
      <x:c r="G236" s="81"/>
      <x:c r="H236" s="81"/>
      <x:c r="I236" s="81"/>
      <x:c r="J236" s="81"/>
      <x:c r="K236" s="81"/>
      <x:c r="L236" s="81"/>
      <x:c r="M236" s="81"/>
      <x:c r="N236" s="81"/>
      <x:c r="O236" s="81"/>
      <x:c r="P236" s="81"/>
      <x:c r="Q236" s="81"/>
      <x:c r="R236" s="81"/>
      <x:c r="S236" s="81"/>
      <x:c r="T236" s="81"/>
      <x:c r="U236" s="81"/>
      <x:c r="V236" s="81"/>
      <x:c r="W236" s="81"/>
      <x:c r="X236" s="81"/>
      <x:c r="Y236" s="81"/>
      <x:c r="Z236" s="81"/>
    </x:row>
    <x:row r="237">
      <x:c r="A237" s="81"/>
      <x:c r="B237" s="81"/>
      <x:c r="C237" s="81"/>
      <x:c r="D237" s="81"/>
      <x:c r="E237" s="81"/>
      <x:c r="F237" s="81"/>
      <x:c r="G237" s="81"/>
      <x:c r="H237" s="81"/>
      <x:c r="I237" s="81"/>
      <x:c r="J237" s="81"/>
      <x:c r="K237" s="81"/>
      <x:c r="L237" s="81"/>
      <x:c r="M237" s="81"/>
      <x:c r="N237" s="81"/>
      <x:c r="O237" s="81"/>
      <x:c r="P237" s="81"/>
      <x:c r="Q237" s="81"/>
      <x:c r="R237" s="81"/>
      <x:c r="S237" s="81"/>
      <x:c r="T237" s="81"/>
      <x:c r="U237" s="81"/>
      <x:c r="V237" s="81"/>
      <x:c r="W237" s="81"/>
      <x:c r="X237" s="81"/>
      <x:c r="Y237" s="81"/>
      <x:c r="Z237" s="81"/>
    </x:row>
    <x:row r="238">
      <x:c r="A238" s="81"/>
      <x:c r="B238" s="81"/>
      <x:c r="C238" s="81"/>
      <x:c r="D238" s="81"/>
      <x:c r="E238" s="81"/>
      <x:c r="F238" s="81"/>
      <x:c r="G238" s="81"/>
      <x:c r="H238" s="81"/>
      <x:c r="I238" s="81"/>
      <x:c r="J238" s="81"/>
      <x:c r="K238" s="81"/>
      <x:c r="L238" s="81"/>
      <x:c r="M238" s="81"/>
      <x:c r="N238" s="81"/>
      <x:c r="O238" s="81"/>
      <x:c r="P238" s="81"/>
      <x:c r="Q238" s="81"/>
      <x:c r="R238" s="81"/>
      <x:c r="S238" s="81"/>
      <x:c r="T238" s="81"/>
      <x:c r="U238" s="81"/>
      <x:c r="V238" s="81"/>
      <x:c r="W238" s="81"/>
      <x:c r="X238" s="81"/>
      <x:c r="Y238" s="81"/>
      <x:c r="Z238" s="81"/>
    </x:row>
    <x:row r="239">
      <x:c r="A239" s="81"/>
      <x:c r="B239" s="81"/>
      <x:c r="C239" s="81"/>
      <x:c r="D239" s="81"/>
      <x:c r="E239" s="81"/>
      <x:c r="F239" s="81"/>
      <x:c r="G239" s="81"/>
      <x:c r="H239" s="81"/>
      <x:c r="I239" s="81"/>
      <x:c r="J239" s="81"/>
      <x:c r="K239" s="81"/>
      <x:c r="L239" s="81"/>
      <x:c r="M239" s="81"/>
      <x:c r="N239" s="81"/>
      <x:c r="O239" s="81"/>
      <x:c r="P239" s="81"/>
      <x:c r="Q239" s="81"/>
      <x:c r="R239" s="81"/>
      <x:c r="S239" s="81"/>
      <x:c r="T239" s="81"/>
      <x:c r="U239" s="81"/>
      <x:c r="V239" s="81"/>
      <x:c r="W239" s="81"/>
      <x:c r="X239" s="81"/>
      <x:c r="Y239" s="81"/>
      <x:c r="Z239" s="81"/>
    </x:row>
    <x:row r="240">
      <x:c r="A240" s="81"/>
      <x:c r="B240" s="81"/>
      <x:c r="C240" s="81"/>
      <x:c r="D240" s="81"/>
      <x:c r="E240" s="81"/>
      <x:c r="F240" s="81"/>
      <x:c r="G240" s="81"/>
      <x:c r="H240" s="81"/>
      <x:c r="I240" s="81"/>
      <x:c r="J240" s="81"/>
      <x:c r="K240" s="81"/>
      <x:c r="L240" s="81"/>
      <x:c r="M240" s="81"/>
      <x:c r="N240" s="81"/>
      <x:c r="O240" s="81"/>
      <x:c r="P240" s="81"/>
      <x:c r="Q240" s="81"/>
      <x:c r="R240" s="81"/>
      <x:c r="S240" s="81"/>
      <x:c r="T240" s="81"/>
      <x:c r="U240" s="81"/>
      <x:c r="V240" s="81"/>
      <x:c r="W240" s="81"/>
      <x:c r="X240" s="81"/>
      <x:c r="Y240" s="81"/>
      <x:c r="Z240" s="81"/>
    </x:row>
    <x:row r="241">
      <x:c r="A241" s="81"/>
      <x:c r="B241" s="81"/>
      <x:c r="C241" s="81"/>
      <x:c r="D241" s="81"/>
      <x:c r="E241" s="81"/>
      <x:c r="F241" s="81"/>
      <x:c r="G241" s="81"/>
      <x:c r="H241" s="81"/>
      <x:c r="I241" s="81"/>
      <x:c r="J241" s="81"/>
      <x:c r="K241" s="81"/>
      <x:c r="L241" s="81"/>
      <x:c r="M241" s="81"/>
      <x:c r="N241" s="81"/>
      <x:c r="O241" s="81"/>
      <x:c r="P241" s="81"/>
      <x:c r="Q241" s="81"/>
      <x:c r="R241" s="81"/>
      <x:c r="S241" s="81"/>
      <x:c r="T241" s="81"/>
      <x:c r="U241" s="81"/>
      <x:c r="V241" s="81"/>
      <x:c r="W241" s="81"/>
      <x:c r="X241" s="81"/>
      <x:c r="Y241" s="81"/>
      <x:c r="Z241" s="81"/>
    </x:row>
    <x:row r="242">
      <x:c r="A242" s="81"/>
      <x:c r="B242" s="81"/>
      <x:c r="C242" s="81"/>
      <x:c r="D242" s="81"/>
      <x:c r="E242" s="81"/>
      <x:c r="F242" s="81"/>
      <x:c r="G242" s="81"/>
      <x:c r="H242" s="81"/>
      <x:c r="I242" s="81"/>
      <x:c r="J242" s="81"/>
      <x:c r="K242" s="81"/>
      <x:c r="L242" s="81"/>
      <x:c r="M242" s="81"/>
      <x:c r="N242" s="81"/>
      <x:c r="O242" s="81"/>
      <x:c r="P242" s="81"/>
      <x:c r="Q242" s="81"/>
      <x:c r="R242" s="81"/>
      <x:c r="S242" s="81"/>
      <x:c r="T242" s="81"/>
      <x:c r="U242" s="81"/>
      <x:c r="V242" s="81"/>
      <x:c r="W242" s="81"/>
      <x:c r="X242" s="81"/>
      <x:c r="Y242" s="81"/>
      <x:c r="Z242" s="81"/>
    </x:row>
    <x:row r="243">
      <x:c r="A243" s="81"/>
      <x:c r="B243" s="81"/>
      <x:c r="C243" s="81"/>
      <x:c r="D243" s="81"/>
      <x:c r="E243" s="81"/>
      <x:c r="F243" s="81"/>
      <x:c r="G243" s="81"/>
      <x:c r="H243" s="81"/>
      <x:c r="I243" s="81"/>
      <x:c r="J243" s="81"/>
      <x:c r="K243" s="81"/>
      <x:c r="L243" s="81"/>
      <x:c r="M243" s="81"/>
      <x:c r="N243" s="81"/>
      <x:c r="O243" s="81"/>
      <x:c r="P243" s="81"/>
      <x:c r="Q243" s="81"/>
      <x:c r="R243" s="81"/>
      <x:c r="S243" s="81"/>
      <x:c r="T243" s="81"/>
      <x:c r="U243" s="81"/>
      <x:c r="V243" s="81"/>
      <x:c r="W243" s="81"/>
      <x:c r="X243" s="81"/>
      <x:c r="Y243" s="81"/>
      <x:c r="Z243" s="81"/>
    </x:row>
    <x:row r="244">
      <x:c r="A244" s="81"/>
      <x:c r="B244" s="81"/>
      <x:c r="C244" s="81"/>
      <x:c r="D244" s="81"/>
      <x:c r="E244" s="81"/>
      <x:c r="F244" s="81"/>
      <x:c r="G244" s="81"/>
      <x:c r="H244" s="81"/>
      <x:c r="I244" s="81"/>
      <x:c r="J244" s="81"/>
      <x:c r="K244" s="81"/>
      <x:c r="L244" s="81"/>
      <x:c r="M244" s="81"/>
      <x:c r="N244" s="81"/>
      <x:c r="O244" s="81"/>
      <x:c r="P244" s="81"/>
      <x:c r="Q244" s="81"/>
      <x:c r="R244" s="81"/>
      <x:c r="S244" s="81"/>
      <x:c r="T244" s="81"/>
      <x:c r="U244" s="81"/>
      <x:c r="V244" s="81"/>
      <x:c r="W244" s="81"/>
      <x:c r="X244" s="81"/>
      <x:c r="Y244" s="81"/>
      <x:c r="Z244" s="81"/>
    </x:row>
    <x:row r="245">
      <x:c r="A245" s="81"/>
      <x:c r="B245" s="81"/>
      <x:c r="C245" s="81"/>
      <x:c r="D245" s="81"/>
      <x:c r="E245" s="81"/>
      <x:c r="F245" s="81"/>
      <x:c r="G245" s="81"/>
      <x:c r="H245" s="81"/>
      <x:c r="I245" s="81"/>
      <x:c r="J245" s="81"/>
      <x:c r="K245" s="81"/>
      <x:c r="L245" s="81"/>
      <x:c r="M245" s="81"/>
      <x:c r="N245" s="81"/>
      <x:c r="O245" s="81"/>
      <x:c r="P245" s="81"/>
      <x:c r="Q245" s="81"/>
      <x:c r="R245" s="81"/>
      <x:c r="S245" s="81"/>
      <x:c r="T245" s="81"/>
      <x:c r="U245" s="81"/>
      <x:c r="V245" s="81"/>
      <x:c r="W245" s="81"/>
      <x:c r="X245" s="81"/>
      <x:c r="Y245" s="81"/>
      <x:c r="Z245" s="81"/>
    </x:row>
    <x:row r="246">
      <x:c r="A246" s="81"/>
      <x:c r="B246" s="81"/>
      <x:c r="C246" s="81"/>
      <x:c r="D246" s="81"/>
      <x:c r="E246" s="81"/>
      <x:c r="F246" s="81"/>
      <x:c r="G246" s="81"/>
      <x:c r="H246" s="81"/>
      <x:c r="I246" s="81"/>
      <x:c r="J246" s="81"/>
      <x:c r="K246" s="81"/>
      <x:c r="L246" s="81"/>
      <x:c r="M246" s="81"/>
      <x:c r="N246" s="81"/>
      <x:c r="O246" s="81"/>
      <x:c r="P246" s="81"/>
      <x:c r="Q246" s="81"/>
      <x:c r="R246" s="81"/>
      <x:c r="S246" s="81"/>
      <x:c r="T246" s="81"/>
      <x:c r="U246" s="81"/>
      <x:c r="V246" s="81"/>
      <x:c r="W246" s="81"/>
      <x:c r="X246" s="81"/>
      <x:c r="Y246" s="81"/>
      <x:c r="Z246" s="81"/>
    </x:row>
    <x:row r="247">
      <x:c r="A247" s="81"/>
      <x:c r="B247" s="81"/>
      <x:c r="C247" s="81"/>
      <x:c r="D247" s="81"/>
      <x:c r="E247" s="81"/>
      <x:c r="F247" s="81"/>
      <x:c r="G247" s="81"/>
      <x:c r="H247" s="81"/>
      <x:c r="I247" s="81"/>
      <x:c r="J247" s="81"/>
      <x:c r="K247" s="81"/>
      <x:c r="L247" s="81"/>
      <x:c r="M247" s="81"/>
      <x:c r="N247" s="81"/>
      <x:c r="O247" s="81"/>
      <x:c r="P247" s="81"/>
      <x:c r="Q247" s="81"/>
      <x:c r="R247" s="81"/>
      <x:c r="S247" s="81"/>
      <x:c r="T247" s="81"/>
      <x:c r="U247" s="81"/>
      <x:c r="V247" s="81"/>
      <x:c r="W247" s="81"/>
      <x:c r="X247" s="81"/>
      <x:c r="Y247" s="81"/>
      <x:c r="Z247" s="81"/>
    </x:row>
    <x:row r="248">
      <x:c r="A248" s="81"/>
      <x:c r="B248" s="81"/>
      <x:c r="C248" s="81"/>
      <x:c r="D248" s="81"/>
      <x:c r="E248" s="81"/>
      <x:c r="F248" s="81"/>
      <x:c r="G248" s="81"/>
      <x:c r="H248" s="81"/>
      <x:c r="I248" s="81"/>
      <x:c r="J248" s="81"/>
      <x:c r="K248" s="81"/>
      <x:c r="L248" s="81"/>
      <x:c r="M248" s="81"/>
      <x:c r="N248" s="81"/>
      <x:c r="O248" s="81"/>
      <x:c r="P248" s="81"/>
      <x:c r="Q248" s="81"/>
      <x:c r="R248" s="81"/>
      <x:c r="S248" s="81"/>
      <x:c r="T248" s="81"/>
      <x:c r="U248" s="81"/>
      <x:c r="V248" s="81"/>
      <x:c r="W248" s="81"/>
      <x:c r="X248" s="81"/>
      <x:c r="Y248" s="81"/>
      <x:c r="Z248" s="81"/>
    </x:row>
    <x:row r="249">
      <x:c r="A249" s="81"/>
      <x:c r="B249" s="81"/>
      <x:c r="C249" s="81"/>
      <x:c r="D249" s="81"/>
      <x:c r="E249" s="81"/>
      <x:c r="F249" s="81"/>
      <x:c r="G249" s="81"/>
      <x:c r="H249" s="81"/>
      <x:c r="I249" s="81"/>
      <x:c r="J249" s="81"/>
      <x:c r="K249" s="81"/>
      <x:c r="L249" s="81"/>
      <x:c r="M249" s="81"/>
      <x:c r="N249" s="81"/>
      <x:c r="O249" s="81"/>
      <x:c r="P249" s="81"/>
      <x:c r="Q249" s="81"/>
      <x:c r="R249" s="81"/>
      <x:c r="S249" s="81"/>
      <x:c r="T249" s="81"/>
      <x:c r="U249" s="81"/>
      <x:c r="V249" s="81"/>
      <x:c r="W249" s="81"/>
      <x:c r="X249" s="81"/>
      <x:c r="Y249" s="81"/>
      <x:c r="Z249" s="81"/>
    </x:row>
    <x:row r="250">
      <x:c r="A250" s="81"/>
      <x:c r="B250" s="81"/>
      <x:c r="C250" s="81"/>
      <x:c r="D250" s="81"/>
      <x:c r="E250" s="81"/>
      <x:c r="F250" s="81"/>
      <x:c r="G250" s="81"/>
      <x:c r="H250" s="81"/>
      <x:c r="I250" s="81"/>
      <x:c r="J250" s="81"/>
      <x:c r="K250" s="81"/>
      <x:c r="L250" s="81"/>
      <x:c r="M250" s="81"/>
      <x:c r="N250" s="81"/>
      <x:c r="O250" s="81"/>
      <x:c r="P250" s="81"/>
      <x:c r="Q250" s="81"/>
      <x:c r="R250" s="81"/>
      <x:c r="S250" s="81"/>
      <x:c r="T250" s="81"/>
      <x:c r="U250" s="81"/>
      <x:c r="V250" s="81"/>
      <x:c r="W250" s="81"/>
      <x:c r="X250" s="81"/>
      <x:c r="Y250" s="81"/>
      <x:c r="Z250" s="81"/>
    </x:row>
    <x:row r="251">
      <x:c r="A251" s="81"/>
      <x:c r="B251" s="81"/>
      <x:c r="C251" s="81"/>
      <x:c r="D251" s="81"/>
      <x:c r="E251" s="81"/>
      <x:c r="F251" s="81"/>
      <x:c r="G251" s="81"/>
      <x:c r="H251" s="81"/>
      <x:c r="I251" s="81"/>
      <x:c r="J251" s="81"/>
      <x:c r="K251" s="81"/>
      <x:c r="L251" s="81"/>
      <x:c r="M251" s="81"/>
      <x:c r="N251" s="81"/>
      <x:c r="O251" s="81"/>
      <x:c r="P251" s="81"/>
      <x:c r="Q251" s="81"/>
      <x:c r="R251" s="81"/>
      <x:c r="S251" s="81"/>
      <x:c r="T251" s="81"/>
      <x:c r="U251" s="81"/>
      <x:c r="V251" s="81"/>
      <x:c r="W251" s="81"/>
      <x:c r="X251" s="81"/>
      <x:c r="Y251" s="81"/>
      <x:c r="Z251" s="81"/>
    </x:row>
    <x:row r="252">
      <x:c r="A252" s="81"/>
      <x:c r="B252" s="81"/>
      <x:c r="C252" s="81"/>
      <x:c r="D252" s="81"/>
      <x:c r="E252" s="81"/>
      <x:c r="F252" s="81"/>
      <x:c r="G252" s="81"/>
      <x:c r="H252" s="81"/>
      <x:c r="I252" s="81"/>
      <x:c r="J252" s="81"/>
      <x:c r="K252" s="81"/>
      <x:c r="L252" s="81"/>
      <x:c r="M252" s="81"/>
      <x:c r="N252" s="81"/>
      <x:c r="O252" s="81"/>
      <x:c r="P252" s="81"/>
      <x:c r="Q252" s="81"/>
      <x:c r="R252" s="81"/>
      <x:c r="S252" s="81"/>
      <x:c r="T252" s="81"/>
      <x:c r="U252" s="81"/>
      <x:c r="V252" s="81"/>
      <x:c r="W252" s="81"/>
      <x:c r="X252" s="81"/>
      <x:c r="Y252" s="81"/>
      <x:c r="Z252" s="81"/>
    </x:row>
    <x:row r="253">
      <x:c r="A253" s="81"/>
      <x:c r="B253" s="81"/>
      <x:c r="C253" s="81"/>
      <x:c r="D253" s="81"/>
      <x:c r="E253" s="81"/>
      <x:c r="F253" s="81"/>
      <x:c r="G253" s="81"/>
      <x:c r="H253" s="81"/>
      <x:c r="I253" s="81"/>
      <x:c r="J253" s="81"/>
      <x:c r="K253" s="81"/>
      <x:c r="L253" s="81"/>
      <x:c r="M253" s="81"/>
      <x:c r="N253" s="81"/>
      <x:c r="O253" s="81"/>
      <x:c r="P253" s="81"/>
      <x:c r="Q253" s="81"/>
      <x:c r="R253" s="81"/>
      <x:c r="S253" s="81"/>
      <x:c r="T253" s="81"/>
      <x:c r="U253" s="81"/>
      <x:c r="V253" s="81"/>
      <x:c r="W253" s="81"/>
      <x:c r="X253" s="81"/>
      <x:c r="Y253" s="81"/>
      <x:c r="Z253" s="81"/>
    </x:row>
    <x:row r="254">
      <x:c r="A254" s="81"/>
      <x:c r="B254" s="81"/>
      <x:c r="C254" s="81"/>
      <x:c r="D254" s="81"/>
      <x:c r="E254" s="81"/>
      <x:c r="F254" s="81"/>
      <x:c r="G254" s="81"/>
      <x:c r="H254" s="81"/>
      <x:c r="I254" s="81"/>
      <x:c r="J254" s="81"/>
      <x:c r="K254" s="81"/>
      <x:c r="L254" s="81"/>
      <x:c r="M254" s="81"/>
      <x:c r="N254" s="81"/>
      <x:c r="O254" s="81"/>
      <x:c r="P254" s="81"/>
      <x:c r="Q254" s="81"/>
      <x:c r="R254" s="81"/>
      <x:c r="S254" s="81"/>
      <x:c r="T254" s="81"/>
      <x:c r="U254" s="81"/>
      <x:c r="V254" s="81"/>
      <x:c r="W254" s="81"/>
      <x:c r="X254" s="81"/>
      <x:c r="Y254" s="81"/>
      <x:c r="Z254" s="81"/>
    </x:row>
    <x:row r="255">
      <x:c r="A255" s="81"/>
      <x:c r="B255" s="81"/>
      <x:c r="C255" s="81"/>
      <x:c r="D255" s="81"/>
      <x:c r="E255" s="81"/>
      <x:c r="F255" s="81"/>
      <x:c r="G255" s="81"/>
      <x:c r="H255" s="81"/>
      <x:c r="I255" s="81"/>
      <x:c r="J255" s="81"/>
      <x:c r="K255" s="81"/>
      <x:c r="L255" s="81"/>
      <x:c r="M255" s="81"/>
      <x:c r="N255" s="81"/>
      <x:c r="O255" s="81"/>
      <x:c r="P255" s="81"/>
      <x:c r="Q255" s="81"/>
      <x:c r="R255" s="81"/>
      <x:c r="S255" s="81"/>
      <x:c r="T255" s="81"/>
      <x:c r="U255" s="81"/>
      <x:c r="V255" s="81"/>
      <x:c r="W255" s="81"/>
      <x:c r="X255" s="81"/>
      <x:c r="Y255" s="81"/>
      <x:c r="Z255" s="81"/>
    </x:row>
    <x:row r="256">
      <x:c r="A256" s="81"/>
      <x:c r="B256" s="81"/>
      <x:c r="C256" s="81"/>
      <x:c r="D256" s="81"/>
      <x:c r="E256" s="81"/>
      <x:c r="F256" s="81"/>
      <x:c r="G256" s="81"/>
      <x:c r="H256" s="81"/>
      <x:c r="I256" s="81"/>
      <x:c r="J256" s="81"/>
      <x:c r="K256" s="81"/>
      <x:c r="L256" s="81"/>
      <x:c r="M256" s="81"/>
      <x:c r="N256" s="81"/>
      <x:c r="O256" s="81"/>
      <x:c r="P256" s="81"/>
      <x:c r="Q256" s="81"/>
      <x:c r="R256" s="81"/>
      <x:c r="S256" s="81"/>
      <x:c r="T256" s="81"/>
      <x:c r="U256" s="81"/>
      <x:c r="V256" s="81"/>
      <x:c r="W256" s="81"/>
      <x:c r="X256" s="81"/>
      <x:c r="Y256" s="81"/>
      <x:c r="Z256" s="81"/>
    </x:row>
    <x:row r="257">
      <x:c r="A257" s="81"/>
      <x:c r="B257" s="81"/>
      <x:c r="C257" s="81"/>
      <x:c r="D257" s="81"/>
      <x:c r="E257" s="81"/>
      <x:c r="F257" s="81"/>
      <x:c r="G257" s="81"/>
      <x:c r="H257" s="81"/>
      <x:c r="I257" s="81"/>
      <x:c r="J257" s="81"/>
      <x:c r="K257" s="81"/>
      <x:c r="L257" s="81"/>
      <x:c r="M257" s="81"/>
      <x:c r="N257" s="81"/>
      <x:c r="O257" s="81"/>
      <x:c r="P257" s="81"/>
      <x:c r="Q257" s="81"/>
      <x:c r="R257" s="81"/>
      <x:c r="S257" s="81"/>
      <x:c r="T257" s="81"/>
      <x:c r="U257" s="81"/>
      <x:c r="V257" s="81"/>
      <x:c r="W257" s="81"/>
      <x:c r="X257" s="81"/>
      <x:c r="Y257" s="81"/>
      <x:c r="Z257" s="81"/>
    </x:row>
    <x:row r="258">
      <x:c r="A258" s="81"/>
      <x:c r="B258" s="81"/>
      <x:c r="C258" s="81"/>
      <x:c r="D258" s="81"/>
      <x:c r="E258" s="81"/>
      <x:c r="F258" s="81"/>
      <x:c r="G258" s="81"/>
      <x:c r="H258" s="81"/>
      <x:c r="I258" s="81"/>
      <x:c r="J258" s="81"/>
      <x:c r="K258" s="81"/>
      <x:c r="L258" s="81"/>
      <x:c r="M258" s="81"/>
      <x:c r="N258" s="81"/>
      <x:c r="O258" s="81"/>
      <x:c r="P258" s="81"/>
      <x:c r="Q258" s="81"/>
      <x:c r="R258" s="81"/>
      <x:c r="S258" s="81"/>
      <x:c r="T258" s="81"/>
      <x:c r="U258" s="81"/>
      <x:c r="V258" s="81"/>
      <x:c r="W258" s="81"/>
      <x:c r="X258" s="81"/>
      <x:c r="Y258" s="81"/>
      <x:c r="Z258" s="81"/>
    </x:row>
    <x:row r="259">
      <x:c r="A259" s="81"/>
      <x:c r="B259" s="81"/>
      <x:c r="C259" s="81"/>
      <x:c r="D259" s="81"/>
      <x:c r="E259" s="81"/>
      <x:c r="F259" s="81"/>
      <x:c r="G259" s="81"/>
      <x:c r="H259" s="81"/>
      <x:c r="I259" s="81"/>
      <x:c r="J259" s="81"/>
      <x:c r="K259" s="81"/>
      <x:c r="L259" s="81"/>
      <x:c r="M259" s="81"/>
      <x:c r="N259" s="81"/>
      <x:c r="O259" s="81"/>
      <x:c r="P259" s="81"/>
      <x:c r="Q259" s="81"/>
      <x:c r="R259" s="81"/>
      <x:c r="S259" s="81"/>
      <x:c r="T259" s="81"/>
      <x:c r="U259" s="81"/>
      <x:c r="V259" s="81"/>
      <x:c r="W259" s="81"/>
      <x:c r="X259" s="81"/>
      <x:c r="Y259" s="81"/>
      <x:c r="Z259" s="81"/>
    </x:row>
    <x:row r="260">
      <x:c r="A260" s="81"/>
      <x:c r="B260" s="81"/>
      <x:c r="C260" s="81"/>
      <x:c r="D260" s="81"/>
      <x:c r="E260" s="81"/>
      <x:c r="F260" s="81"/>
      <x:c r="G260" s="81"/>
      <x:c r="H260" s="81"/>
      <x:c r="I260" s="81"/>
      <x:c r="J260" s="81"/>
      <x:c r="K260" s="81"/>
      <x:c r="L260" s="81"/>
      <x:c r="M260" s="81"/>
      <x:c r="N260" s="81"/>
      <x:c r="O260" s="81"/>
      <x:c r="P260" s="81"/>
      <x:c r="Q260" s="81"/>
      <x:c r="R260" s="81"/>
      <x:c r="S260" s="81"/>
      <x:c r="T260" s="81"/>
      <x:c r="U260" s="81"/>
      <x:c r="V260" s="81"/>
      <x:c r="W260" s="81"/>
      <x:c r="X260" s="81"/>
      <x:c r="Y260" s="81"/>
      <x:c r="Z260" s="81"/>
    </x:row>
    <x:row r="261">
      <x:c r="A261" s="81"/>
      <x:c r="B261" s="81"/>
      <x:c r="C261" s="81"/>
      <x:c r="D261" s="81"/>
      <x:c r="E261" s="81"/>
      <x:c r="F261" s="81"/>
      <x:c r="G261" s="81"/>
      <x:c r="H261" s="81"/>
      <x:c r="I261" s="81"/>
      <x:c r="J261" s="81"/>
      <x:c r="K261" s="81"/>
      <x:c r="L261" s="81"/>
      <x:c r="M261" s="81"/>
      <x:c r="N261" s="81"/>
      <x:c r="O261" s="81"/>
      <x:c r="P261" s="81"/>
      <x:c r="Q261" s="81"/>
      <x:c r="R261" s="81"/>
      <x:c r="S261" s="81"/>
      <x:c r="T261" s="81"/>
      <x:c r="U261" s="81"/>
      <x:c r="V261" s="81"/>
      <x:c r="W261" s="81"/>
      <x:c r="X261" s="81"/>
      <x:c r="Y261" s="81"/>
      <x:c r="Z261" s="81"/>
    </x:row>
    <x:row r="262">
      <x:c r="A262" s="81"/>
      <x:c r="B262" s="81"/>
      <x:c r="C262" s="81"/>
      <x:c r="D262" s="81"/>
      <x:c r="E262" s="81"/>
      <x:c r="F262" s="81"/>
      <x:c r="G262" s="81"/>
      <x:c r="H262" s="81"/>
      <x:c r="I262" s="81"/>
      <x:c r="J262" s="81"/>
      <x:c r="K262" s="81"/>
      <x:c r="L262" s="81"/>
      <x:c r="M262" s="81"/>
      <x:c r="N262" s="81"/>
      <x:c r="O262" s="81"/>
      <x:c r="P262" s="81"/>
      <x:c r="Q262" s="81"/>
      <x:c r="R262" s="81"/>
      <x:c r="S262" s="81"/>
      <x:c r="T262" s="81"/>
      <x:c r="U262" s="81"/>
      <x:c r="V262" s="81"/>
      <x:c r="W262" s="81"/>
      <x:c r="X262" s="81"/>
      <x:c r="Y262" s="81"/>
      <x:c r="Z262" s="81"/>
    </x:row>
    <x:row r="263">
      <x:c r="A263" s="81"/>
      <x:c r="B263" s="81"/>
      <x:c r="C263" s="81"/>
      <x:c r="D263" s="81"/>
      <x:c r="E263" s="81"/>
      <x:c r="F263" s="81"/>
      <x:c r="G263" s="81"/>
      <x:c r="H263" s="81"/>
      <x:c r="I263" s="81"/>
      <x:c r="J263" s="81"/>
      <x:c r="K263" s="81"/>
      <x:c r="L263" s="81"/>
      <x:c r="M263" s="81"/>
      <x:c r="N263" s="81"/>
      <x:c r="O263" s="81"/>
      <x:c r="P263" s="81"/>
      <x:c r="Q263" s="81"/>
      <x:c r="R263" s="81"/>
      <x:c r="S263" s="81"/>
      <x:c r="T263" s="81"/>
      <x:c r="U263" s="81"/>
      <x:c r="V263" s="81"/>
      <x:c r="W263" s="81"/>
      <x:c r="X263" s="81"/>
      <x:c r="Y263" s="81"/>
      <x:c r="Z263" s="81"/>
    </x:row>
    <x:row r="264">
      <x:c r="A264" s="81"/>
      <x:c r="B264" s="81"/>
      <x:c r="C264" s="81"/>
      <x:c r="D264" s="81"/>
      <x:c r="E264" s="81"/>
      <x:c r="F264" s="81"/>
      <x:c r="G264" s="81"/>
      <x:c r="H264" s="81"/>
      <x:c r="I264" s="81"/>
      <x:c r="J264" s="81"/>
      <x:c r="K264" s="81"/>
      <x:c r="L264" s="81"/>
      <x:c r="M264" s="81"/>
      <x:c r="N264" s="81"/>
      <x:c r="O264" s="81"/>
      <x:c r="P264" s="81"/>
      <x:c r="Q264" s="81"/>
      <x:c r="R264" s="81"/>
      <x:c r="S264" s="81"/>
      <x:c r="T264" s="81"/>
      <x:c r="U264" s="81"/>
      <x:c r="V264" s="81"/>
      <x:c r="W264" s="81"/>
      <x:c r="X264" s="81"/>
      <x:c r="Y264" s="81"/>
      <x:c r="Z264" s="81"/>
    </x:row>
    <x:row r="265">
      <x:c r="A265" s="81"/>
      <x:c r="B265" s="81"/>
      <x:c r="C265" s="81"/>
      <x:c r="D265" s="81"/>
      <x:c r="E265" s="81"/>
      <x:c r="F265" s="81"/>
      <x:c r="G265" s="81"/>
      <x:c r="H265" s="81"/>
      <x:c r="I265" s="81"/>
      <x:c r="J265" s="81"/>
      <x:c r="K265" s="81"/>
      <x:c r="L265" s="81"/>
      <x:c r="M265" s="81"/>
      <x:c r="N265" s="81"/>
      <x:c r="O265" s="81"/>
      <x:c r="P265" s="81"/>
      <x:c r="Q265" s="81"/>
      <x:c r="R265" s="81"/>
      <x:c r="S265" s="81"/>
      <x:c r="T265" s="81"/>
      <x:c r="U265" s="81"/>
      <x:c r="V265" s="81"/>
      <x:c r="W265" s="81"/>
      <x:c r="X265" s="81"/>
      <x:c r="Y265" s="81"/>
      <x:c r="Z265" s="81"/>
    </x:row>
    <x:row r="266">
      <x:c r="A266" s="81"/>
      <x:c r="B266" s="81"/>
      <x:c r="C266" s="81"/>
      <x:c r="D266" s="81"/>
      <x:c r="E266" s="81"/>
      <x:c r="F266" s="81"/>
      <x:c r="G266" s="81"/>
      <x:c r="H266" s="81"/>
      <x:c r="I266" s="81"/>
      <x:c r="J266" s="81"/>
      <x:c r="K266" s="81"/>
      <x:c r="L266" s="81"/>
      <x:c r="M266" s="81"/>
      <x:c r="N266" s="81"/>
      <x:c r="O266" s="81"/>
      <x:c r="P266" s="81"/>
      <x:c r="Q266" s="81"/>
      <x:c r="R266" s="81"/>
      <x:c r="S266" s="81"/>
      <x:c r="T266" s="81"/>
      <x:c r="U266" s="81"/>
      <x:c r="V266" s="81"/>
      <x:c r="W266" s="81"/>
      <x:c r="X266" s="81"/>
      <x:c r="Y266" s="81"/>
      <x:c r="Z266" s="81"/>
    </x:row>
    <x:row r="267">
      <x:c r="A267" s="81"/>
      <x:c r="B267" s="81"/>
      <x:c r="C267" s="81"/>
      <x:c r="D267" s="81"/>
      <x:c r="E267" s="81"/>
      <x:c r="F267" s="81"/>
      <x:c r="G267" s="81"/>
      <x:c r="H267" s="81"/>
      <x:c r="I267" s="81"/>
      <x:c r="J267" s="81"/>
      <x:c r="K267" s="81"/>
      <x:c r="L267" s="81"/>
      <x:c r="M267" s="81"/>
      <x:c r="N267" s="81"/>
      <x:c r="O267" s="81"/>
      <x:c r="P267" s="81"/>
      <x:c r="Q267" s="81"/>
      <x:c r="R267" s="81"/>
      <x:c r="S267" s="81"/>
      <x:c r="T267" s="81"/>
      <x:c r="U267" s="81"/>
      <x:c r="V267" s="81"/>
      <x:c r="W267" s="81"/>
      <x:c r="X267" s="81"/>
      <x:c r="Y267" s="81"/>
      <x:c r="Z267" s="81"/>
    </x:row>
    <x:row r="268">
      <x:c r="A268" s="81"/>
      <x:c r="B268" s="81"/>
      <x:c r="C268" s="81"/>
      <x:c r="D268" s="81"/>
      <x:c r="E268" s="81"/>
      <x:c r="F268" s="81"/>
      <x:c r="G268" s="81"/>
      <x:c r="H268" s="81"/>
      <x:c r="I268" s="81"/>
      <x:c r="J268" s="81"/>
      <x:c r="K268" s="81"/>
      <x:c r="L268" s="81"/>
      <x:c r="M268" s="81"/>
      <x:c r="N268" s="81"/>
      <x:c r="O268" s="81"/>
      <x:c r="P268" s="81"/>
      <x:c r="Q268" s="81"/>
      <x:c r="R268" s="81"/>
      <x:c r="S268" s="81"/>
      <x:c r="T268" s="81"/>
      <x:c r="U268" s="81"/>
      <x:c r="V268" s="81"/>
      <x:c r="W268" s="81"/>
      <x:c r="X268" s="81"/>
      <x:c r="Y268" s="81"/>
      <x:c r="Z268" s="81"/>
    </x:row>
    <x:row r="269">
      <x:c r="A269" s="81"/>
      <x:c r="B269" s="81"/>
      <x:c r="C269" s="81"/>
      <x:c r="D269" s="81"/>
      <x:c r="E269" s="81"/>
      <x:c r="F269" s="81"/>
      <x:c r="G269" s="81"/>
      <x:c r="H269" s="81"/>
      <x:c r="I269" s="81"/>
      <x:c r="J269" s="81"/>
      <x:c r="K269" s="81"/>
      <x:c r="L269" s="81"/>
      <x:c r="M269" s="81"/>
      <x:c r="N269" s="81"/>
      <x:c r="O269" s="81"/>
      <x:c r="P269" s="81"/>
      <x:c r="Q269" s="81"/>
      <x:c r="R269" s="81"/>
      <x:c r="S269" s="81"/>
      <x:c r="T269" s="81"/>
      <x:c r="U269" s="81"/>
      <x:c r="V269" s="81"/>
      <x:c r="W269" s="81"/>
      <x:c r="X269" s="81"/>
      <x:c r="Y269" s="81"/>
      <x:c r="Z269" s="81"/>
    </x:row>
    <x:row r="270">
      <x:c r="A270" s="81"/>
      <x:c r="B270" s="81"/>
      <x:c r="C270" s="81"/>
      <x:c r="D270" s="81"/>
      <x:c r="E270" s="81"/>
      <x:c r="F270" s="81"/>
      <x:c r="G270" s="81"/>
      <x:c r="H270" s="81"/>
      <x:c r="I270" s="81"/>
      <x:c r="J270" s="81"/>
      <x:c r="K270" s="81"/>
      <x:c r="L270" s="81"/>
      <x:c r="M270" s="81"/>
      <x:c r="N270" s="81"/>
      <x:c r="O270" s="81"/>
      <x:c r="P270" s="81"/>
      <x:c r="Q270" s="81"/>
      <x:c r="R270" s="81"/>
      <x:c r="S270" s="81"/>
      <x:c r="T270" s="81"/>
      <x:c r="U270" s="81"/>
      <x:c r="V270" s="81"/>
      <x:c r="W270" s="81"/>
      <x:c r="X270" s="81"/>
      <x:c r="Y270" s="81"/>
      <x:c r="Z270" s="81"/>
    </x:row>
    <x:row r="271">
      <x:c r="A271" s="81"/>
      <x:c r="B271" s="81"/>
      <x:c r="C271" s="81"/>
      <x:c r="D271" s="81"/>
      <x:c r="E271" s="81"/>
      <x:c r="F271" s="81"/>
      <x:c r="G271" s="81"/>
      <x:c r="H271" s="81"/>
      <x:c r="I271" s="81"/>
      <x:c r="J271" s="81"/>
      <x:c r="K271" s="81"/>
      <x:c r="L271" s="81"/>
      <x:c r="M271" s="81"/>
      <x:c r="N271" s="81"/>
      <x:c r="O271" s="81"/>
      <x:c r="P271" s="81"/>
      <x:c r="Q271" s="81"/>
      <x:c r="R271" s="81"/>
      <x:c r="S271" s="81"/>
      <x:c r="T271" s="81"/>
      <x:c r="U271" s="81"/>
      <x:c r="V271" s="81"/>
      <x:c r="W271" s="81"/>
      <x:c r="X271" s="81"/>
      <x:c r="Y271" s="81"/>
      <x:c r="Z271" s="81"/>
    </x:row>
    <x:row r="272">
      <x:c r="A272" s="81"/>
      <x:c r="B272" s="81"/>
      <x:c r="C272" s="81"/>
      <x:c r="D272" s="81"/>
      <x:c r="E272" s="81"/>
      <x:c r="F272" s="81"/>
      <x:c r="G272" s="81"/>
      <x:c r="H272" s="81"/>
      <x:c r="I272" s="81"/>
      <x:c r="J272" s="81"/>
      <x:c r="K272" s="81"/>
      <x:c r="L272" s="81"/>
      <x:c r="M272" s="81"/>
      <x:c r="N272" s="81"/>
      <x:c r="O272" s="81"/>
      <x:c r="P272" s="81"/>
      <x:c r="Q272" s="81"/>
      <x:c r="R272" s="81"/>
      <x:c r="S272" s="81"/>
      <x:c r="T272" s="81"/>
      <x:c r="U272" s="81"/>
      <x:c r="V272" s="81"/>
      <x:c r="W272" s="81"/>
      <x:c r="X272" s="81"/>
      <x:c r="Y272" s="81"/>
      <x:c r="Z272" s="81"/>
    </x:row>
    <x:row r="273">
      <x:c r="A273" s="81"/>
      <x:c r="B273" s="81"/>
      <x:c r="C273" s="81"/>
      <x:c r="D273" s="81"/>
      <x:c r="E273" s="81"/>
      <x:c r="F273" s="81"/>
      <x:c r="G273" s="81"/>
      <x:c r="H273" s="81"/>
      <x:c r="I273" s="81"/>
      <x:c r="J273" s="81"/>
      <x:c r="K273" s="81"/>
      <x:c r="L273" s="81"/>
      <x:c r="M273" s="81"/>
      <x:c r="N273" s="81"/>
      <x:c r="O273" s="81"/>
      <x:c r="P273" s="81"/>
      <x:c r="Q273" s="81"/>
      <x:c r="R273" s="81"/>
      <x:c r="S273" s="81"/>
      <x:c r="T273" s="81"/>
      <x:c r="U273" s="81"/>
      <x:c r="V273" s="81"/>
      <x:c r="W273" s="81"/>
      <x:c r="X273" s="81"/>
      <x:c r="Y273" s="81"/>
      <x:c r="Z273" s="81"/>
    </x:row>
    <x:row r="274">
      <x:c r="A274" s="81"/>
      <x:c r="B274" s="81"/>
      <x:c r="C274" s="81"/>
      <x:c r="D274" s="81"/>
      <x:c r="E274" s="81"/>
      <x:c r="F274" s="81"/>
      <x:c r="G274" s="81"/>
      <x:c r="H274" s="81"/>
      <x:c r="I274" s="81"/>
      <x:c r="J274" s="81"/>
      <x:c r="K274" s="81"/>
      <x:c r="L274" s="81"/>
      <x:c r="M274" s="81"/>
      <x:c r="N274" s="81"/>
      <x:c r="O274" s="81"/>
      <x:c r="P274" s="81"/>
      <x:c r="Q274" s="81"/>
      <x:c r="R274" s="81"/>
      <x:c r="S274" s="81"/>
      <x:c r="T274" s="81"/>
      <x:c r="U274" s="81"/>
      <x:c r="V274" s="81"/>
      <x:c r="W274" s="81"/>
      <x:c r="X274" s="81"/>
      <x:c r="Y274" s="81"/>
      <x:c r="Z274" s="81"/>
    </x:row>
    <x:row r="275">
      <x:c r="A275" s="81"/>
      <x:c r="B275" s="81"/>
      <x:c r="C275" s="81"/>
      <x:c r="D275" s="81"/>
      <x:c r="E275" s="81"/>
      <x:c r="F275" s="81"/>
      <x:c r="G275" s="81"/>
      <x:c r="H275" s="81"/>
      <x:c r="I275" s="81"/>
      <x:c r="J275" s="81"/>
      <x:c r="K275" s="81"/>
      <x:c r="L275" s="81"/>
      <x:c r="M275" s="81"/>
      <x:c r="N275" s="81"/>
      <x:c r="O275" s="81"/>
      <x:c r="P275" s="81"/>
      <x:c r="Q275" s="81"/>
      <x:c r="R275" s="81"/>
      <x:c r="S275" s="81"/>
      <x:c r="T275" s="81"/>
      <x:c r="U275" s="81"/>
      <x:c r="V275" s="81"/>
      <x:c r="W275" s="81"/>
      <x:c r="X275" s="81"/>
      <x:c r="Y275" s="81"/>
      <x:c r="Z275" s="81"/>
    </x:row>
    <x:row r="276">
      <x:c r="A276" s="81"/>
      <x:c r="B276" s="81"/>
      <x:c r="C276" s="81"/>
      <x:c r="D276" s="81"/>
      <x:c r="E276" s="81"/>
      <x:c r="F276" s="81"/>
      <x:c r="G276" s="81"/>
      <x:c r="H276" s="81"/>
      <x:c r="I276" s="81"/>
      <x:c r="J276" s="81"/>
      <x:c r="K276" s="81"/>
      <x:c r="L276" s="81"/>
      <x:c r="M276" s="81"/>
      <x:c r="N276" s="81"/>
      <x:c r="O276" s="81"/>
      <x:c r="P276" s="81"/>
      <x:c r="Q276" s="81"/>
      <x:c r="R276" s="81"/>
      <x:c r="S276" s="81"/>
      <x:c r="T276" s="81"/>
      <x:c r="U276" s="81"/>
      <x:c r="V276" s="81"/>
      <x:c r="W276" s="81"/>
      <x:c r="X276" s="81"/>
      <x:c r="Y276" s="81"/>
      <x:c r="Z276" s="81"/>
    </x:row>
    <x:row r="277">
      <x:c r="A277" s="81"/>
      <x:c r="B277" s="81"/>
      <x:c r="C277" s="81"/>
      <x:c r="D277" s="81"/>
      <x:c r="E277" s="81"/>
      <x:c r="F277" s="81"/>
      <x:c r="G277" s="81"/>
      <x:c r="H277" s="81"/>
      <x:c r="I277" s="81"/>
      <x:c r="J277" s="81"/>
      <x:c r="K277" s="81"/>
      <x:c r="L277" s="81"/>
      <x:c r="M277" s="81"/>
      <x:c r="N277" s="81"/>
      <x:c r="O277" s="81"/>
      <x:c r="P277" s="81"/>
      <x:c r="Q277" s="81"/>
      <x:c r="R277" s="81"/>
      <x:c r="S277" s="81"/>
      <x:c r="T277" s="81"/>
      <x:c r="U277" s="81"/>
      <x:c r="V277" s="81"/>
      <x:c r="W277" s="81"/>
      <x:c r="X277" s="81"/>
      <x:c r="Y277" s="81"/>
      <x:c r="Z277" s="81"/>
    </x:row>
    <x:row r="278">
      <x:c r="A278" s="81"/>
      <x:c r="B278" s="81"/>
      <x:c r="C278" s="81"/>
      <x:c r="D278" s="81"/>
      <x:c r="E278" s="81"/>
      <x:c r="F278" s="81"/>
      <x:c r="G278" s="81"/>
      <x:c r="H278" s="81"/>
      <x:c r="I278" s="81"/>
      <x:c r="J278" s="81"/>
      <x:c r="K278" s="81"/>
      <x:c r="L278" s="81"/>
      <x:c r="M278" s="81"/>
      <x:c r="N278" s="81"/>
      <x:c r="O278" s="81"/>
      <x:c r="P278" s="81"/>
      <x:c r="Q278" s="81"/>
      <x:c r="R278" s="81"/>
      <x:c r="S278" s="81"/>
      <x:c r="T278" s="81"/>
      <x:c r="U278" s="81"/>
      <x:c r="V278" s="81"/>
      <x:c r="W278" s="81"/>
      <x:c r="X278" s="81"/>
      <x:c r="Y278" s="81"/>
      <x:c r="Z278" s="81"/>
    </x:row>
    <x:row r="279">
      <x:c r="A279" s="81"/>
      <x:c r="B279" s="81"/>
      <x:c r="C279" s="81"/>
      <x:c r="D279" s="81"/>
      <x:c r="E279" s="81"/>
      <x:c r="F279" s="81"/>
      <x:c r="G279" s="81"/>
      <x:c r="H279" s="81"/>
      <x:c r="I279" s="81"/>
      <x:c r="J279" s="81"/>
      <x:c r="K279" s="81"/>
      <x:c r="L279" s="81"/>
      <x:c r="M279" s="81"/>
      <x:c r="N279" s="81"/>
      <x:c r="O279" s="81"/>
      <x:c r="P279" s="81"/>
      <x:c r="Q279" s="81"/>
      <x:c r="R279" s="81"/>
      <x:c r="S279" s="81"/>
      <x:c r="T279" s="81"/>
      <x:c r="U279" s="81"/>
      <x:c r="V279" s="81"/>
      <x:c r="W279" s="81"/>
      <x:c r="X279" s="81"/>
      <x:c r="Y279" s="81"/>
      <x:c r="Z279" s="81"/>
    </x:row>
    <x:row r="280">
      <x:c r="A280" s="81"/>
      <x:c r="B280" s="81"/>
      <x:c r="C280" s="81"/>
      <x:c r="D280" s="81"/>
      <x:c r="E280" s="81"/>
      <x:c r="F280" s="81"/>
      <x:c r="G280" s="81"/>
      <x:c r="H280" s="81"/>
      <x:c r="I280" s="81"/>
      <x:c r="J280" s="81"/>
      <x:c r="K280" s="81"/>
      <x:c r="L280" s="81"/>
      <x:c r="M280" s="81"/>
      <x:c r="N280" s="81"/>
      <x:c r="O280" s="81"/>
      <x:c r="P280" s="81"/>
      <x:c r="Q280" s="81"/>
      <x:c r="R280" s="81"/>
      <x:c r="S280" s="81"/>
      <x:c r="T280" s="81"/>
      <x:c r="U280" s="81"/>
      <x:c r="V280" s="81"/>
      <x:c r="W280" s="81"/>
      <x:c r="X280" s="81"/>
      <x:c r="Y280" s="81"/>
      <x:c r="Z280" s="81"/>
    </x:row>
    <x:row r="281">
      <x:c r="A281" s="81"/>
      <x:c r="B281" s="81"/>
      <x:c r="C281" s="81"/>
      <x:c r="D281" s="81"/>
      <x:c r="E281" s="81"/>
      <x:c r="F281" s="81"/>
      <x:c r="G281" s="81"/>
      <x:c r="H281" s="81"/>
      <x:c r="I281" s="81"/>
      <x:c r="J281" s="81"/>
      <x:c r="K281" s="81"/>
      <x:c r="L281" s="81"/>
      <x:c r="M281" s="81"/>
      <x:c r="N281" s="81"/>
      <x:c r="O281" s="81"/>
      <x:c r="P281" s="81"/>
      <x:c r="Q281" s="81"/>
      <x:c r="R281" s="81"/>
      <x:c r="S281" s="81"/>
      <x:c r="T281" s="81"/>
      <x:c r="U281" s="81"/>
      <x:c r="V281" s="81"/>
      <x:c r="W281" s="81"/>
      <x:c r="X281" s="81"/>
      <x:c r="Y281" s="81"/>
      <x:c r="Z281" s="81"/>
    </x:row>
    <x:row r="282">
      <x:c r="A282" s="81"/>
      <x:c r="B282" s="81"/>
      <x:c r="C282" s="81"/>
      <x:c r="D282" s="81"/>
      <x:c r="E282" s="81"/>
      <x:c r="F282" s="81"/>
      <x:c r="G282" s="81"/>
      <x:c r="H282" s="81"/>
      <x:c r="I282" s="81"/>
      <x:c r="J282" s="81"/>
      <x:c r="K282" s="81"/>
      <x:c r="L282" s="81"/>
      <x:c r="M282" s="81"/>
      <x:c r="N282" s="81"/>
      <x:c r="O282" s="81"/>
      <x:c r="P282" s="81"/>
      <x:c r="Q282" s="81"/>
      <x:c r="R282" s="81"/>
      <x:c r="S282" s="81"/>
      <x:c r="T282" s="81"/>
      <x:c r="U282" s="81"/>
      <x:c r="V282" s="81"/>
      <x:c r="W282" s="81"/>
      <x:c r="X282" s="81"/>
      <x:c r="Y282" s="81"/>
      <x:c r="Z282" s="81"/>
    </x:row>
    <x:row r="283">
      <x:c r="A283" s="81"/>
      <x:c r="B283" s="81"/>
      <x:c r="C283" s="81"/>
      <x:c r="D283" s="81"/>
      <x:c r="E283" s="81"/>
      <x:c r="F283" s="81"/>
      <x:c r="G283" s="81"/>
      <x:c r="H283" s="81"/>
      <x:c r="I283" s="81"/>
      <x:c r="J283" s="81"/>
      <x:c r="K283" s="81"/>
      <x:c r="L283" s="81"/>
      <x:c r="M283" s="81"/>
      <x:c r="N283" s="81"/>
      <x:c r="O283" s="81"/>
      <x:c r="P283" s="81"/>
      <x:c r="Q283" s="81"/>
      <x:c r="R283" s="81"/>
      <x:c r="S283" s="81"/>
      <x:c r="T283" s="81"/>
      <x:c r="U283" s="81"/>
      <x:c r="V283" s="81"/>
      <x:c r="W283" s="81"/>
      <x:c r="X283" s="81"/>
      <x:c r="Y283" s="81"/>
      <x:c r="Z283" s="81"/>
    </x:row>
    <x:row r="284">
      <x:c r="A284" s="81"/>
      <x:c r="B284" s="81"/>
      <x:c r="C284" s="81"/>
      <x:c r="D284" s="81"/>
      <x:c r="E284" s="81"/>
      <x:c r="F284" s="81"/>
      <x:c r="G284" s="81"/>
      <x:c r="H284" s="81"/>
      <x:c r="I284" s="81"/>
      <x:c r="J284" s="81"/>
      <x:c r="K284" s="81"/>
      <x:c r="L284" s="81"/>
      <x:c r="M284" s="81"/>
      <x:c r="N284" s="81"/>
      <x:c r="O284" s="81"/>
      <x:c r="P284" s="81"/>
      <x:c r="Q284" s="81"/>
      <x:c r="R284" s="81"/>
      <x:c r="S284" s="81"/>
      <x:c r="T284" s="81"/>
      <x:c r="U284" s="81"/>
      <x:c r="V284" s="81"/>
      <x:c r="W284" s="81"/>
      <x:c r="X284" s="81"/>
      <x:c r="Y284" s="81"/>
      <x:c r="Z284" s="81"/>
    </x:row>
    <x:row r="285">
      <x:c r="A285" s="81"/>
      <x:c r="B285" s="81"/>
      <x:c r="C285" s="81"/>
      <x:c r="D285" s="81"/>
      <x:c r="E285" s="81"/>
      <x:c r="F285" s="81"/>
      <x:c r="G285" s="81"/>
      <x:c r="H285" s="81"/>
      <x:c r="I285" s="81"/>
      <x:c r="J285" s="81"/>
      <x:c r="K285" s="81"/>
      <x:c r="L285" s="81"/>
      <x:c r="M285" s="81"/>
      <x:c r="N285" s="81"/>
      <x:c r="O285" s="81"/>
      <x:c r="P285" s="81"/>
      <x:c r="Q285" s="81"/>
      <x:c r="R285" s="81"/>
      <x:c r="S285" s="81"/>
      <x:c r="T285" s="81"/>
      <x:c r="U285" s="81"/>
      <x:c r="V285" s="81"/>
      <x:c r="W285" s="81"/>
      <x:c r="X285" s="81"/>
      <x:c r="Y285" s="81"/>
      <x:c r="Z285" s="81"/>
    </x:row>
    <x:row r="286">
      <x:c r="A286" s="81"/>
      <x:c r="B286" s="81"/>
      <x:c r="C286" s="81"/>
      <x:c r="D286" s="81"/>
      <x:c r="E286" s="81"/>
      <x:c r="F286" s="81"/>
      <x:c r="G286" s="81"/>
      <x:c r="H286" s="81"/>
      <x:c r="I286" s="81"/>
      <x:c r="J286" s="81"/>
      <x:c r="K286" s="81"/>
      <x:c r="L286" s="81"/>
      <x:c r="M286" s="81"/>
      <x:c r="N286" s="81"/>
      <x:c r="O286" s="81"/>
      <x:c r="P286" s="81"/>
      <x:c r="Q286" s="81"/>
      <x:c r="R286" s="81"/>
      <x:c r="S286" s="81"/>
      <x:c r="T286" s="81"/>
      <x:c r="U286" s="81"/>
      <x:c r="V286" s="81"/>
      <x:c r="W286" s="81"/>
      <x:c r="X286" s="81"/>
      <x:c r="Y286" s="81"/>
      <x:c r="Z286" s="81"/>
    </x:row>
    <x:row r="287">
      <x:c r="A287" s="81"/>
      <x:c r="B287" s="81"/>
      <x:c r="C287" s="81"/>
      <x:c r="D287" s="81"/>
      <x:c r="E287" s="81"/>
      <x:c r="F287" s="81"/>
      <x:c r="G287" s="81"/>
      <x:c r="H287" s="81"/>
      <x:c r="I287" s="81"/>
      <x:c r="J287" s="81"/>
      <x:c r="K287" s="81"/>
      <x:c r="L287" s="81"/>
      <x:c r="M287" s="81"/>
      <x:c r="N287" s="81"/>
      <x:c r="O287" s="81"/>
      <x:c r="P287" s="81"/>
      <x:c r="Q287" s="81"/>
      <x:c r="R287" s="81"/>
      <x:c r="S287" s="81"/>
      <x:c r="T287" s="81"/>
      <x:c r="U287" s="81"/>
      <x:c r="V287" s="81"/>
      <x:c r="W287" s="81"/>
      <x:c r="X287" s="81"/>
      <x:c r="Y287" s="81"/>
      <x:c r="Z287" s="81"/>
    </x:row>
    <x:row r="288">
      <x:c r="A288" s="81"/>
      <x:c r="B288" s="81"/>
      <x:c r="C288" s="81"/>
      <x:c r="D288" s="81"/>
      <x:c r="E288" s="81"/>
      <x:c r="F288" s="81"/>
      <x:c r="G288" s="81"/>
      <x:c r="H288" s="81"/>
      <x:c r="I288" s="81"/>
      <x:c r="J288" s="81"/>
      <x:c r="K288" s="81"/>
      <x:c r="L288" s="81"/>
      <x:c r="M288" s="81"/>
      <x:c r="N288" s="81"/>
      <x:c r="O288" s="81"/>
      <x:c r="P288" s="81"/>
      <x:c r="Q288" s="81"/>
      <x:c r="R288" s="81"/>
      <x:c r="S288" s="81"/>
      <x:c r="T288" s="81"/>
      <x:c r="U288" s="81"/>
      <x:c r="V288" s="81"/>
      <x:c r="W288" s="81"/>
      <x:c r="X288" s="81"/>
      <x:c r="Y288" s="81"/>
      <x:c r="Z288" s="81"/>
    </x:row>
    <x:row r="289">
      <x:c r="A289" s="81"/>
      <x:c r="B289" s="81"/>
      <x:c r="C289" s="81"/>
      <x:c r="D289" s="81"/>
      <x:c r="E289" s="81"/>
      <x:c r="F289" s="81"/>
      <x:c r="G289" s="81"/>
      <x:c r="H289" s="81"/>
      <x:c r="I289" s="81"/>
      <x:c r="J289" s="81"/>
      <x:c r="K289" s="81"/>
      <x:c r="L289" s="81"/>
      <x:c r="M289" s="81"/>
      <x:c r="N289" s="81"/>
      <x:c r="O289" s="81"/>
      <x:c r="P289" s="81"/>
      <x:c r="Q289" s="81"/>
      <x:c r="R289" s="81"/>
      <x:c r="S289" s="81"/>
      <x:c r="T289" s="81"/>
      <x:c r="U289" s="81"/>
      <x:c r="V289" s="81"/>
      <x:c r="W289" s="81"/>
      <x:c r="X289" s="81"/>
      <x:c r="Y289" s="81"/>
      <x:c r="Z289" s="81"/>
    </x:row>
    <x:row r="290">
      <x:c r="A290" s="81"/>
      <x:c r="B290" s="81"/>
      <x:c r="C290" s="81"/>
      <x:c r="D290" s="81"/>
      <x:c r="E290" s="81"/>
      <x:c r="F290" s="81"/>
      <x:c r="G290" s="81"/>
      <x:c r="H290" s="81"/>
      <x:c r="I290" s="81"/>
      <x:c r="J290" s="81"/>
      <x:c r="K290" s="81"/>
      <x:c r="L290" s="81"/>
      <x:c r="M290" s="81"/>
      <x:c r="N290" s="81"/>
      <x:c r="O290" s="81"/>
      <x:c r="P290" s="81"/>
      <x:c r="Q290" s="81"/>
      <x:c r="R290" s="81"/>
      <x:c r="S290" s="81"/>
      <x:c r="T290" s="81"/>
      <x:c r="U290" s="81"/>
      <x:c r="V290" s="81"/>
      <x:c r="W290" s="81"/>
      <x:c r="X290" s="81"/>
      <x:c r="Y290" s="81"/>
      <x:c r="Z290" s="81"/>
    </x:row>
    <x:row r="291">
      <x:c r="A291" s="81"/>
      <x:c r="B291" s="81"/>
      <x:c r="C291" s="81"/>
      <x:c r="D291" s="81"/>
      <x:c r="E291" s="81"/>
      <x:c r="F291" s="81"/>
      <x:c r="G291" s="81"/>
      <x:c r="H291" s="81"/>
      <x:c r="I291" s="81"/>
      <x:c r="J291" s="81"/>
      <x:c r="K291" s="81"/>
      <x:c r="L291" s="81"/>
      <x:c r="M291" s="81"/>
      <x:c r="N291" s="81"/>
      <x:c r="O291" s="81"/>
      <x:c r="P291" s="81"/>
      <x:c r="Q291" s="81"/>
      <x:c r="R291" s="81"/>
      <x:c r="S291" s="81"/>
      <x:c r="T291" s="81"/>
      <x:c r="U291" s="81"/>
      <x:c r="V291" s="81"/>
      <x:c r="W291" s="81"/>
      <x:c r="X291" s="81"/>
      <x:c r="Y291" s="81"/>
      <x:c r="Z291" s="81"/>
    </x:row>
    <x:row r="292">
      <x:c r="A292" s="81"/>
      <x:c r="B292" s="81"/>
      <x:c r="C292" s="81"/>
      <x:c r="D292" s="81"/>
      <x:c r="E292" s="81"/>
      <x:c r="F292" s="81"/>
      <x:c r="G292" s="81"/>
      <x:c r="H292" s="81"/>
      <x:c r="I292" s="81"/>
      <x:c r="J292" s="81"/>
      <x:c r="K292" s="81"/>
      <x:c r="L292" s="81"/>
      <x:c r="M292" s="81"/>
      <x:c r="N292" s="81"/>
      <x:c r="O292" s="81"/>
      <x:c r="P292" s="81"/>
      <x:c r="Q292" s="81"/>
      <x:c r="R292" s="81"/>
      <x:c r="S292" s="81"/>
      <x:c r="T292" s="81"/>
      <x:c r="U292" s="81"/>
      <x:c r="V292" s="81"/>
      <x:c r="W292" s="81"/>
      <x:c r="X292" s="81"/>
      <x:c r="Y292" s="81"/>
      <x:c r="Z292" s="81"/>
    </x:row>
    <x:row r="293">
      <x:c r="A293" s="81"/>
      <x:c r="B293" s="81"/>
      <x:c r="C293" s="81"/>
      <x:c r="D293" s="81"/>
      <x:c r="E293" s="81"/>
      <x:c r="F293" s="81"/>
      <x:c r="G293" s="81"/>
      <x:c r="H293" s="81"/>
      <x:c r="I293" s="81"/>
      <x:c r="J293" s="81"/>
      <x:c r="K293" s="81"/>
      <x:c r="L293" s="81"/>
      <x:c r="M293" s="81"/>
      <x:c r="N293" s="81"/>
      <x:c r="O293" s="81"/>
      <x:c r="P293" s="81"/>
      <x:c r="Q293" s="81"/>
      <x:c r="R293" s="81"/>
      <x:c r="S293" s="81"/>
      <x:c r="T293" s="81"/>
      <x:c r="U293" s="81"/>
      <x:c r="V293" s="81"/>
      <x:c r="W293" s="81"/>
      <x:c r="X293" s="81"/>
      <x:c r="Y293" s="81"/>
      <x:c r="Z293" s="81"/>
    </x:row>
    <x:row r="294">
      <x:c r="A294" s="81"/>
      <x:c r="B294" s="81"/>
      <x:c r="C294" s="81"/>
      <x:c r="D294" s="81"/>
      <x:c r="E294" s="81"/>
      <x:c r="F294" s="81"/>
      <x:c r="G294" s="81"/>
      <x:c r="H294" s="81"/>
      <x:c r="I294" s="81"/>
      <x:c r="J294" s="81"/>
      <x:c r="K294" s="81"/>
      <x:c r="L294" s="81"/>
      <x:c r="M294" s="81"/>
      <x:c r="N294" s="81"/>
      <x:c r="O294" s="81"/>
      <x:c r="P294" s="81"/>
      <x:c r="Q294" s="81"/>
      <x:c r="R294" s="81"/>
      <x:c r="S294" s="81"/>
      <x:c r="T294" s="81"/>
      <x:c r="U294" s="81"/>
      <x:c r="V294" s="81"/>
      <x:c r="W294" s="81"/>
      <x:c r="X294" s="81"/>
      <x:c r="Y294" s="81"/>
      <x:c r="Z294" s="81"/>
    </x:row>
    <x:row r="295">
      <x:c r="A295" s="81"/>
      <x:c r="B295" s="81"/>
      <x:c r="C295" s="81"/>
      <x:c r="D295" s="81"/>
      <x:c r="E295" s="81"/>
      <x:c r="F295" s="81"/>
      <x:c r="G295" s="81"/>
      <x:c r="H295" s="81"/>
      <x:c r="I295" s="81"/>
      <x:c r="J295" s="81"/>
      <x:c r="K295" s="81"/>
      <x:c r="L295" s="81"/>
      <x:c r="M295" s="81"/>
      <x:c r="N295" s="81"/>
      <x:c r="O295" s="81"/>
      <x:c r="P295" s="81"/>
      <x:c r="Q295" s="81"/>
      <x:c r="R295" s="81"/>
      <x:c r="S295" s="81"/>
      <x:c r="T295" s="81"/>
      <x:c r="U295" s="81"/>
      <x:c r="V295" s="81"/>
      <x:c r="W295" s="81"/>
      <x:c r="X295" s="81"/>
      <x:c r="Y295" s="81"/>
      <x:c r="Z295" s="81"/>
    </x:row>
    <x:row r="296">
      <x:c r="A296" s="81"/>
      <x:c r="B296" s="81"/>
      <x:c r="C296" s="81"/>
      <x:c r="D296" s="81"/>
      <x:c r="E296" s="81"/>
      <x:c r="F296" s="81"/>
      <x:c r="G296" s="81"/>
      <x:c r="H296" s="81"/>
      <x:c r="I296" s="81"/>
      <x:c r="J296" s="81"/>
      <x:c r="K296" s="81"/>
      <x:c r="L296" s="81"/>
      <x:c r="M296" s="81"/>
      <x:c r="N296" s="81"/>
      <x:c r="O296" s="81"/>
      <x:c r="P296" s="81"/>
      <x:c r="Q296" s="81"/>
      <x:c r="R296" s="81"/>
      <x:c r="S296" s="81"/>
      <x:c r="T296" s="81"/>
      <x:c r="U296" s="81"/>
      <x:c r="V296" s="81"/>
      <x:c r="W296" s="81"/>
      <x:c r="X296" s="81"/>
      <x:c r="Y296" s="81"/>
      <x:c r="Z296" s="81"/>
    </x:row>
    <x:row r="297">
      <x:c r="A297" s="81"/>
      <x:c r="B297" s="81"/>
      <x:c r="C297" s="81"/>
      <x:c r="D297" s="81"/>
      <x:c r="E297" s="81"/>
      <x:c r="F297" s="81"/>
      <x:c r="G297" s="81"/>
      <x:c r="H297" s="81"/>
      <x:c r="I297" s="81"/>
      <x:c r="J297" s="81"/>
      <x:c r="K297" s="81"/>
      <x:c r="L297" s="81"/>
      <x:c r="M297" s="81"/>
      <x:c r="N297" s="81"/>
      <x:c r="O297" s="81"/>
      <x:c r="P297" s="81"/>
      <x:c r="Q297" s="81"/>
      <x:c r="R297" s="81"/>
      <x:c r="S297" s="81"/>
      <x:c r="T297" s="81"/>
      <x:c r="U297" s="81"/>
      <x:c r="V297" s="81"/>
      <x:c r="W297" s="81"/>
      <x:c r="X297" s="81"/>
      <x:c r="Y297" s="81"/>
      <x:c r="Z297" s="81"/>
    </x:row>
    <x:row r="298">
      <x:c r="A298" s="81"/>
      <x:c r="B298" s="81"/>
      <x:c r="C298" s="81"/>
      <x:c r="D298" s="81"/>
      <x:c r="E298" s="81"/>
      <x:c r="F298" s="81"/>
      <x:c r="G298" s="81"/>
      <x:c r="H298" s="81"/>
      <x:c r="I298" s="81"/>
      <x:c r="J298" s="81"/>
      <x:c r="K298" s="81"/>
      <x:c r="L298" s="81"/>
      <x:c r="M298" s="81"/>
      <x:c r="N298" s="81"/>
      <x:c r="O298" s="81"/>
      <x:c r="P298" s="81"/>
      <x:c r="Q298" s="81"/>
      <x:c r="R298" s="81"/>
      <x:c r="S298" s="81"/>
      <x:c r="T298" s="81"/>
      <x:c r="U298" s="81"/>
      <x:c r="V298" s="81"/>
      <x:c r="W298" s="81"/>
      <x:c r="X298" s="81"/>
      <x:c r="Y298" s="81"/>
      <x:c r="Z298" s="81"/>
    </x:row>
    <x:row r="299">
      <x:c r="A299" s="81"/>
      <x:c r="B299" s="81"/>
      <x:c r="C299" s="81"/>
      <x:c r="D299" s="81"/>
      <x:c r="E299" s="81"/>
      <x:c r="F299" s="81"/>
      <x:c r="G299" s="81"/>
      <x:c r="H299" s="81"/>
      <x:c r="I299" s="81"/>
      <x:c r="J299" s="81"/>
      <x:c r="K299" s="81"/>
      <x:c r="L299" s="81"/>
      <x:c r="M299" s="81"/>
      <x:c r="N299" s="81"/>
      <x:c r="O299" s="81"/>
      <x:c r="P299" s="81"/>
      <x:c r="Q299" s="81"/>
      <x:c r="R299" s="81"/>
      <x:c r="S299" s="81"/>
      <x:c r="T299" s="81"/>
      <x:c r="U299" s="81"/>
      <x:c r="V299" s="81"/>
      <x:c r="W299" s="81"/>
      <x:c r="X299" s="81"/>
      <x:c r="Y299" s="81"/>
      <x:c r="Z299" s="81"/>
    </x:row>
    <x:row r="300">
      <x:c r="A300" s="81"/>
      <x:c r="B300" s="81"/>
      <x:c r="C300" s="81"/>
      <x:c r="D300" s="81"/>
      <x:c r="E300" s="81"/>
      <x:c r="F300" s="81"/>
      <x:c r="G300" s="81"/>
      <x:c r="H300" s="81"/>
      <x:c r="I300" s="81"/>
      <x:c r="J300" s="81"/>
      <x:c r="K300" s="81"/>
      <x:c r="L300" s="81"/>
      <x:c r="M300" s="81"/>
      <x:c r="N300" s="81"/>
      <x:c r="O300" s="81"/>
      <x:c r="P300" s="81"/>
      <x:c r="Q300" s="81"/>
      <x:c r="R300" s="81"/>
      <x:c r="S300" s="81"/>
      <x:c r="T300" s="81"/>
      <x:c r="U300" s="81"/>
      <x:c r="V300" s="81"/>
      <x:c r="W300" s="81"/>
      <x:c r="X300" s="81"/>
      <x:c r="Y300" s="81"/>
      <x:c r="Z300" s="81"/>
    </x:row>
    <x:row r="301">
      <x:c r="A301" s="81"/>
      <x:c r="B301" s="81"/>
      <x:c r="C301" s="81"/>
      <x:c r="D301" s="81"/>
      <x:c r="E301" s="81"/>
      <x:c r="F301" s="81"/>
      <x:c r="G301" s="81"/>
      <x:c r="H301" s="81"/>
      <x:c r="I301" s="81"/>
      <x:c r="J301" s="81"/>
      <x:c r="K301" s="81"/>
      <x:c r="L301" s="81"/>
      <x:c r="M301" s="81"/>
      <x:c r="N301" s="81"/>
      <x:c r="O301" s="81"/>
      <x:c r="P301" s="81"/>
      <x:c r="Q301" s="81"/>
      <x:c r="R301" s="81"/>
      <x:c r="S301" s="81"/>
      <x:c r="T301" s="81"/>
      <x:c r="U301" s="81"/>
      <x:c r="V301" s="81"/>
      <x:c r="W301" s="81"/>
      <x:c r="X301" s="81"/>
      <x:c r="Y301" s="81"/>
      <x:c r="Z301" s="81"/>
    </x:row>
    <x:row r="302">
      <x:c r="A302" s="81"/>
      <x:c r="B302" s="81"/>
      <x:c r="C302" s="81"/>
      <x:c r="D302" s="81"/>
      <x:c r="E302" s="81"/>
      <x:c r="F302" s="81"/>
      <x:c r="G302" s="81"/>
      <x:c r="H302" s="81"/>
      <x:c r="I302" s="81"/>
      <x:c r="J302" s="81"/>
      <x:c r="K302" s="81"/>
      <x:c r="L302" s="81"/>
      <x:c r="M302" s="81"/>
      <x:c r="N302" s="81"/>
      <x:c r="O302" s="81"/>
      <x:c r="P302" s="81"/>
      <x:c r="Q302" s="81"/>
      <x:c r="R302" s="81"/>
      <x:c r="S302" s="81"/>
      <x:c r="T302" s="81"/>
      <x:c r="U302" s="81"/>
      <x:c r="V302" s="81"/>
      <x:c r="W302" s="81"/>
      <x:c r="X302" s="81"/>
      <x:c r="Y302" s="81"/>
      <x:c r="Z302" s="81"/>
    </x:row>
    <x:row r="303">
      <x:c r="A303" s="81"/>
      <x:c r="B303" s="81"/>
      <x:c r="C303" s="81"/>
      <x:c r="D303" s="81"/>
      <x:c r="E303" s="81"/>
      <x:c r="F303" s="81"/>
      <x:c r="G303" s="81"/>
      <x:c r="H303" s="81"/>
      <x:c r="I303" s="81"/>
      <x:c r="J303" s="81"/>
      <x:c r="K303" s="81"/>
      <x:c r="L303" s="81"/>
      <x:c r="M303" s="81"/>
      <x:c r="N303" s="81"/>
      <x:c r="O303" s="81"/>
      <x:c r="P303" s="81"/>
      <x:c r="Q303" s="81"/>
      <x:c r="R303" s="81"/>
      <x:c r="S303" s="81"/>
      <x:c r="T303" s="81"/>
      <x:c r="U303" s="81"/>
      <x:c r="V303" s="81"/>
      <x:c r="W303" s="81"/>
      <x:c r="X303" s="81"/>
      <x:c r="Y303" s="81"/>
      <x:c r="Z303" s="81"/>
    </x:row>
    <x:row r="304">
      <x:c r="A304" s="81"/>
      <x:c r="B304" s="81"/>
      <x:c r="C304" s="81"/>
      <x:c r="D304" s="81"/>
      <x:c r="E304" s="81"/>
      <x:c r="F304" s="81"/>
      <x:c r="G304" s="81"/>
      <x:c r="H304" s="81"/>
      <x:c r="I304" s="81"/>
      <x:c r="J304" s="81"/>
      <x:c r="K304" s="81"/>
      <x:c r="L304" s="81"/>
      <x:c r="M304" s="81"/>
      <x:c r="N304" s="81"/>
      <x:c r="O304" s="81"/>
      <x:c r="P304" s="81"/>
      <x:c r="Q304" s="81"/>
      <x:c r="R304" s="81"/>
      <x:c r="S304" s="81"/>
      <x:c r="T304" s="81"/>
      <x:c r="U304" s="81"/>
      <x:c r="V304" s="81"/>
      <x:c r="W304" s="81"/>
      <x:c r="X304" s="81"/>
      <x:c r="Y304" s="81"/>
      <x:c r="Z304" s="81"/>
    </x:row>
    <x:row r="305">
      <x:c r="A305" s="81"/>
      <x:c r="B305" s="81"/>
      <x:c r="C305" s="81"/>
      <x:c r="D305" s="81"/>
      <x:c r="E305" s="81"/>
      <x:c r="F305" s="81"/>
      <x:c r="G305" s="81"/>
      <x:c r="H305" s="81"/>
      <x:c r="I305" s="81"/>
      <x:c r="J305" s="81"/>
      <x:c r="K305" s="81"/>
      <x:c r="L305" s="81"/>
      <x:c r="M305" s="81"/>
      <x:c r="N305" s="81"/>
      <x:c r="O305" s="81"/>
      <x:c r="P305" s="81"/>
      <x:c r="Q305" s="81"/>
      <x:c r="R305" s="81"/>
      <x:c r="S305" s="81"/>
      <x:c r="T305" s="81"/>
      <x:c r="U305" s="81"/>
      <x:c r="V305" s="81"/>
      <x:c r="W305" s="81"/>
      <x:c r="X305" s="81"/>
      <x:c r="Y305" s="81"/>
      <x:c r="Z305" s="81"/>
    </x:row>
    <x:row r="306">
      <x:c r="A306" s="81"/>
      <x:c r="B306" s="81"/>
      <x:c r="C306" s="81"/>
      <x:c r="D306" s="81"/>
      <x:c r="E306" s="81"/>
      <x:c r="F306" s="81"/>
      <x:c r="G306" s="81"/>
      <x:c r="H306" s="81"/>
      <x:c r="I306" s="81"/>
      <x:c r="J306" s="81"/>
      <x:c r="K306" s="81"/>
      <x:c r="L306" s="81"/>
      <x:c r="M306" s="81"/>
      <x:c r="N306" s="81"/>
      <x:c r="O306" s="81"/>
      <x:c r="P306" s="81"/>
      <x:c r="Q306" s="81"/>
      <x:c r="R306" s="81"/>
      <x:c r="S306" s="81"/>
      <x:c r="T306" s="81"/>
      <x:c r="U306" s="81"/>
      <x:c r="V306" s="81"/>
      <x:c r="W306" s="81"/>
      <x:c r="X306" s="81"/>
      <x:c r="Y306" s="81"/>
      <x:c r="Z306" s="81"/>
    </x:row>
    <x:row r="307">
      <x:c r="A307" s="81"/>
      <x:c r="B307" s="81"/>
      <x:c r="C307" s="81"/>
      <x:c r="D307" s="81"/>
      <x:c r="E307" s="81"/>
      <x:c r="F307" s="81"/>
      <x:c r="G307" s="81"/>
      <x:c r="H307" s="81"/>
      <x:c r="I307" s="81"/>
      <x:c r="J307" s="81"/>
      <x:c r="K307" s="81"/>
      <x:c r="L307" s="81"/>
      <x:c r="M307" s="81"/>
      <x:c r="N307" s="81"/>
      <x:c r="O307" s="81"/>
      <x:c r="P307" s="81"/>
      <x:c r="Q307" s="81"/>
      <x:c r="R307" s="81"/>
      <x:c r="S307" s="81"/>
      <x:c r="T307" s="81"/>
      <x:c r="U307" s="81"/>
      <x:c r="V307" s="81"/>
      <x:c r="W307" s="81"/>
      <x:c r="X307" s="81"/>
      <x:c r="Y307" s="81"/>
      <x:c r="Z307" s="81"/>
    </x:row>
    <x:row r="308">
      <x:c r="A308" s="81"/>
      <x:c r="B308" s="81"/>
      <x:c r="C308" s="81"/>
      <x:c r="D308" s="81"/>
      <x:c r="E308" s="81"/>
      <x:c r="F308" s="81"/>
      <x:c r="G308" s="81"/>
      <x:c r="H308" s="81"/>
      <x:c r="I308" s="81"/>
      <x:c r="J308" s="81"/>
      <x:c r="K308" s="81"/>
      <x:c r="L308" s="81"/>
      <x:c r="M308" s="81"/>
      <x:c r="N308" s="81"/>
      <x:c r="O308" s="81"/>
      <x:c r="P308" s="81"/>
      <x:c r="Q308" s="81"/>
      <x:c r="R308" s="81"/>
      <x:c r="S308" s="81"/>
      <x:c r="T308" s="81"/>
      <x:c r="U308" s="81"/>
      <x:c r="V308" s="81"/>
      <x:c r="W308" s="81"/>
      <x:c r="X308" s="81"/>
      <x:c r="Y308" s="81"/>
      <x:c r="Z308" s="81"/>
    </x:row>
    <x:row r="309">
      <x:c r="A309" s="81"/>
      <x:c r="B309" s="81"/>
      <x:c r="C309" s="81"/>
      <x:c r="D309" s="81"/>
      <x:c r="E309" s="81"/>
      <x:c r="F309" s="81"/>
      <x:c r="G309" s="81"/>
      <x:c r="H309" s="81"/>
      <x:c r="I309" s="81"/>
      <x:c r="J309" s="81"/>
      <x:c r="K309" s="81"/>
      <x:c r="L309" s="81"/>
      <x:c r="M309" s="81"/>
      <x:c r="N309" s="81"/>
      <x:c r="O309" s="81"/>
      <x:c r="P309" s="81"/>
      <x:c r="Q309" s="81"/>
      <x:c r="R309" s="81"/>
      <x:c r="S309" s="81"/>
      <x:c r="T309" s="81"/>
      <x:c r="U309" s="81"/>
      <x:c r="V309" s="81"/>
      <x:c r="W309" s="81"/>
      <x:c r="X309" s="81"/>
      <x:c r="Y309" s="81"/>
      <x:c r="Z309" s="81"/>
    </x:row>
    <x:row r="310">
      <x:c r="A310" s="81"/>
      <x:c r="B310" s="81"/>
      <x:c r="C310" s="81"/>
      <x:c r="D310" s="81"/>
      <x:c r="E310" s="81"/>
      <x:c r="F310" s="81"/>
      <x:c r="G310" s="81"/>
      <x:c r="H310" s="81"/>
      <x:c r="I310" s="81"/>
      <x:c r="J310" s="81"/>
      <x:c r="K310" s="81"/>
      <x:c r="L310" s="81"/>
      <x:c r="M310" s="81"/>
      <x:c r="N310" s="81"/>
      <x:c r="O310" s="81"/>
      <x:c r="P310" s="81"/>
      <x:c r="Q310" s="81"/>
      <x:c r="R310" s="81"/>
      <x:c r="S310" s="81"/>
      <x:c r="T310" s="81"/>
      <x:c r="U310" s="81"/>
      <x:c r="V310" s="81"/>
      <x:c r="W310" s="81"/>
      <x:c r="X310" s="81"/>
      <x:c r="Y310" s="81"/>
      <x:c r="Z310" s="81"/>
    </x:row>
    <x:row r="311">
      <x:c r="A311" s="81"/>
      <x:c r="B311" s="81"/>
      <x:c r="C311" s="81"/>
      <x:c r="D311" s="81"/>
      <x:c r="E311" s="81"/>
      <x:c r="F311" s="81"/>
      <x:c r="G311" s="81"/>
      <x:c r="H311" s="81"/>
      <x:c r="I311" s="81"/>
      <x:c r="J311" s="81"/>
      <x:c r="K311" s="81"/>
      <x:c r="L311" s="81"/>
      <x:c r="M311" s="81"/>
      <x:c r="N311" s="81"/>
      <x:c r="O311" s="81"/>
      <x:c r="P311" s="81"/>
      <x:c r="Q311" s="81"/>
      <x:c r="R311" s="81"/>
      <x:c r="S311" s="81"/>
      <x:c r="T311" s="81"/>
      <x:c r="U311" s="81"/>
      <x:c r="V311" s="81"/>
      <x:c r="W311" s="81"/>
      <x:c r="X311" s="81"/>
      <x:c r="Y311" s="81"/>
      <x:c r="Z311" s="81"/>
    </x:row>
    <x:row r="312">
      <x:c r="A312" s="81"/>
      <x:c r="B312" s="81"/>
      <x:c r="C312" s="81"/>
      <x:c r="D312" s="81"/>
      <x:c r="E312" s="81"/>
      <x:c r="F312" s="81"/>
      <x:c r="G312" s="81"/>
      <x:c r="H312" s="81"/>
      <x:c r="I312" s="81"/>
      <x:c r="J312" s="81"/>
      <x:c r="K312" s="81"/>
      <x:c r="L312" s="81"/>
      <x:c r="M312" s="81"/>
      <x:c r="N312" s="81"/>
      <x:c r="O312" s="81"/>
      <x:c r="P312" s="81"/>
      <x:c r="Q312" s="81"/>
      <x:c r="R312" s="81"/>
      <x:c r="S312" s="81"/>
      <x:c r="T312" s="81"/>
      <x:c r="U312" s="81"/>
      <x:c r="V312" s="81"/>
      <x:c r="W312" s="81"/>
      <x:c r="X312" s="81"/>
      <x:c r="Y312" s="81"/>
      <x:c r="Z312" s="81"/>
    </x:row>
    <x:row r="313">
      <x:c r="A313" s="81"/>
      <x:c r="B313" s="81"/>
      <x:c r="C313" s="81"/>
      <x:c r="D313" s="81"/>
      <x:c r="E313" s="81"/>
      <x:c r="F313" s="81"/>
      <x:c r="G313" s="81"/>
      <x:c r="H313" s="81"/>
      <x:c r="I313" s="81"/>
      <x:c r="J313" s="81"/>
      <x:c r="K313" s="81"/>
      <x:c r="L313" s="81"/>
      <x:c r="M313" s="81"/>
      <x:c r="N313" s="81"/>
      <x:c r="O313" s="81"/>
      <x:c r="P313" s="81"/>
      <x:c r="Q313" s="81"/>
      <x:c r="R313" s="81"/>
      <x:c r="S313" s="81"/>
      <x:c r="T313" s="81"/>
      <x:c r="U313" s="81"/>
      <x:c r="V313" s="81"/>
      <x:c r="W313" s="81"/>
      <x:c r="X313" s="81"/>
      <x:c r="Y313" s="81"/>
      <x:c r="Z313" s="81"/>
    </x:row>
    <x:row r="314">
      <x:c r="A314" s="81"/>
      <x:c r="B314" s="81"/>
      <x:c r="C314" s="81"/>
      <x:c r="D314" s="81"/>
      <x:c r="E314" s="81"/>
      <x:c r="F314" s="81"/>
      <x:c r="G314" s="81"/>
      <x:c r="H314" s="81"/>
      <x:c r="I314" s="81"/>
      <x:c r="J314" s="81"/>
      <x:c r="K314" s="81"/>
      <x:c r="L314" s="81"/>
      <x:c r="M314" s="81"/>
      <x:c r="N314" s="81"/>
      <x:c r="O314" s="81"/>
      <x:c r="P314" s="81"/>
      <x:c r="Q314" s="81"/>
      <x:c r="R314" s="81"/>
      <x:c r="S314" s="81"/>
      <x:c r="T314" s="81"/>
      <x:c r="U314" s="81"/>
      <x:c r="V314" s="81"/>
      <x:c r="W314" s="81"/>
      <x:c r="X314" s="81"/>
      <x:c r="Y314" s="81"/>
      <x:c r="Z314" s="81"/>
    </x:row>
    <x:row r="315">
      <x:c r="A315" s="81"/>
      <x:c r="B315" s="81"/>
      <x:c r="C315" s="81"/>
      <x:c r="D315" s="81"/>
      <x:c r="E315" s="81"/>
      <x:c r="F315" s="81"/>
      <x:c r="G315" s="81"/>
      <x:c r="H315" s="81"/>
      <x:c r="I315" s="81"/>
      <x:c r="J315" s="81"/>
      <x:c r="K315" s="81"/>
      <x:c r="L315" s="81"/>
      <x:c r="M315" s="81"/>
      <x:c r="N315" s="81"/>
      <x:c r="O315" s="81"/>
      <x:c r="P315" s="81"/>
      <x:c r="Q315" s="81"/>
      <x:c r="R315" s="81"/>
      <x:c r="S315" s="81"/>
      <x:c r="T315" s="81"/>
      <x:c r="U315" s="81"/>
      <x:c r="V315" s="81"/>
      <x:c r="W315" s="81"/>
      <x:c r="X315" s="81"/>
      <x:c r="Y315" s="81"/>
      <x:c r="Z315" s="81"/>
    </x:row>
    <x:row r="316">
      <x:c r="A316" s="81"/>
      <x:c r="B316" s="81"/>
      <x:c r="C316" s="81"/>
      <x:c r="D316" s="81"/>
      <x:c r="E316" s="81"/>
      <x:c r="F316" s="81"/>
      <x:c r="G316" s="81"/>
      <x:c r="H316" s="81"/>
      <x:c r="I316" s="81"/>
      <x:c r="J316" s="81"/>
      <x:c r="K316" s="81"/>
      <x:c r="L316" s="81"/>
      <x:c r="M316" s="81"/>
      <x:c r="N316" s="81"/>
      <x:c r="O316" s="81"/>
      <x:c r="P316" s="81"/>
      <x:c r="Q316" s="81"/>
      <x:c r="R316" s="81"/>
      <x:c r="S316" s="81"/>
      <x:c r="T316" s="81"/>
      <x:c r="U316" s="81"/>
      <x:c r="V316" s="81"/>
      <x:c r="W316" s="81"/>
      <x:c r="X316" s="81"/>
      <x:c r="Y316" s="81"/>
      <x:c r="Z316" s="81"/>
    </x:row>
    <x:row r="317">
      <x:c r="A317" s="81"/>
      <x:c r="B317" s="81"/>
      <x:c r="C317" s="81"/>
      <x:c r="D317" s="81"/>
      <x:c r="E317" s="81"/>
      <x:c r="F317" s="81"/>
      <x:c r="G317" s="81"/>
      <x:c r="H317" s="81"/>
      <x:c r="I317" s="81"/>
      <x:c r="J317" s="81"/>
      <x:c r="K317" s="81"/>
      <x:c r="L317" s="81"/>
      <x:c r="M317" s="81"/>
      <x:c r="N317" s="81"/>
      <x:c r="O317" s="81"/>
      <x:c r="P317" s="81"/>
      <x:c r="Q317" s="81"/>
      <x:c r="R317" s="81"/>
      <x:c r="S317" s="81"/>
      <x:c r="T317" s="81"/>
      <x:c r="U317" s="81"/>
      <x:c r="V317" s="81"/>
      <x:c r="W317" s="81"/>
      <x:c r="X317" s="81"/>
      <x:c r="Y317" s="81"/>
      <x:c r="Z317" s="81"/>
    </x:row>
    <x:row r="318">
      <x:c r="A318" s="81"/>
      <x:c r="B318" s="81"/>
      <x:c r="C318" s="81"/>
      <x:c r="D318" s="81"/>
      <x:c r="E318" s="81"/>
      <x:c r="F318" s="81"/>
      <x:c r="G318" s="81"/>
      <x:c r="H318" s="81"/>
      <x:c r="I318" s="81"/>
      <x:c r="J318" s="81"/>
      <x:c r="K318" s="81"/>
      <x:c r="L318" s="81"/>
      <x:c r="M318" s="81"/>
      <x:c r="N318" s="81"/>
      <x:c r="O318" s="81"/>
      <x:c r="P318" s="81"/>
      <x:c r="Q318" s="81"/>
      <x:c r="R318" s="81"/>
      <x:c r="S318" s="81"/>
      <x:c r="T318" s="81"/>
      <x:c r="U318" s="81"/>
      <x:c r="V318" s="81"/>
      <x:c r="W318" s="81"/>
      <x:c r="X318" s="81"/>
      <x:c r="Y318" s="81"/>
      <x:c r="Z318" s="81"/>
    </x:row>
    <x:row r="319">
      <x:c r="A319" s="81"/>
      <x:c r="B319" s="81"/>
      <x:c r="C319" s="81"/>
      <x:c r="D319" s="81"/>
      <x:c r="E319" s="81"/>
      <x:c r="F319" s="81"/>
      <x:c r="G319" s="81"/>
      <x:c r="H319" s="81"/>
      <x:c r="I319" s="81"/>
      <x:c r="J319" s="81"/>
      <x:c r="K319" s="81"/>
      <x:c r="L319" s="81"/>
      <x:c r="M319" s="81"/>
      <x:c r="N319" s="81"/>
      <x:c r="O319" s="81"/>
      <x:c r="P319" s="81"/>
      <x:c r="Q319" s="81"/>
      <x:c r="R319" s="81"/>
      <x:c r="S319" s="81"/>
      <x:c r="T319" s="81"/>
      <x:c r="U319" s="81"/>
      <x:c r="V319" s="81"/>
      <x:c r="W319" s="81"/>
      <x:c r="X319" s="81"/>
      <x:c r="Y319" s="81"/>
      <x:c r="Z319" s="81"/>
    </x:row>
    <x:row r="320">
      <x:c r="A320" s="81"/>
      <x:c r="B320" s="81"/>
      <x:c r="C320" s="81"/>
      <x:c r="D320" s="81"/>
      <x:c r="E320" s="81"/>
      <x:c r="F320" s="81"/>
      <x:c r="G320" s="81"/>
      <x:c r="H320" s="81"/>
      <x:c r="I320" s="81"/>
      <x:c r="J320" s="81"/>
      <x:c r="K320" s="81"/>
      <x:c r="L320" s="81"/>
      <x:c r="M320" s="81"/>
      <x:c r="N320" s="81"/>
      <x:c r="O320" s="81"/>
      <x:c r="P320" s="81"/>
      <x:c r="Q320" s="81"/>
      <x:c r="R320" s="81"/>
      <x:c r="S320" s="81"/>
      <x:c r="T320" s="81"/>
      <x:c r="U320" s="81"/>
      <x:c r="V320" s="81"/>
      <x:c r="W320" s="81"/>
      <x:c r="X320" s="81"/>
      <x:c r="Y320" s="81"/>
      <x:c r="Z320" s="81"/>
    </x:row>
    <x:row r="321">
      <x:c r="A321" s="81"/>
      <x:c r="B321" s="81"/>
      <x:c r="C321" s="81"/>
      <x:c r="D321" s="81"/>
      <x:c r="E321" s="81"/>
      <x:c r="F321" s="81"/>
      <x:c r="G321" s="81"/>
      <x:c r="H321" s="81"/>
      <x:c r="I321" s="81"/>
      <x:c r="J321" s="81"/>
      <x:c r="K321" s="81"/>
      <x:c r="L321" s="81"/>
      <x:c r="M321" s="81"/>
      <x:c r="N321" s="81"/>
      <x:c r="O321" s="81"/>
      <x:c r="P321" s="81"/>
      <x:c r="Q321" s="81"/>
      <x:c r="R321" s="81"/>
      <x:c r="S321" s="81"/>
      <x:c r="T321" s="81"/>
      <x:c r="U321" s="81"/>
      <x:c r="V321" s="81"/>
      <x:c r="W321" s="81"/>
      <x:c r="X321" s="81"/>
      <x:c r="Y321" s="81"/>
      <x:c r="Z321" s="81"/>
    </x:row>
    <x:row r="322">
      <x:c r="A322" s="81"/>
      <x:c r="B322" s="81"/>
      <x:c r="C322" s="81"/>
      <x:c r="D322" s="81"/>
      <x:c r="E322" s="81"/>
      <x:c r="F322" s="81"/>
      <x:c r="G322" s="81"/>
      <x:c r="H322" s="81"/>
      <x:c r="I322" s="81"/>
      <x:c r="J322" s="81"/>
      <x:c r="K322" s="81"/>
      <x:c r="L322" s="81"/>
      <x:c r="M322" s="81"/>
      <x:c r="N322" s="81"/>
      <x:c r="O322" s="81"/>
      <x:c r="P322" s="81"/>
      <x:c r="Q322" s="81"/>
      <x:c r="R322" s="81"/>
      <x:c r="S322" s="81"/>
      <x:c r="T322" s="81"/>
      <x:c r="U322" s="81"/>
      <x:c r="V322" s="81"/>
      <x:c r="W322" s="81"/>
      <x:c r="X322" s="81"/>
      <x:c r="Y322" s="81"/>
      <x:c r="Z322" s="81"/>
    </x:row>
    <x:row r="323">
      <x:c r="A323" s="81"/>
      <x:c r="B323" s="81"/>
      <x:c r="C323" s="81"/>
      <x:c r="D323" s="81"/>
      <x:c r="E323" s="81"/>
      <x:c r="F323" s="81"/>
      <x:c r="G323" s="81"/>
      <x:c r="H323" s="81"/>
      <x:c r="I323" s="81"/>
      <x:c r="J323" s="81"/>
      <x:c r="K323" s="81"/>
      <x:c r="L323" s="81"/>
      <x:c r="M323" s="81"/>
      <x:c r="N323" s="81"/>
      <x:c r="O323" s="81"/>
      <x:c r="P323" s="81"/>
      <x:c r="Q323" s="81"/>
      <x:c r="R323" s="81"/>
      <x:c r="S323" s="81"/>
      <x:c r="T323" s="81"/>
      <x:c r="U323" s="81"/>
      <x:c r="V323" s="81"/>
      <x:c r="W323" s="81"/>
      <x:c r="X323" s="81"/>
      <x:c r="Y323" s="81"/>
      <x:c r="Z323" s="81"/>
    </x:row>
    <x:row r="324">
      <x:c r="A324" s="81"/>
      <x:c r="B324" s="81"/>
      <x:c r="C324" s="81"/>
      <x:c r="D324" s="81"/>
      <x:c r="E324" s="81"/>
      <x:c r="F324" s="81"/>
      <x:c r="G324" s="81"/>
      <x:c r="H324" s="81"/>
      <x:c r="I324" s="81"/>
      <x:c r="J324" s="81"/>
      <x:c r="K324" s="81"/>
      <x:c r="L324" s="81"/>
      <x:c r="M324" s="81"/>
      <x:c r="N324" s="81"/>
      <x:c r="O324" s="81"/>
      <x:c r="P324" s="81"/>
      <x:c r="Q324" s="81"/>
      <x:c r="R324" s="81"/>
      <x:c r="S324" s="81"/>
      <x:c r="T324" s="81"/>
      <x:c r="U324" s="81"/>
      <x:c r="V324" s="81"/>
      <x:c r="W324" s="81"/>
      <x:c r="X324" s="81"/>
      <x:c r="Y324" s="81"/>
      <x:c r="Z324" s="81"/>
    </x:row>
    <x:row r="325">
      <x:c r="A325" s="81"/>
      <x:c r="B325" s="81"/>
      <x:c r="C325" s="81"/>
      <x:c r="D325" s="81"/>
      <x:c r="E325" s="81"/>
      <x:c r="F325" s="81"/>
      <x:c r="G325" s="81"/>
      <x:c r="H325" s="81"/>
      <x:c r="I325" s="81"/>
      <x:c r="J325" s="81"/>
      <x:c r="K325" s="81"/>
      <x:c r="L325" s="81"/>
      <x:c r="M325" s="81"/>
      <x:c r="N325" s="81"/>
      <x:c r="O325" s="81"/>
      <x:c r="P325" s="81"/>
      <x:c r="Q325" s="81"/>
      <x:c r="R325" s="81"/>
      <x:c r="S325" s="81"/>
      <x:c r="T325" s="81"/>
      <x:c r="U325" s="81"/>
      <x:c r="V325" s="81"/>
      <x:c r="W325" s="81"/>
      <x:c r="X325" s="81"/>
      <x:c r="Y325" s="81"/>
      <x:c r="Z325" s="81"/>
    </x:row>
    <x:row r="326">
      <x:c r="A326" s="81"/>
      <x:c r="B326" s="81"/>
      <x:c r="C326" s="81"/>
      <x:c r="D326" s="81"/>
      <x:c r="E326" s="81"/>
      <x:c r="F326" s="81"/>
      <x:c r="G326" s="81"/>
      <x:c r="H326" s="81"/>
      <x:c r="I326" s="81"/>
      <x:c r="J326" s="81"/>
      <x:c r="K326" s="81"/>
      <x:c r="L326" s="81"/>
      <x:c r="M326" s="81"/>
      <x:c r="N326" s="81"/>
      <x:c r="O326" s="81"/>
      <x:c r="P326" s="81"/>
      <x:c r="Q326" s="81"/>
      <x:c r="R326" s="81"/>
      <x:c r="S326" s="81"/>
      <x:c r="T326" s="81"/>
      <x:c r="U326" s="81"/>
      <x:c r="V326" s="81"/>
      <x:c r="W326" s="81"/>
      <x:c r="X326" s="81"/>
      <x:c r="Y326" s="81"/>
      <x:c r="Z326" s="81"/>
    </x:row>
    <x:row r="327">
      <x:c r="A327" s="81"/>
      <x:c r="B327" s="81"/>
      <x:c r="C327" s="81"/>
      <x:c r="D327" s="81"/>
      <x:c r="E327" s="81"/>
      <x:c r="F327" s="81"/>
      <x:c r="G327" s="81"/>
      <x:c r="H327" s="81"/>
      <x:c r="I327" s="81"/>
      <x:c r="J327" s="81"/>
      <x:c r="K327" s="81"/>
      <x:c r="L327" s="81"/>
      <x:c r="M327" s="81"/>
      <x:c r="N327" s="81"/>
      <x:c r="O327" s="81"/>
      <x:c r="P327" s="81"/>
      <x:c r="Q327" s="81"/>
      <x:c r="R327" s="81"/>
      <x:c r="S327" s="81"/>
      <x:c r="T327" s="81"/>
      <x:c r="U327" s="81"/>
      <x:c r="V327" s="81"/>
      <x:c r="W327" s="81"/>
      <x:c r="X327" s="81"/>
      <x:c r="Y327" s="81"/>
      <x:c r="Z327" s="81"/>
    </x:row>
    <x:row r="328">
      <x:c r="A328" s="81"/>
      <x:c r="B328" s="81"/>
      <x:c r="C328" s="81"/>
      <x:c r="D328" s="81"/>
      <x:c r="E328" s="81"/>
      <x:c r="F328" s="81"/>
      <x:c r="G328" s="81"/>
      <x:c r="H328" s="81"/>
      <x:c r="I328" s="81"/>
      <x:c r="J328" s="81"/>
      <x:c r="K328" s="81"/>
      <x:c r="L328" s="81"/>
      <x:c r="M328" s="81"/>
      <x:c r="N328" s="81"/>
      <x:c r="O328" s="81"/>
      <x:c r="P328" s="81"/>
      <x:c r="Q328" s="81"/>
      <x:c r="R328" s="81"/>
      <x:c r="S328" s="81"/>
      <x:c r="T328" s="81"/>
      <x:c r="U328" s="81"/>
      <x:c r="V328" s="81"/>
      <x:c r="W328" s="81"/>
      <x:c r="X328" s="81"/>
      <x:c r="Y328" s="81"/>
      <x:c r="Z328" s="81"/>
    </x:row>
    <x:row r="329">
      <x:c r="A329" s="81"/>
      <x:c r="B329" s="81"/>
      <x:c r="C329" s="81"/>
      <x:c r="D329" s="81"/>
      <x:c r="E329" s="81"/>
      <x:c r="F329" s="81"/>
      <x:c r="G329" s="81"/>
      <x:c r="H329" s="81"/>
      <x:c r="I329" s="81"/>
      <x:c r="J329" s="81"/>
      <x:c r="K329" s="81"/>
      <x:c r="L329" s="81"/>
      <x:c r="M329" s="81"/>
      <x:c r="N329" s="81"/>
      <x:c r="O329" s="81"/>
      <x:c r="P329" s="81"/>
      <x:c r="Q329" s="81"/>
      <x:c r="R329" s="81"/>
      <x:c r="S329" s="81"/>
      <x:c r="T329" s="81"/>
      <x:c r="U329" s="81"/>
      <x:c r="V329" s="81"/>
      <x:c r="W329" s="81"/>
      <x:c r="X329" s="81"/>
      <x:c r="Y329" s="81"/>
      <x:c r="Z329" s="81"/>
    </x:row>
    <x:row r="330">
      <x:c r="A330" s="81"/>
      <x:c r="B330" s="81"/>
      <x:c r="C330" s="81"/>
      <x:c r="D330" s="81"/>
      <x:c r="E330" s="81"/>
      <x:c r="F330" s="81"/>
      <x:c r="G330" s="81"/>
      <x:c r="H330" s="81"/>
      <x:c r="I330" s="81"/>
      <x:c r="J330" s="81"/>
      <x:c r="K330" s="81"/>
      <x:c r="L330" s="81"/>
      <x:c r="M330" s="81"/>
      <x:c r="N330" s="81"/>
      <x:c r="O330" s="81"/>
      <x:c r="P330" s="81"/>
      <x:c r="Q330" s="81"/>
      <x:c r="R330" s="81"/>
      <x:c r="S330" s="81"/>
      <x:c r="T330" s="81"/>
      <x:c r="U330" s="81"/>
      <x:c r="V330" s="81"/>
      <x:c r="W330" s="81"/>
      <x:c r="X330" s="81"/>
      <x:c r="Y330" s="81"/>
      <x:c r="Z330" s="81"/>
    </x:row>
    <x:row r="331">
      <x:c r="A331" s="81"/>
      <x:c r="B331" s="81"/>
      <x:c r="C331" s="81"/>
      <x:c r="D331" s="81"/>
      <x:c r="E331" s="81"/>
      <x:c r="F331" s="81"/>
      <x:c r="G331" s="81"/>
      <x:c r="H331" s="81"/>
      <x:c r="I331" s="81"/>
      <x:c r="J331" s="81"/>
      <x:c r="K331" s="81"/>
      <x:c r="L331" s="81"/>
      <x:c r="M331" s="81"/>
      <x:c r="N331" s="81"/>
      <x:c r="O331" s="81"/>
      <x:c r="P331" s="81"/>
      <x:c r="Q331" s="81"/>
      <x:c r="R331" s="81"/>
      <x:c r="S331" s="81"/>
      <x:c r="T331" s="81"/>
      <x:c r="U331" s="81"/>
      <x:c r="V331" s="81"/>
      <x:c r="W331" s="81"/>
      <x:c r="X331" s="81"/>
      <x:c r="Y331" s="81"/>
      <x:c r="Z331" s="81"/>
    </x:row>
    <x:row r="332">
      <x:c r="A332" s="81"/>
      <x:c r="B332" s="81"/>
      <x:c r="C332" s="81"/>
      <x:c r="D332" s="81"/>
      <x:c r="E332" s="81"/>
      <x:c r="F332" s="81"/>
      <x:c r="G332" s="81"/>
      <x:c r="H332" s="81"/>
      <x:c r="I332" s="81"/>
      <x:c r="J332" s="81"/>
      <x:c r="K332" s="81"/>
      <x:c r="L332" s="81"/>
      <x:c r="M332" s="81"/>
      <x:c r="N332" s="81"/>
      <x:c r="O332" s="81"/>
      <x:c r="P332" s="81"/>
      <x:c r="Q332" s="81"/>
      <x:c r="R332" s="81"/>
      <x:c r="S332" s="81"/>
      <x:c r="T332" s="81"/>
      <x:c r="U332" s="81"/>
      <x:c r="V332" s="81"/>
      <x:c r="W332" s="81"/>
      <x:c r="X332" s="81"/>
      <x:c r="Y332" s="81"/>
      <x:c r="Z332" s="81"/>
    </x:row>
    <x:row r="333">
      <x:c r="A333" s="81"/>
      <x:c r="B333" s="81"/>
      <x:c r="C333" s="81"/>
      <x:c r="D333" s="81"/>
      <x:c r="E333" s="81"/>
      <x:c r="F333" s="81"/>
      <x:c r="G333" s="81"/>
      <x:c r="H333" s="81"/>
      <x:c r="I333" s="81"/>
      <x:c r="J333" s="81"/>
      <x:c r="K333" s="81"/>
      <x:c r="L333" s="81"/>
      <x:c r="M333" s="81"/>
      <x:c r="N333" s="81"/>
      <x:c r="O333" s="81"/>
      <x:c r="P333" s="81"/>
      <x:c r="Q333" s="81"/>
      <x:c r="R333" s="81"/>
      <x:c r="S333" s="81"/>
      <x:c r="T333" s="81"/>
      <x:c r="U333" s="81"/>
      <x:c r="V333" s="81"/>
      <x:c r="W333" s="81"/>
      <x:c r="X333" s="81"/>
      <x:c r="Y333" s="81"/>
      <x:c r="Z333" s="81"/>
    </x:row>
    <x:row r="334">
      <x:c r="A334" s="81"/>
      <x:c r="B334" s="81"/>
      <x:c r="C334" s="81"/>
      <x:c r="D334" s="81"/>
      <x:c r="E334" s="81"/>
      <x:c r="F334" s="81"/>
      <x:c r="G334" s="81"/>
      <x:c r="H334" s="81"/>
      <x:c r="I334" s="81"/>
      <x:c r="J334" s="81"/>
      <x:c r="K334" s="81"/>
      <x:c r="L334" s="81"/>
      <x:c r="M334" s="81"/>
      <x:c r="N334" s="81"/>
      <x:c r="O334" s="81"/>
      <x:c r="P334" s="81"/>
      <x:c r="Q334" s="81"/>
      <x:c r="R334" s="81"/>
      <x:c r="S334" s="81"/>
      <x:c r="T334" s="81"/>
      <x:c r="U334" s="81"/>
      <x:c r="V334" s="81"/>
      <x:c r="W334" s="81"/>
      <x:c r="X334" s="81"/>
      <x:c r="Y334" s="81"/>
      <x:c r="Z334" s="81"/>
    </x:row>
    <x:row r="335">
      <x:c r="A335" s="81"/>
      <x:c r="B335" s="81"/>
      <x:c r="C335" s="81"/>
      <x:c r="D335" s="81"/>
      <x:c r="E335" s="81"/>
      <x:c r="F335" s="81"/>
      <x:c r="G335" s="81"/>
      <x:c r="H335" s="81"/>
      <x:c r="I335" s="81"/>
      <x:c r="J335" s="81"/>
      <x:c r="K335" s="81"/>
      <x:c r="L335" s="81"/>
      <x:c r="M335" s="81"/>
      <x:c r="N335" s="81"/>
      <x:c r="O335" s="81"/>
      <x:c r="P335" s="81"/>
      <x:c r="Q335" s="81"/>
      <x:c r="R335" s="81"/>
      <x:c r="S335" s="81"/>
      <x:c r="T335" s="81"/>
      <x:c r="U335" s="81"/>
      <x:c r="V335" s="81"/>
      <x:c r="W335" s="81"/>
      <x:c r="X335" s="81"/>
      <x:c r="Y335" s="81"/>
      <x:c r="Z335" s="81"/>
    </x:row>
    <x:row r="336">
      <x:c r="A336" s="81"/>
      <x:c r="B336" s="81"/>
      <x:c r="C336" s="81"/>
      <x:c r="D336" s="81"/>
      <x:c r="E336" s="81"/>
      <x:c r="F336" s="81"/>
      <x:c r="G336" s="81"/>
      <x:c r="H336" s="81"/>
      <x:c r="I336" s="81"/>
      <x:c r="J336" s="81"/>
      <x:c r="K336" s="81"/>
      <x:c r="L336" s="81"/>
      <x:c r="M336" s="81"/>
      <x:c r="N336" s="81"/>
      <x:c r="O336" s="81"/>
      <x:c r="P336" s="81"/>
      <x:c r="Q336" s="81"/>
      <x:c r="R336" s="81"/>
      <x:c r="S336" s="81"/>
      <x:c r="T336" s="81"/>
      <x:c r="U336" s="81"/>
      <x:c r="V336" s="81"/>
      <x:c r="W336" s="81"/>
      <x:c r="X336" s="81"/>
      <x:c r="Y336" s="81"/>
      <x:c r="Z336" s="81"/>
    </x:row>
    <x:row r="337">
      <x:c r="A337" s="81"/>
      <x:c r="B337" s="81"/>
      <x:c r="C337" s="81"/>
      <x:c r="D337" s="81"/>
      <x:c r="E337" s="81"/>
      <x:c r="F337" s="81"/>
      <x:c r="G337" s="81"/>
      <x:c r="H337" s="81"/>
      <x:c r="I337" s="81"/>
      <x:c r="J337" s="81"/>
      <x:c r="K337" s="81"/>
      <x:c r="L337" s="81"/>
      <x:c r="M337" s="81"/>
      <x:c r="N337" s="81"/>
      <x:c r="O337" s="81"/>
      <x:c r="P337" s="81"/>
      <x:c r="Q337" s="81"/>
      <x:c r="R337" s="81"/>
      <x:c r="S337" s="81"/>
      <x:c r="T337" s="81"/>
      <x:c r="U337" s="81"/>
      <x:c r="V337" s="81"/>
      <x:c r="W337" s="81"/>
      <x:c r="X337" s="81"/>
      <x:c r="Y337" s="81"/>
      <x:c r="Z337" s="81"/>
    </x:row>
    <x:row r="338">
      <x:c r="A338" s="81"/>
      <x:c r="B338" s="81"/>
      <x:c r="C338" s="81"/>
      <x:c r="D338" s="81"/>
      <x:c r="E338" s="81"/>
      <x:c r="F338" s="81"/>
      <x:c r="G338" s="81"/>
      <x:c r="H338" s="81"/>
      <x:c r="I338" s="81"/>
      <x:c r="J338" s="81"/>
      <x:c r="K338" s="81"/>
      <x:c r="L338" s="81"/>
      <x:c r="M338" s="81"/>
      <x:c r="N338" s="81"/>
      <x:c r="O338" s="81"/>
      <x:c r="P338" s="81"/>
      <x:c r="Q338" s="81"/>
      <x:c r="R338" s="81"/>
      <x:c r="S338" s="81"/>
      <x:c r="T338" s="81"/>
      <x:c r="U338" s="81"/>
      <x:c r="V338" s="81"/>
      <x:c r="W338" s="81"/>
      <x:c r="X338" s="81"/>
      <x:c r="Y338" s="81"/>
      <x:c r="Z338" s="81"/>
    </x:row>
    <x:row r="339">
      <x:c r="A339" s="81"/>
      <x:c r="B339" s="81"/>
      <x:c r="C339" s="81"/>
      <x:c r="D339" s="81"/>
      <x:c r="E339" s="81"/>
      <x:c r="F339" s="81"/>
      <x:c r="G339" s="81"/>
      <x:c r="H339" s="81"/>
      <x:c r="I339" s="81"/>
      <x:c r="J339" s="81"/>
      <x:c r="K339" s="81"/>
      <x:c r="L339" s="81"/>
      <x:c r="M339" s="81"/>
      <x:c r="N339" s="81"/>
      <x:c r="O339" s="81"/>
      <x:c r="P339" s="81"/>
      <x:c r="Q339" s="81"/>
      <x:c r="R339" s="81"/>
      <x:c r="S339" s="81"/>
      <x:c r="T339" s="81"/>
      <x:c r="U339" s="81"/>
      <x:c r="V339" s="81"/>
      <x:c r="W339" s="81"/>
      <x:c r="X339" s="81"/>
      <x:c r="Y339" s="81"/>
      <x:c r="Z339" s="81"/>
    </x:row>
    <x:row r="340">
      <x:c r="A340" s="81"/>
      <x:c r="B340" s="81"/>
      <x:c r="C340" s="81"/>
      <x:c r="D340" s="81"/>
      <x:c r="E340" s="81"/>
      <x:c r="F340" s="81"/>
      <x:c r="G340" s="81"/>
      <x:c r="H340" s="81"/>
      <x:c r="I340" s="81"/>
      <x:c r="J340" s="81"/>
      <x:c r="K340" s="81"/>
      <x:c r="L340" s="81"/>
      <x:c r="M340" s="81"/>
      <x:c r="N340" s="81"/>
      <x:c r="O340" s="81"/>
      <x:c r="P340" s="81"/>
      <x:c r="Q340" s="81"/>
      <x:c r="R340" s="81"/>
      <x:c r="S340" s="81"/>
      <x:c r="T340" s="81"/>
      <x:c r="U340" s="81"/>
      <x:c r="V340" s="81"/>
      <x:c r="W340" s="81"/>
      <x:c r="X340" s="81"/>
      <x:c r="Y340" s="81"/>
      <x:c r="Z340" s="81"/>
    </x:row>
    <x:row r="341">
      <x:c r="A341" s="81"/>
      <x:c r="B341" s="81"/>
      <x:c r="C341" s="81"/>
      <x:c r="D341" s="81"/>
      <x:c r="E341" s="81"/>
      <x:c r="F341" s="81"/>
      <x:c r="G341" s="81"/>
      <x:c r="H341" s="81"/>
      <x:c r="I341" s="81"/>
      <x:c r="J341" s="81"/>
      <x:c r="K341" s="81"/>
      <x:c r="L341" s="81"/>
      <x:c r="M341" s="81"/>
      <x:c r="N341" s="81"/>
      <x:c r="O341" s="81"/>
      <x:c r="P341" s="81"/>
      <x:c r="Q341" s="81"/>
      <x:c r="R341" s="81"/>
      <x:c r="S341" s="81"/>
      <x:c r="T341" s="81"/>
      <x:c r="U341" s="81"/>
      <x:c r="V341" s="81"/>
      <x:c r="W341" s="81"/>
      <x:c r="X341" s="81"/>
      <x:c r="Y341" s="81"/>
      <x:c r="Z341" s="81"/>
    </x:row>
    <x:row r="342">
      <x:c r="A342" s="81"/>
      <x:c r="B342" s="81"/>
      <x:c r="C342" s="81"/>
      <x:c r="D342" s="81"/>
      <x:c r="E342" s="81"/>
      <x:c r="F342" s="81"/>
      <x:c r="G342" s="81"/>
      <x:c r="H342" s="81"/>
      <x:c r="I342" s="81"/>
      <x:c r="J342" s="81"/>
      <x:c r="K342" s="81"/>
      <x:c r="L342" s="81"/>
      <x:c r="M342" s="81"/>
      <x:c r="N342" s="81"/>
      <x:c r="O342" s="81"/>
      <x:c r="P342" s="81"/>
      <x:c r="Q342" s="81"/>
      <x:c r="R342" s="81"/>
      <x:c r="S342" s="81"/>
      <x:c r="T342" s="81"/>
      <x:c r="U342" s="81"/>
      <x:c r="V342" s="81"/>
      <x:c r="W342" s="81"/>
      <x:c r="X342" s="81"/>
      <x:c r="Y342" s="81"/>
      <x:c r="Z342" s="81"/>
    </x:row>
    <x:row r="343">
      <x:c r="A343" s="81"/>
      <x:c r="B343" s="81"/>
      <x:c r="C343" s="81"/>
      <x:c r="D343" s="81"/>
      <x:c r="E343" s="81"/>
      <x:c r="F343" s="81"/>
      <x:c r="G343" s="81"/>
      <x:c r="H343" s="81"/>
      <x:c r="I343" s="81"/>
      <x:c r="J343" s="81"/>
      <x:c r="K343" s="81"/>
      <x:c r="L343" s="81"/>
      <x:c r="M343" s="81"/>
      <x:c r="N343" s="81"/>
      <x:c r="O343" s="81"/>
      <x:c r="P343" s="81"/>
      <x:c r="Q343" s="81"/>
      <x:c r="R343" s="81"/>
      <x:c r="S343" s="81"/>
      <x:c r="T343" s="81"/>
      <x:c r="U343" s="81"/>
      <x:c r="V343" s="81"/>
      <x:c r="W343" s="81"/>
      <x:c r="X343" s="81"/>
      <x:c r="Y343" s="81"/>
      <x:c r="Z343" s="81"/>
    </x:row>
    <x:row r="344">
      <x:c r="A344" s="81"/>
      <x:c r="B344" s="81"/>
      <x:c r="C344" s="81"/>
      <x:c r="D344" s="81"/>
      <x:c r="E344" s="81"/>
      <x:c r="F344" s="81"/>
      <x:c r="G344" s="81"/>
      <x:c r="H344" s="81"/>
      <x:c r="I344" s="81"/>
      <x:c r="J344" s="81"/>
      <x:c r="K344" s="81"/>
      <x:c r="L344" s="81"/>
      <x:c r="M344" s="81"/>
      <x:c r="N344" s="81"/>
      <x:c r="O344" s="81"/>
      <x:c r="P344" s="81"/>
      <x:c r="Q344" s="81"/>
      <x:c r="R344" s="81"/>
      <x:c r="S344" s="81"/>
      <x:c r="T344" s="81"/>
      <x:c r="U344" s="81"/>
      <x:c r="V344" s="81"/>
      <x:c r="W344" s="81"/>
      <x:c r="X344" s="81"/>
      <x:c r="Y344" s="81"/>
      <x:c r="Z344" s="81"/>
    </x:row>
    <x:row r="345">
      <x:c r="A345" s="81"/>
      <x:c r="B345" s="81"/>
      <x:c r="C345" s="81"/>
      <x:c r="D345" s="81"/>
      <x:c r="E345" s="81"/>
      <x:c r="F345" s="81"/>
      <x:c r="G345" s="81"/>
      <x:c r="H345" s="81"/>
      <x:c r="I345" s="81"/>
      <x:c r="J345" s="81"/>
      <x:c r="K345" s="81"/>
      <x:c r="L345" s="81"/>
      <x:c r="M345" s="81"/>
      <x:c r="N345" s="81"/>
      <x:c r="O345" s="81"/>
      <x:c r="P345" s="81"/>
      <x:c r="Q345" s="81"/>
      <x:c r="R345" s="81"/>
      <x:c r="S345" s="81"/>
      <x:c r="T345" s="81"/>
      <x:c r="U345" s="81"/>
      <x:c r="V345" s="81"/>
      <x:c r="W345" s="81"/>
      <x:c r="X345" s="81"/>
      <x:c r="Y345" s="81"/>
      <x:c r="Z345" s="81"/>
    </x:row>
    <x:row r="346">
      <x:c r="A346" s="81"/>
      <x:c r="B346" s="81"/>
      <x:c r="C346" s="81"/>
      <x:c r="D346" s="81"/>
      <x:c r="E346" s="81"/>
      <x:c r="F346" s="81"/>
      <x:c r="G346" s="81"/>
      <x:c r="H346" s="81"/>
      <x:c r="I346" s="81"/>
      <x:c r="J346" s="81"/>
      <x:c r="K346" s="81"/>
      <x:c r="L346" s="81"/>
      <x:c r="M346" s="81"/>
      <x:c r="N346" s="81"/>
      <x:c r="O346" s="81"/>
      <x:c r="P346" s="81"/>
      <x:c r="Q346" s="81"/>
      <x:c r="R346" s="81"/>
      <x:c r="S346" s="81"/>
      <x:c r="T346" s="81"/>
      <x:c r="U346" s="81"/>
      <x:c r="V346" s="81"/>
      <x:c r="W346" s="81"/>
      <x:c r="X346" s="81"/>
      <x:c r="Y346" s="81"/>
      <x:c r="Z346" s="81"/>
    </x:row>
    <x:row r="347">
      <x:c r="A347" s="81"/>
      <x:c r="B347" s="81"/>
      <x:c r="C347" s="81"/>
      <x:c r="D347" s="81"/>
      <x:c r="E347" s="81"/>
      <x:c r="F347" s="81"/>
      <x:c r="G347" s="81"/>
      <x:c r="H347" s="81"/>
      <x:c r="I347" s="81"/>
      <x:c r="J347" s="81"/>
      <x:c r="K347" s="81"/>
      <x:c r="L347" s="81"/>
      <x:c r="M347" s="81"/>
      <x:c r="N347" s="81"/>
      <x:c r="O347" s="81"/>
      <x:c r="P347" s="81"/>
      <x:c r="Q347" s="81"/>
      <x:c r="R347" s="81"/>
      <x:c r="S347" s="81"/>
      <x:c r="T347" s="81"/>
      <x:c r="U347" s="81"/>
      <x:c r="V347" s="81"/>
      <x:c r="W347" s="81"/>
      <x:c r="X347" s="81"/>
      <x:c r="Y347" s="81"/>
      <x:c r="Z347" s="81"/>
    </x:row>
    <x:row r="348">
      <x:c r="A348" s="81"/>
      <x:c r="B348" s="81"/>
      <x:c r="C348" s="81"/>
      <x:c r="D348" s="81"/>
      <x:c r="E348" s="81"/>
      <x:c r="F348" s="81"/>
      <x:c r="G348" s="81"/>
      <x:c r="H348" s="81"/>
      <x:c r="I348" s="81"/>
      <x:c r="J348" s="81"/>
      <x:c r="K348" s="81"/>
      <x:c r="L348" s="81"/>
      <x:c r="M348" s="81"/>
      <x:c r="N348" s="81"/>
      <x:c r="O348" s="81"/>
      <x:c r="P348" s="81"/>
      <x:c r="Q348" s="81"/>
      <x:c r="R348" s="81"/>
      <x:c r="S348" s="81"/>
      <x:c r="T348" s="81"/>
      <x:c r="U348" s="81"/>
      <x:c r="V348" s="81"/>
      <x:c r="W348" s="81"/>
      <x:c r="X348" s="81"/>
      <x:c r="Y348" s="81"/>
      <x:c r="Z348" s="81"/>
    </x:row>
    <x:row r="349">
      <x:c r="A349" s="81"/>
      <x:c r="B349" s="81"/>
      <x:c r="C349" s="81"/>
      <x:c r="D349" s="81"/>
      <x:c r="E349" s="81"/>
      <x:c r="F349" s="81"/>
      <x:c r="G349" s="81"/>
      <x:c r="H349" s="81"/>
      <x:c r="I349" s="81"/>
      <x:c r="J349" s="81"/>
      <x:c r="K349" s="81"/>
      <x:c r="L349" s="81"/>
      <x:c r="M349" s="81"/>
      <x:c r="N349" s="81"/>
      <x:c r="O349" s="81"/>
      <x:c r="P349" s="81"/>
      <x:c r="Q349" s="81"/>
      <x:c r="R349" s="81"/>
      <x:c r="S349" s="81"/>
      <x:c r="T349" s="81"/>
      <x:c r="U349" s="81"/>
      <x:c r="V349" s="81"/>
      <x:c r="W349" s="81"/>
      <x:c r="X349" s="81"/>
      <x:c r="Y349" s="81"/>
      <x:c r="Z349" s="81"/>
    </x:row>
    <x:row r="350">
      <x:c r="A350" s="81"/>
      <x:c r="B350" s="81"/>
      <x:c r="C350" s="81"/>
      <x:c r="D350" s="81"/>
      <x:c r="E350" s="81"/>
      <x:c r="F350" s="81"/>
      <x:c r="G350" s="81"/>
      <x:c r="H350" s="81"/>
      <x:c r="I350" s="81"/>
      <x:c r="J350" s="81"/>
      <x:c r="K350" s="81"/>
      <x:c r="L350" s="81"/>
      <x:c r="M350" s="81"/>
      <x:c r="N350" s="81"/>
      <x:c r="O350" s="81"/>
      <x:c r="P350" s="81"/>
      <x:c r="Q350" s="81"/>
      <x:c r="R350" s="81"/>
      <x:c r="S350" s="81"/>
      <x:c r="T350" s="81"/>
      <x:c r="U350" s="81"/>
      <x:c r="V350" s="81"/>
      <x:c r="W350" s="81"/>
      <x:c r="X350" s="81"/>
      <x:c r="Y350" s="81"/>
      <x:c r="Z350" s="81"/>
    </x:row>
    <x:row r="351">
      <x:c r="A351" s="81"/>
      <x:c r="B351" s="81"/>
      <x:c r="C351" s="81"/>
      <x:c r="D351" s="81"/>
      <x:c r="E351" s="81"/>
      <x:c r="F351" s="81"/>
      <x:c r="G351" s="81"/>
      <x:c r="H351" s="81"/>
      <x:c r="I351" s="81"/>
      <x:c r="J351" s="81"/>
      <x:c r="K351" s="81"/>
      <x:c r="L351" s="81"/>
      <x:c r="M351" s="81"/>
      <x:c r="N351" s="81"/>
      <x:c r="O351" s="81"/>
      <x:c r="P351" s="81"/>
      <x:c r="Q351" s="81"/>
      <x:c r="R351" s="81"/>
      <x:c r="S351" s="81"/>
      <x:c r="T351" s="81"/>
      <x:c r="U351" s="81"/>
      <x:c r="V351" s="81"/>
      <x:c r="W351" s="81"/>
      <x:c r="X351" s="81"/>
      <x:c r="Y351" s="81"/>
      <x:c r="Z351" s="81"/>
    </x:row>
    <x:row r="352">
      <x:c r="A352" s="81"/>
      <x:c r="B352" s="81"/>
      <x:c r="C352" s="81"/>
      <x:c r="D352" s="81"/>
      <x:c r="E352" s="81"/>
      <x:c r="F352" s="81"/>
      <x:c r="G352" s="81"/>
      <x:c r="H352" s="81"/>
      <x:c r="I352" s="81"/>
      <x:c r="J352" s="81"/>
      <x:c r="K352" s="81"/>
      <x:c r="L352" s="81"/>
      <x:c r="M352" s="81"/>
      <x:c r="N352" s="81"/>
      <x:c r="O352" s="81"/>
      <x:c r="P352" s="81"/>
      <x:c r="Q352" s="81"/>
      <x:c r="R352" s="81"/>
      <x:c r="S352" s="81"/>
      <x:c r="T352" s="81"/>
      <x:c r="U352" s="81"/>
      <x:c r="V352" s="81"/>
      <x:c r="W352" s="81"/>
      <x:c r="X352" s="81"/>
      <x:c r="Y352" s="81"/>
      <x:c r="Z352" s="81"/>
    </x:row>
    <x:row r="353">
      <x:c r="A353" s="81"/>
      <x:c r="B353" s="81"/>
      <x:c r="C353" s="81"/>
      <x:c r="D353" s="81"/>
      <x:c r="E353" s="81"/>
      <x:c r="F353" s="81"/>
      <x:c r="G353" s="81"/>
      <x:c r="H353" s="81"/>
      <x:c r="I353" s="81"/>
      <x:c r="J353" s="81"/>
      <x:c r="K353" s="81"/>
      <x:c r="L353" s="81"/>
      <x:c r="M353" s="81"/>
      <x:c r="N353" s="81"/>
      <x:c r="O353" s="81"/>
      <x:c r="P353" s="81"/>
      <x:c r="Q353" s="81"/>
      <x:c r="R353" s="81"/>
      <x:c r="S353" s="81"/>
      <x:c r="T353" s="81"/>
      <x:c r="U353" s="81"/>
      <x:c r="V353" s="81"/>
      <x:c r="W353" s="81"/>
      <x:c r="X353" s="81"/>
      <x:c r="Y353" s="81"/>
      <x:c r="Z353" s="81"/>
    </x:row>
    <x:row r="354">
      <x:c r="A354" s="81"/>
      <x:c r="B354" s="81"/>
      <x:c r="C354" s="81"/>
      <x:c r="D354" s="81"/>
      <x:c r="E354" s="81"/>
      <x:c r="F354" s="81"/>
      <x:c r="G354" s="81"/>
      <x:c r="H354" s="81"/>
      <x:c r="I354" s="81"/>
      <x:c r="J354" s="81"/>
      <x:c r="K354" s="81"/>
      <x:c r="L354" s="81"/>
      <x:c r="M354" s="81"/>
      <x:c r="N354" s="81"/>
      <x:c r="O354" s="81"/>
      <x:c r="P354" s="81"/>
      <x:c r="Q354" s="81"/>
      <x:c r="R354" s="81"/>
      <x:c r="S354" s="81"/>
      <x:c r="T354" s="81"/>
      <x:c r="U354" s="81"/>
      <x:c r="V354" s="81"/>
      <x:c r="W354" s="81"/>
      <x:c r="X354" s="81"/>
      <x:c r="Y354" s="81"/>
      <x:c r="Z354" s="81"/>
    </x:row>
    <x:row r="355">
      <x:c r="A355" s="81"/>
      <x:c r="B355" s="81"/>
      <x:c r="C355" s="81"/>
      <x:c r="D355" s="81"/>
      <x:c r="E355" s="81"/>
      <x:c r="F355" s="81"/>
      <x:c r="G355" s="81"/>
      <x:c r="H355" s="81"/>
      <x:c r="I355" s="81"/>
      <x:c r="J355" s="81"/>
      <x:c r="K355" s="81"/>
      <x:c r="L355" s="81"/>
      <x:c r="M355" s="81"/>
      <x:c r="N355" s="81"/>
      <x:c r="O355" s="81"/>
      <x:c r="P355" s="81"/>
      <x:c r="Q355" s="81"/>
      <x:c r="R355" s="81"/>
      <x:c r="S355" s="81"/>
      <x:c r="T355" s="81"/>
      <x:c r="U355" s="81"/>
      <x:c r="V355" s="81"/>
      <x:c r="W355" s="81"/>
      <x:c r="X355" s="81"/>
      <x:c r="Y355" s="81"/>
      <x:c r="Z355" s="81"/>
    </x:row>
    <x:row r="356">
      <x:c r="A356" s="81"/>
      <x:c r="B356" s="81"/>
      <x:c r="C356" s="81"/>
      <x:c r="D356" s="81"/>
      <x:c r="E356" s="81"/>
      <x:c r="F356" s="81"/>
      <x:c r="G356" s="81"/>
      <x:c r="H356" s="81"/>
      <x:c r="I356" s="81"/>
      <x:c r="J356" s="81"/>
      <x:c r="K356" s="81"/>
      <x:c r="L356" s="81"/>
      <x:c r="M356" s="81"/>
      <x:c r="N356" s="81"/>
      <x:c r="O356" s="81"/>
      <x:c r="P356" s="81"/>
      <x:c r="Q356" s="81"/>
      <x:c r="R356" s="81"/>
      <x:c r="S356" s="81"/>
      <x:c r="T356" s="81"/>
      <x:c r="U356" s="81"/>
      <x:c r="V356" s="81"/>
      <x:c r="W356" s="81"/>
      <x:c r="X356" s="81"/>
      <x:c r="Y356" s="81"/>
      <x:c r="Z356" s="81"/>
    </x:row>
    <x:row r="357">
      <x:c r="A357" s="81"/>
      <x:c r="B357" s="81"/>
      <x:c r="C357" s="81"/>
      <x:c r="D357" s="81"/>
      <x:c r="E357" s="81"/>
      <x:c r="F357" s="81"/>
      <x:c r="G357" s="81"/>
      <x:c r="H357" s="81"/>
      <x:c r="I357" s="81"/>
      <x:c r="J357" s="81"/>
      <x:c r="K357" s="81"/>
      <x:c r="L357" s="81"/>
      <x:c r="M357" s="81"/>
      <x:c r="N357" s="81"/>
      <x:c r="O357" s="81"/>
      <x:c r="P357" s="81"/>
      <x:c r="Q357" s="81"/>
      <x:c r="R357" s="81"/>
      <x:c r="S357" s="81"/>
      <x:c r="T357" s="81"/>
      <x:c r="U357" s="81"/>
      <x:c r="V357" s="81"/>
      <x:c r="W357" s="81"/>
      <x:c r="X357" s="81"/>
      <x:c r="Y357" s="81"/>
      <x:c r="Z357" s="81"/>
    </x:row>
    <x:row r="358">
      <x:c r="A358" s="81"/>
      <x:c r="B358" s="81"/>
      <x:c r="C358" s="81"/>
      <x:c r="D358" s="81"/>
      <x:c r="E358" s="81"/>
      <x:c r="F358" s="81"/>
      <x:c r="G358" s="81"/>
      <x:c r="H358" s="81"/>
      <x:c r="I358" s="81"/>
      <x:c r="J358" s="81"/>
      <x:c r="K358" s="81"/>
      <x:c r="L358" s="81"/>
      <x:c r="M358" s="81"/>
      <x:c r="N358" s="81"/>
      <x:c r="O358" s="81"/>
      <x:c r="P358" s="81"/>
      <x:c r="Q358" s="81"/>
      <x:c r="R358" s="81"/>
      <x:c r="S358" s="81"/>
      <x:c r="T358" s="81"/>
      <x:c r="U358" s="81"/>
      <x:c r="V358" s="81"/>
      <x:c r="W358" s="81"/>
      <x:c r="X358" s="81"/>
      <x:c r="Y358" s="81"/>
      <x:c r="Z358" s="81"/>
    </x:row>
    <x:row r="359">
      <x:c r="A359" s="81"/>
      <x:c r="B359" s="81"/>
      <x:c r="C359" s="81"/>
      <x:c r="D359" s="81"/>
      <x:c r="E359" s="81"/>
      <x:c r="F359" s="81"/>
      <x:c r="G359" s="81"/>
      <x:c r="H359" s="81"/>
      <x:c r="I359" s="81"/>
      <x:c r="J359" s="81"/>
      <x:c r="K359" s="81"/>
      <x:c r="L359" s="81"/>
      <x:c r="M359" s="81"/>
      <x:c r="N359" s="81"/>
      <x:c r="O359" s="81"/>
      <x:c r="P359" s="81"/>
      <x:c r="Q359" s="81"/>
      <x:c r="R359" s="81"/>
      <x:c r="S359" s="81"/>
      <x:c r="T359" s="81"/>
      <x:c r="U359" s="81"/>
      <x:c r="V359" s="81"/>
      <x:c r="W359" s="81"/>
      <x:c r="X359" s="81"/>
      <x:c r="Y359" s="81"/>
      <x:c r="Z359" s="81"/>
    </x:row>
    <x:row r="360">
      <x:c r="A360" s="81"/>
      <x:c r="B360" s="81"/>
      <x:c r="C360" s="81"/>
      <x:c r="D360" s="81"/>
      <x:c r="E360" s="81"/>
      <x:c r="F360" s="81"/>
      <x:c r="G360" s="81"/>
      <x:c r="H360" s="81"/>
      <x:c r="I360" s="81"/>
      <x:c r="J360" s="81"/>
      <x:c r="K360" s="81"/>
      <x:c r="L360" s="81"/>
      <x:c r="M360" s="81"/>
      <x:c r="N360" s="81"/>
      <x:c r="O360" s="81"/>
      <x:c r="P360" s="81"/>
      <x:c r="Q360" s="81"/>
      <x:c r="R360" s="81"/>
      <x:c r="S360" s="81"/>
      <x:c r="T360" s="81"/>
      <x:c r="U360" s="81"/>
      <x:c r="V360" s="81"/>
      <x:c r="W360" s="81"/>
      <x:c r="X360" s="81"/>
      <x:c r="Y360" s="81"/>
      <x:c r="Z360" s="81"/>
    </x:row>
    <x:row r="361">
      <x:c r="A361" s="81"/>
      <x:c r="B361" s="81"/>
      <x:c r="C361" s="81"/>
      <x:c r="D361" s="81"/>
      <x:c r="E361" s="81"/>
      <x:c r="F361" s="81"/>
      <x:c r="G361" s="81"/>
      <x:c r="H361" s="81"/>
      <x:c r="I361" s="81"/>
      <x:c r="J361" s="81"/>
      <x:c r="K361" s="81"/>
      <x:c r="L361" s="81"/>
      <x:c r="M361" s="81"/>
      <x:c r="N361" s="81"/>
      <x:c r="O361" s="81"/>
      <x:c r="P361" s="81"/>
      <x:c r="Q361" s="81"/>
      <x:c r="R361" s="81"/>
      <x:c r="S361" s="81"/>
      <x:c r="T361" s="81"/>
      <x:c r="U361" s="81"/>
      <x:c r="V361" s="81"/>
      <x:c r="W361" s="81"/>
      <x:c r="X361" s="81"/>
      <x:c r="Y361" s="81"/>
      <x:c r="Z361" s="81"/>
    </x:row>
    <x:row r="362">
      <x:c r="A362" s="81"/>
      <x:c r="B362" s="81"/>
      <x:c r="C362" s="81"/>
      <x:c r="D362" s="81"/>
      <x:c r="E362" s="81"/>
      <x:c r="F362" s="81"/>
      <x:c r="G362" s="81"/>
      <x:c r="H362" s="81"/>
      <x:c r="I362" s="81"/>
      <x:c r="J362" s="81"/>
      <x:c r="K362" s="81"/>
      <x:c r="L362" s="81"/>
      <x:c r="M362" s="81"/>
      <x:c r="N362" s="81"/>
      <x:c r="O362" s="81"/>
      <x:c r="P362" s="81"/>
      <x:c r="Q362" s="81"/>
      <x:c r="R362" s="81"/>
      <x:c r="S362" s="81"/>
      <x:c r="T362" s="81"/>
      <x:c r="U362" s="81"/>
      <x:c r="V362" s="81"/>
      <x:c r="W362" s="81"/>
      <x:c r="X362" s="81"/>
      <x:c r="Y362" s="81"/>
      <x:c r="Z362" s="81"/>
    </x:row>
    <x:row r="363">
      <x:c r="A363" s="81"/>
      <x:c r="B363" s="81"/>
      <x:c r="C363" s="81"/>
      <x:c r="D363" s="81"/>
      <x:c r="E363" s="81"/>
      <x:c r="F363" s="81"/>
      <x:c r="G363" s="81"/>
      <x:c r="H363" s="81"/>
      <x:c r="I363" s="81"/>
      <x:c r="J363" s="81"/>
      <x:c r="K363" s="81"/>
      <x:c r="L363" s="81"/>
      <x:c r="M363" s="81"/>
      <x:c r="N363" s="81"/>
      <x:c r="O363" s="81"/>
      <x:c r="P363" s="81"/>
      <x:c r="Q363" s="81"/>
      <x:c r="R363" s="81"/>
      <x:c r="S363" s="81"/>
      <x:c r="T363" s="81"/>
      <x:c r="U363" s="81"/>
      <x:c r="V363" s="81"/>
      <x:c r="W363" s="81"/>
      <x:c r="X363" s="81"/>
      <x:c r="Y363" s="81"/>
      <x:c r="Z363" s="81"/>
    </x:row>
    <x:row r="364">
      <x:c r="A364" s="81"/>
      <x:c r="B364" s="81"/>
      <x:c r="C364" s="81"/>
      <x:c r="D364" s="81"/>
      <x:c r="E364" s="81"/>
      <x:c r="F364" s="81"/>
      <x:c r="G364" s="81"/>
      <x:c r="H364" s="81"/>
      <x:c r="I364" s="81"/>
      <x:c r="J364" s="81"/>
      <x:c r="K364" s="81"/>
      <x:c r="L364" s="81"/>
      <x:c r="M364" s="81"/>
      <x:c r="N364" s="81"/>
      <x:c r="O364" s="81"/>
      <x:c r="P364" s="81"/>
      <x:c r="Q364" s="81"/>
      <x:c r="R364" s="81"/>
      <x:c r="S364" s="81"/>
      <x:c r="T364" s="81"/>
      <x:c r="U364" s="81"/>
      <x:c r="V364" s="81"/>
      <x:c r="W364" s="81"/>
      <x:c r="X364" s="81"/>
      <x:c r="Y364" s="81"/>
      <x:c r="Z364" s="81"/>
    </x:row>
    <x:row r="365">
      <x:c r="A365" s="81"/>
      <x:c r="B365" s="81"/>
      <x:c r="C365" s="81"/>
      <x:c r="D365" s="81"/>
      <x:c r="E365" s="81"/>
      <x:c r="F365" s="81"/>
      <x:c r="G365" s="81"/>
      <x:c r="H365" s="81"/>
      <x:c r="I365" s="81"/>
      <x:c r="J365" s="81"/>
      <x:c r="K365" s="81"/>
      <x:c r="L365" s="81"/>
      <x:c r="M365" s="81"/>
      <x:c r="N365" s="81"/>
      <x:c r="O365" s="81"/>
      <x:c r="P365" s="81"/>
      <x:c r="Q365" s="81"/>
      <x:c r="R365" s="81"/>
      <x:c r="S365" s="81"/>
      <x:c r="T365" s="81"/>
      <x:c r="U365" s="81"/>
      <x:c r="V365" s="81"/>
      <x:c r="W365" s="81"/>
      <x:c r="X365" s="81"/>
      <x:c r="Y365" s="81"/>
      <x:c r="Z365" s="81"/>
    </x:row>
    <x:row r="366">
      <x:c r="A366" s="81"/>
      <x:c r="B366" s="81"/>
      <x:c r="C366" s="81"/>
      <x:c r="D366" s="81"/>
      <x:c r="E366" s="81"/>
      <x:c r="F366" s="81"/>
      <x:c r="G366" s="81"/>
      <x:c r="H366" s="81"/>
      <x:c r="I366" s="81"/>
      <x:c r="J366" s="81"/>
      <x:c r="K366" s="81"/>
      <x:c r="L366" s="81"/>
      <x:c r="M366" s="81"/>
      <x:c r="N366" s="81"/>
      <x:c r="O366" s="81"/>
      <x:c r="P366" s="81"/>
      <x:c r="Q366" s="81"/>
      <x:c r="R366" s="81"/>
      <x:c r="S366" s="81"/>
      <x:c r="T366" s="81"/>
      <x:c r="U366" s="81"/>
      <x:c r="V366" s="81"/>
      <x:c r="W366" s="81"/>
      <x:c r="X366" s="81"/>
      <x:c r="Y366" s="81"/>
      <x:c r="Z366" s="81"/>
    </x:row>
    <x:row r="367">
      <x:c r="A367" s="81"/>
      <x:c r="B367" s="81"/>
      <x:c r="C367" s="81"/>
      <x:c r="D367" s="81"/>
      <x:c r="E367" s="81"/>
      <x:c r="F367" s="81"/>
      <x:c r="G367" s="81"/>
      <x:c r="H367" s="81"/>
      <x:c r="I367" s="81"/>
      <x:c r="J367" s="81"/>
      <x:c r="K367" s="81"/>
      <x:c r="L367" s="81"/>
      <x:c r="M367" s="81"/>
      <x:c r="N367" s="81"/>
      <x:c r="O367" s="81"/>
      <x:c r="P367" s="81"/>
      <x:c r="Q367" s="81"/>
      <x:c r="R367" s="81"/>
      <x:c r="S367" s="81"/>
      <x:c r="T367" s="81"/>
      <x:c r="U367" s="81"/>
      <x:c r="V367" s="81"/>
      <x:c r="W367" s="81"/>
      <x:c r="X367" s="81"/>
      <x:c r="Y367" s="81"/>
      <x:c r="Z367" s="81"/>
    </x:row>
    <x:row r="368">
      <x:c r="A368" s="81"/>
      <x:c r="B368" s="81"/>
      <x:c r="C368" s="81"/>
      <x:c r="D368" s="81"/>
      <x:c r="E368" s="81"/>
      <x:c r="F368" s="81"/>
      <x:c r="G368" s="81"/>
      <x:c r="H368" s="81"/>
      <x:c r="I368" s="81"/>
      <x:c r="J368" s="81"/>
      <x:c r="K368" s="81"/>
      <x:c r="L368" s="81"/>
      <x:c r="M368" s="81"/>
      <x:c r="N368" s="81"/>
      <x:c r="O368" s="81"/>
      <x:c r="P368" s="81"/>
      <x:c r="Q368" s="81"/>
      <x:c r="R368" s="81"/>
      <x:c r="S368" s="81"/>
      <x:c r="T368" s="81"/>
      <x:c r="U368" s="81"/>
      <x:c r="V368" s="81"/>
      <x:c r="W368" s="81"/>
      <x:c r="X368" s="81"/>
      <x:c r="Y368" s="81"/>
      <x:c r="Z368" s="81"/>
    </x:row>
    <x:row r="369">
      <x:c r="A369" s="81"/>
      <x:c r="B369" s="81"/>
      <x:c r="C369" s="81"/>
      <x:c r="D369" s="81"/>
      <x:c r="E369" s="81"/>
      <x:c r="F369" s="81"/>
      <x:c r="G369" s="81"/>
      <x:c r="H369" s="81"/>
      <x:c r="I369" s="81"/>
      <x:c r="J369" s="81"/>
      <x:c r="K369" s="81"/>
      <x:c r="L369" s="81"/>
      <x:c r="M369" s="81"/>
      <x:c r="N369" s="81"/>
      <x:c r="O369" s="81"/>
      <x:c r="P369" s="81"/>
      <x:c r="Q369" s="81"/>
      <x:c r="R369" s="81"/>
      <x:c r="S369" s="81"/>
      <x:c r="T369" s="81"/>
      <x:c r="U369" s="81"/>
      <x:c r="V369" s="81"/>
      <x:c r="W369" s="81"/>
      <x:c r="X369" s="81"/>
      <x:c r="Y369" s="81"/>
      <x:c r="Z369" s="81"/>
    </x:row>
    <x:row r="370">
      <x:c r="A370" s="81"/>
      <x:c r="B370" s="81"/>
      <x:c r="C370" s="81"/>
      <x:c r="D370" s="81"/>
      <x:c r="E370" s="81"/>
      <x:c r="F370" s="81"/>
      <x:c r="G370" s="81"/>
      <x:c r="H370" s="81"/>
      <x:c r="I370" s="81"/>
      <x:c r="J370" s="81"/>
      <x:c r="K370" s="81"/>
      <x:c r="L370" s="81"/>
      <x:c r="M370" s="81"/>
      <x:c r="N370" s="81"/>
      <x:c r="O370" s="81"/>
      <x:c r="P370" s="81"/>
      <x:c r="Q370" s="81"/>
      <x:c r="R370" s="81"/>
      <x:c r="S370" s="81"/>
      <x:c r="T370" s="81"/>
      <x:c r="U370" s="81"/>
      <x:c r="V370" s="81"/>
      <x:c r="W370" s="81"/>
      <x:c r="X370" s="81"/>
      <x:c r="Y370" s="81"/>
      <x:c r="Z370" s="81"/>
    </x:row>
    <x:row r="371">
      <x:c r="A371" s="81"/>
      <x:c r="B371" s="81"/>
      <x:c r="C371" s="81"/>
      <x:c r="D371" s="81"/>
      <x:c r="E371" s="81"/>
      <x:c r="F371" s="81"/>
      <x:c r="G371" s="81"/>
      <x:c r="H371" s="81"/>
      <x:c r="I371" s="81"/>
      <x:c r="J371" s="81"/>
      <x:c r="K371" s="81"/>
      <x:c r="L371" s="81"/>
      <x:c r="M371" s="81"/>
      <x:c r="N371" s="81"/>
      <x:c r="O371" s="81"/>
      <x:c r="P371" s="81"/>
      <x:c r="Q371" s="81"/>
      <x:c r="R371" s="81"/>
      <x:c r="S371" s="81"/>
      <x:c r="T371" s="81"/>
      <x:c r="U371" s="81"/>
      <x:c r="V371" s="81"/>
      <x:c r="W371" s="81"/>
      <x:c r="X371" s="81"/>
      <x:c r="Y371" s="81"/>
      <x:c r="Z371" s="81"/>
    </x:row>
    <x:row r="372">
      <x:c r="A372" s="81"/>
      <x:c r="B372" s="81"/>
      <x:c r="C372" s="81"/>
      <x:c r="D372" s="81"/>
      <x:c r="E372" s="81"/>
      <x:c r="F372" s="81"/>
      <x:c r="G372" s="81"/>
      <x:c r="H372" s="81"/>
      <x:c r="I372" s="81"/>
      <x:c r="J372" s="81"/>
      <x:c r="K372" s="81"/>
      <x:c r="L372" s="81"/>
      <x:c r="M372" s="81"/>
      <x:c r="N372" s="81"/>
      <x:c r="O372" s="81"/>
      <x:c r="P372" s="81"/>
      <x:c r="Q372" s="81"/>
      <x:c r="R372" s="81"/>
      <x:c r="S372" s="81"/>
      <x:c r="T372" s="81"/>
      <x:c r="U372" s="81"/>
      <x:c r="V372" s="81"/>
      <x:c r="W372" s="81"/>
      <x:c r="X372" s="81"/>
      <x:c r="Y372" s="81"/>
      <x:c r="Z372" s="81"/>
    </x:row>
    <x:row r="373">
      <x:c r="A373" s="81"/>
      <x:c r="B373" s="81"/>
      <x:c r="C373" s="81"/>
      <x:c r="D373" s="81"/>
      <x:c r="E373" s="81"/>
      <x:c r="F373" s="81"/>
      <x:c r="G373" s="81"/>
      <x:c r="H373" s="81"/>
      <x:c r="I373" s="81"/>
      <x:c r="J373" s="81"/>
      <x:c r="K373" s="81"/>
      <x:c r="L373" s="81"/>
      <x:c r="M373" s="81"/>
      <x:c r="N373" s="81"/>
      <x:c r="O373" s="81"/>
      <x:c r="P373" s="81"/>
      <x:c r="Q373" s="81"/>
      <x:c r="R373" s="81"/>
      <x:c r="S373" s="81"/>
      <x:c r="T373" s="81"/>
      <x:c r="U373" s="81"/>
      <x:c r="V373" s="81"/>
      <x:c r="W373" s="81"/>
      <x:c r="X373" s="81"/>
      <x:c r="Y373" s="81"/>
      <x:c r="Z373" s="81"/>
    </x:row>
    <x:row r="374">
      <x:c r="A374" s="81"/>
      <x:c r="B374" s="81"/>
      <x:c r="C374" s="81"/>
      <x:c r="D374" s="81"/>
      <x:c r="E374" s="81"/>
      <x:c r="F374" s="81"/>
      <x:c r="G374" s="81"/>
      <x:c r="H374" s="81"/>
      <x:c r="I374" s="81"/>
      <x:c r="J374" s="81"/>
      <x:c r="K374" s="81"/>
      <x:c r="L374" s="81"/>
      <x:c r="M374" s="81"/>
      <x:c r="N374" s="81"/>
      <x:c r="O374" s="81"/>
      <x:c r="P374" s="81"/>
      <x:c r="Q374" s="81"/>
      <x:c r="R374" s="81"/>
      <x:c r="S374" s="81"/>
      <x:c r="T374" s="81"/>
      <x:c r="U374" s="81"/>
      <x:c r="V374" s="81"/>
      <x:c r="W374" s="81"/>
      <x:c r="X374" s="81"/>
      <x:c r="Y374" s="81"/>
      <x:c r="Z374" s="81"/>
    </x:row>
    <x:row r="375">
      <x:c r="A375" s="81"/>
      <x:c r="B375" s="81"/>
      <x:c r="C375" s="81"/>
      <x:c r="D375" s="81"/>
      <x:c r="E375" s="81"/>
      <x:c r="F375" s="81"/>
      <x:c r="G375" s="81"/>
      <x:c r="H375" s="81"/>
      <x:c r="I375" s="81"/>
      <x:c r="J375" s="81"/>
      <x:c r="K375" s="81"/>
      <x:c r="L375" s="81"/>
      <x:c r="M375" s="81"/>
      <x:c r="N375" s="81"/>
      <x:c r="O375" s="81"/>
      <x:c r="P375" s="81"/>
      <x:c r="Q375" s="81"/>
      <x:c r="R375" s="81"/>
      <x:c r="S375" s="81"/>
      <x:c r="T375" s="81"/>
      <x:c r="U375" s="81"/>
      <x:c r="V375" s="81"/>
      <x:c r="W375" s="81"/>
      <x:c r="X375" s="81"/>
      <x:c r="Y375" s="81"/>
      <x:c r="Z375" s="81"/>
    </x:row>
    <x:row r="376">
      <x:c r="A376" s="81"/>
      <x:c r="B376" s="81"/>
      <x:c r="C376" s="81"/>
      <x:c r="D376" s="81"/>
      <x:c r="E376" s="81"/>
      <x:c r="F376" s="81"/>
      <x:c r="G376" s="81"/>
      <x:c r="H376" s="81"/>
      <x:c r="I376" s="81"/>
      <x:c r="J376" s="81"/>
      <x:c r="K376" s="81"/>
      <x:c r="L376" s="81"/>
      <x:c r="M376" s="81"/>
      <x:c r="N376" s="81"/>
      <x:c r="O376" s="81"/>
      <x:c r="P376" s="81"/>
      <x:c r="Q376" s="81"/>
      <x:c r="R376" s="81"/>
      <x:c r="S376" s="81"/>
      <x:c r="T376" s="81"/>
      <x:c r="U376" s="81"/>
      <x:c r="V376" s="81"/>
      <x:c r="W376" s="81"/>
      <x:c r="X376" s="81"/>
      <x:c r="Y376" s="81"/>
      <x:c r="Z376" s="81"/>
    </x:row>
    <x:row r="377">
      <x:c r="A377" s="81"/>
      <x:c r="B377" s="81"/>
      <x:c r="C377" s="81"/>
      <x:c r="D377" s="81"/>
      <x:c r="E377" s="81"/>
      <x:c r="F377" s="81"/>
      <x:c r="G377" s="81"/>
      <x:c r="H377" s="81"/>
      <x:c r="I377" s="81"/>
      <x:c r="J377" s="81"/>
      <x:c r="K377" s="81"/>
      <x:c r="L377" s="81"/>
      <x:c r="M377" s="81"/>
      <x:c r="N377" s="81"/>
      <x:c r="O377" s="81"/>
      <x:c r="P377" s="81"/>
      <x:c r="Q377" s="81"/>
      <x:c r="R377" s="81"/>
      <x:c r="S377" s="81"/>
      <x:c r="T377" s="81"/>
      <x:c r="U377" s="81"/>
      <x:c r="V377" s="81"/>
      <x:c r="W377" s="81"/>
      <x:c r="X377" s="81"/>
      <x:c r="Y377" s="81"/>
      <x:c r="Z377" s="81"/>
    </x:row>
    <x:row r="378">
      <x:c r="A378" s="81"/>
      <x:c r="B378" s="81"/>
      <x:c r="C378" s="81"/>
      <x:c r="D378" s="81"/>
      <x:c r="E378" s="81"/>
      <x:c r="F378" s="81"/>
      <x:c r="G378" s="81"/>
      <x:c r="H378" s="81"/>
      <x:c r="I378" s="81"/>
      <x:c r="J378" s="81"/>
      <x:c r="K378" s="81"/>
      <x:c r="L378" s="81"/>
      <x:c r="M378" s="81"/>
      <x:c r="N378" s="81"/>
      <x:c r="O378" s="81"/>
      <x:c r="P378" s="81"/>
      <x:c r="Q378" s="81"/>
      <x:c r="R378" s="81"/>
      <x:c r="S378" s="81"/>
      <x:c r="T378" s="81"/>
      <x:c r="U378" s="81"/>
      <x:c r="V378" s="81"/>
      <x:c r="W378" s="81"/>
      <x:c r="X378" s="81"/>
      <x:c r="Y378" s="81"/>
      <x:c r="Z378" s="81"/>
    </x:row>
    <x:row r="379">
      <x:c r="A379" s="81"/>
      <x:c r="B379" s="81"/>
      <x:c r="C379" s="81"/>
      <x:c r="D379" s="81"/>
      <x:c r="E379" s="81"/>
      <x:c r="F379" s="81"/>
      <x:c r="G379" s="81"/>
      <x:c r="H379" s="81"/>
      <x:c r="I379" s="81"/>
      <x:c r="J379" s="81"/>
      <x:c r="K379" s="81"/>
      <x:c r="L379" s="81"/>
      <x:c r="M379" s="81"/>
      <x:c r="N379" s="81"/>
      <x:c r="O379" s="81"/>
      <x:c r="P379" s="81"/>
      <x:c r="Q379" s="81"/>
      <x:c r="R379" s="81"/>
      <x:c r="S379" s="81"/>
      <x:c r="T379" s="81"/>
      <x:c r="U379" s="81"/>
      <x:c r="V379" s="81"/>
      <x:c r="W379" s="81"/>
      <x:c r="X379" s="81"/>
      <x:c r="Y379" s="81"/>
      <x:c r="Z379" s="81"/>
    </x:row>
    <x:row r="380">
      <x:c r="A380" s="81"/>
      <x:c r="B380" s="81"/>
      <x:c r="C380" s="81"/>
      <x:c r="D380" s="81"/>
      <x:c r="E380" s="81"/>
      <x:c r="F380" s="81"/>
      <x:c r="G380" s="81"/>
      <x:c r="H380" s="81"/>
      <x:c r="I380" s="81"/>
      <x:c r="J380" s="81"/>
      <x:c r="K380" s="81"/>
      <x:c r="L380" s="81"/>
      <x:c r="M380" s="81"/>
      <x:c r="N380" s="81"/>
      <x:c r="O380" s="81"/>
      <x:c r="P380" s="81"/>
      <x:c r="Q380" s="81"/>
      <x:c r="R380" s="81"/>
      <x:c r="S380" s="81"/>
      <x:c r="T380" s="81"/>
      <x:c r="U380" s="81"/>
      <x:c r="V380" s="81"/>
      <x:c r="W380" s="81"/>
      <x:c r="X380" s="81"/>
      <x:c r="Y380" s="81"/>
      <x:c r="Z380" s="81"/>
    </x:row>
    <x:row r="381">
      <x:c r="A381" s="81"/>
      <x:c r="B381" s="81"/>
      <x:c r="C381" s="81"/>
      <x:c r="D381" s="81"/>
      <x:c r="E381" s="81"/>
      <x:c r="F381" s="81"/>
      <x:c r="G381" s="81"/>
      <x:c r="H381" s="81"/>
      <x:c r="I381" s="81"/>
      <x:c r="J381" s="81"/>
      <x:c r="K381" s="81"/>
      <x:c r="L381" s="81"/>
      <x:c r="M381" s="81"/>
      <x:c r="N381" s="81"/>
      <x:c r="O381" s="81"/>
      <x:c r="P381" s="81"/>
      <x:c r="Q381" s="81"/>
      <x:c r="R381" s="81"/>
      <x:c r="S381" s="81"/>
      <x:c r="T381" s="81"/>
      <x:c r="U381" s="81"/>
      <x:c r="V381" s="81"/>
      <x:c r="W381" s="81"/>
      <x:c r="X381" s="81"/>
      <x:c r="Y381" s="81"/>
      <x:c r="Z381" s="81"/>
    </x:row>
    <x:row r="382">
      <x:c r="A382" s="81"/>
      <x:c r="B382" s="81"/>
      <x:c r="C382" s="81"/>
      <x:c r="D382" s="81"/>
      <x:c r="E382" s="81"/>
      <x:c r="F382" s="81"/>
      <x:c r="G382" s="81"/>
      <x:c r="H382" s="81"/>
      <x:c r="I382" s="81"/>
      <x:c r="J382" s="81"/>
      <x:c r="K382" s="81"/>
      <x:c r="L382" s="81"/>
      <x:c r="M382" s="81"/>
      <x:c r="N382" s="81"/>
      <x:c r="O382" s="81"/>
      <x:c r="P382" s="81"/>
      <x:c r="Q382" s="81"/>
      <x:c r="R382" s="81"/>
      <x:c r="S382" s="81"/>
      <x:c r="T382" s="81"/>
      <x:c r="U382" s="81"/>
      <x:c r="V382" s="81"/>
      <x:c r="W382" s="81"/>
      <x:c r="X382" s="81"/>
      <x:c r="Y382" s="81"/>
      <x:c r="Z382" s="81"/>
    </x:row>
    <x:row r="383">
      <x:c r="A383" s="81"/>
      <x:c r="B383" s="81"/>
      <x:c r="C383" s="81"/>
      <x:c r="D383" s="81"/>
      <x:c r="E383" s="81"/>
      <x:c r="F383" s="81"/>
      <x:c r="G383" s="81"/>
      <x:c r="H383" s="81"/>
      <x:c r="I383" s="81"/>
      <x:c r="J383" s="81"/>
      <x:c r="K383" s="81"/>
      <x:c r="L383" s="81"/>
      <x:c r="M383" s="81"/>
      <x:c r="N383" s="81"/>
      <x:c r="O383" s="81"/>
      <x:c r="P383" s="81"/>
      <x:c r="Q383" s="81"/>
      <x:c r="R383" s="81"/>
      <x:c r="S383" s="81"/>
      <x:c r="T383" s="81"/>
      <x:c r="U383" s="81"/>
      <x:c r="V383" s="81"/>
      <x:c r="W383" s="81"/>
      <x:c r="X383" s="81"/>
      <x:c r="Y383" s="81"/>
      <x:c r="Z383" s="81"/>
    </x:row>
    <x:row r="384">
      <x:c r="A384" s="81"/>
      <x:c r="B384" s="81"/>
      <x:c r="C384" s="81"/>
      <x:c r="D384" s="81"/>
      <x:c r="E384" s="81"/>
      <x:c r="F384" s="81"/>
      <x:c r="G384" s="81"/>
      <x:c r="H384" s="81"/>
      <x:c r="I384" s="81"/>
      <x:c r="J384" s="81"/>
      <x:c r="K384" s="81"/>
      <x:c r="L384" s="81"/>
      <x:c r="M384" s="81"/>
      <x:c r="N384" s="81"/>
      <x:c r="O384" s="81"/>
      <x:c r="P384" s="81"/>
      <x:c r="Q384" s="81"/>
      <x:c r="R384" s="81"/>
      <x:c r="S384" s="81"/>
      <x:c r="T384" s="81"/>
      <x:c r="U384" s="81"/>
      <x:c r="V384" s="81"/>
      <x:c r="W384" s="81"/>
      <x:c r="X384" s="81"/>
      <x:c r="Y384" s="81"/>
      <x:c r="Z384" s="81"/>
    </x:row>
    <x:row r="385">
      <x:c r="A385" s="81"/>
      <x:c r="B385" s="81"/>
      <x:c r="C385" s="81"/>
      <x:c r="D385" s="81"/>
      <x:c r="E385" s="81"/>
      <x:c r="F385" s="81"/>
      <x:c r="G385" s="81"/>
      <x:c r="H385" s="81"/>
      <x:c r="I385" s="81"/>
      <x:c r="J385" s="81"/>
      <x:c r="K385" s="81"/>
      <x:c r="L385" s="81"/>
      <x:c r="M385" s="81"/>
      <x:c r="N385" s="81"/>
      <x:c r="O385" s="81"/>
      <x:c r="P385" s="81"/>
      <x:c r="Q385" s="81"/>
      <x:c r="R385" s="81"/>
      <x:c r="S385" s="81"/>
      <x:c r="T385" s="81"/>
      <x:c r="U385" s="81"/>
      <x:c r="V385" s="81"/>
      <x:c r="W385" s="81"/>
      <x:c r="X385" s="81"/>
      <x:c r="Y385" s="81"/>
      <x:c r="Z385" s="81"/>
    </x:row>
    <x:row r="386">
      <x:c r="A386" s="81"/>
      <x:c r="B386" s="81"/>
      <x:c r="C386" s="81"/>
      <x:c r="D386" s="81"/>
      <x:c r="E386" s="81"/>
      <x:c r="F386" s="81"/>
      <x:c r="G386" s="81"/>
      <x:c r="H386" s="81"/>
      <x:c r="I386" s="81"/>
      <x:c r="J386" s="81"/>
      <x:c r="K386" s="81"/>
      <x:c r="L386" s="81"/>
      <x:c r="M386" s="81"/>
      <x:c r="N386" s="81"/>
      <x:c r="O386" s="81"/>
      <x:c r="P386" s="81"/>
      <x:c r="Q386" s="81"/>
      <x:c r="R386" s="81"/>
      <x:c r="S386" s="81"/>
      <x:c r="T386" s="81"/>
      <x:c r="U386" s="81"/>
      <x:c r="V386" s="81"/>
      <x:c r="W386" s="81"/>
      <x:c r="X386" s="81"/>
      <x:c r="Y386" s="81"/>
      <x:c r="Z386" s="81"/>
    </x:row>
    <x:row r="387">
      <x:c r="A387" s="81"/>
      <x:c r="B387" s="81"/>
      <x:c r="C387" s="81"/>
      <x:c r="D387" s="81"/>
      <x:c r="E387" s="81"/>
      <x:c r="F387" s="81"/>
      <x:c r="G387" s="81"/>
      <x:c r="H387" s="81"/>
      <x:c r="I387" s="81"/>
      <x:c r="J387" s="81"/>
      <x:c r="K387" s="81"/>
      <x:c r="L387" s="81"/>
      <x:c r="M387" s="81"/>
      <x:c r="N387" s="81"/>
      <x:c r="O387" s="81"/>
      <x:c r="P387" s="81"/>
      <x:c r="Q387" s="81"/>
      <x:c r="R387" s="81"/>
      <x:c r="S387" s="81"/>
      <x:c r="T387" s="81"/>
      <x:c r="U387" s="81"/>
      <x:c r="V387" s="81"/>
      <x:c r="W387" s="81"/>
      <x:c r="X387" s="81"/>
      <x:c r="Y387" s="81"/>
      <x:c r="Z387" s="81"/>
    </x:row>
    <x:row r="388">
      <x:c r="A388" s="81"/>
      <x:c r="B388" s="81"/>
      <x:c r="C388" s="81"/>
      <x:c r="D388" s="81"/>
      <x:c r="E388" s="81"/>
      <x:c r="F388" s="81"/>
      <x:c r="G388" s="81"/>
      <x:c r="H388" s="81"/>
      <x:c r="I388" s="81"/>
      <x:c r="J388" s="81"/>
      <x:c r="K388" s="81"/>
      <x:c r="L388" s="81"/>
      <x:c r="M388" s="81"/>
      <x:c r="N388" s="81"/>
      <x:c r="O388" s="81"/>
      <x:c r="P388" s="81"/>
      <x:c r="Q388" s="81"/>
      <x:c r="R388" s="81"/>
      <x:c r="S388" s="81"/>
      <x:c r="T388" s="81"/>
      <x:c r="U388" s="81"/>
      <x:c r="V388" s="81"/>
      <x:c r="W388" s="81"/>
      <x:c r="X388" s="81"/>
      <x:c r="Y388" s="81"/>
      <x:c r="Z388" s="81"/>
    </x:row>
    <x:row r="389">
      <x:c r="A389" s="81"/>
      <x:c r="B389" s="81"/>
      <x:c r="C389" s="81"/>
      <x:c r="D389" s="81"/>
      <x:c r="E389" s="81"/>
      <x:c r="F389" s="81"/>
      <x:c r="G389" s="81"/>
      <x:c r="H389" s="81"/>
      <x:c r="I389" s="81"/>
      <x:c r="J389" s="81"/>
      <x:c r="K389" s="81"/>
      <x:c r="L389" s="81"/>
      <x:c r="M389" s="81"/>
      <x:c r="N389" s="81"/>
      <x:c r="O389" s="81"/>
      <x:c r="P389" s="81"/>
      <x:c r="Q389" s="81"/>
      <x:c r="R389" s="81"/>
      <x:c r="S389" s="81"/>
      <x:c r="T389" s="81"/>
      <x:c r="U389" s="81"/>
      <x:c r="V389" s="81"/>
      <x:c r="W389" s="81"/>
      <x:c r="X389" s="81"/>
      <x:c r="Y389" s="81"/>
      <x:c r="Z389" s="81"/>
    </x:row>
    <x:row r="390">
      <x:c r="A390" s="81"/>
      <x:c r="B390" s="81"/>
      <x:c r="C390" s="81"/>
      <x:c r="D390" s="81"/>
      <x:c r="E390" s="81"/>
      <x:c r="F390" s="81"/>
      <x:c r="G390" s="81"/>
      <x:c r="H390" s="81"/>
      <x:c r="I390" s="81"/>
      <x:c r="J390" s="81"/>
      <x:c r="K390" s="81"/>
      <x:c r="L390" s="81"/>
      <x:c r="M390" s="81"/>
      <x:c r="N390" s="81"/>
      <x:c r="O390" s="81"/>
      <x:c r="P390" s="81"/>
      <x:c r="Q390" s="81"/>
      <x:c r="R390" s="81"/>
      <x:c r="S390" s="81"/>
      <x:c r="T390" s="81"/>
      <x:c r="U390" s="81"/>
      <x:c r="V390" s="81"/>
      <x:c r="W390" s="81"/>
      <x:c r="X390" s="81"/>
      <x:c r="Y390" s="81"/>
      <x:c r="Z390" s="81"/>
    </x:row>
    <x:row r="391">
      <x:c r="A391" s="81"/>
      <x:c r="B391" s="81"/>
      <x:c r="C391" s="81"/>
      <x:c r="D391" s="81"/>
      <x:c r="E391" s="81"/>
      <x:c r="F391" s="81"/>
      <x:c r="G391" s="81"/>
      <x:c r="H391" s="81"/>
      <x:c r="I391" s="81"/>
      <x:c r="J391" s="81"/>
      <x:c r="K391" s="81"/>
      <x:c r="L391" s="81"/>
      <x:c r="M391" s="81"/>
      <x:c r="N391" s="81"/>
      <x:c r="O391" s="81"/>
      <x:c r="P391" s="81"/>
      <x:c r="Q391" s="81"/>
      <x:c r="R391" s="81"/>
      <x:c r="S391" s="81"/>
      <x:c r="T391" s="81"/>
      <x:c r="U391" s="81"/>
      <x:c r="V391" s="81"/>
      <x:c r="W391" s="81"/>
      <x:c r="X391" s="81"/>
      <x:c r="Y391" s="81"/>
      <x:c r="Z391" s="81"/>
    </x:row>
    <x:row r="392">
      <x:c r="A392" s="81"/>
      <x:c r="B392" s="81"/>
      <x:c r="C392" s="81"/>
      <x:c r="D392" s="81"/>
      <x:c r="E392" s="81"/>
      <x:c r="F392" s="81"/>
      <x:c r="G392" s="81"/>
      <x:c r="H392" s="81"/>
      <x:c r="I392" s="81"/>
      <x:c r="J392" s="81"/>
      <x:c r="K392" s="81"/>
      <x:c r="L392" s="81"/>
      <x:c r="M392" s="81"/>
      <x:c r="N392" s="81"/>
      <x:c r="O392" s="81"/>
      <x:c r="P392" s="81"/>
      <x:c r="Q392" s="81"/>
      <x:c r="R392" s="81"/>
      <x:c r="S392" s="81"/>
      <x:c r="T392" s="81"/>
      <x:c r="U392" s="81"/>
      <x:c r="V392" s="81"/>
      <x:c r="W392" s="81"/>
      <x:c r="X392" s="81"/>
      <x:c r="Y392" s="81"/>
      <x:c r="Z392" s="81"/>
    </x:row>
    <x:row r="393">
      <x:c r="A393" s="81"/>
      <x:c r="B393" s="81"/>
      <x:c r="C393" s="81"/>
      <x:c r="D393" s="81"/>
      <x:c r="E393" s="81"/>
      <x:c r="F393" s="81"/>
      <x:c r="G393" s="81"/>
      <x:c r="H393" s="81"/>
      <x:c r="I393" s="81"/>
      <x:c r="J393" s="81"/>
      <x:c r="K393" s="81"/>
      <x:c r="L393" s="81"/>
      <x:c r="M393" s="81"/>
      <x:c r="N393" s="81"/>
      <x:c r="O393" s="81"/>
      <x:c r="P393" s="81"/>
      <x:c r="Q393" s="81"/>
      <x:c r="R393" s="81"/>
      <x:c r="S393" s="81"/>
      <x:c r="T393" s="81"/>
      <x:c r="U393" s="81"/>
      <x:c r="V393" s="81"/>
      <x:c r="W393" s="81"/>
      <x:c r="X393" s="81"/>
      <x:c r="Y393" s="81"/>
      <x:c r="Z393" s="81"/>
    </x:row>
    <x:row r="394">
      <x:c r="A394" s="81"/>
      <x:c r="B394" s="81"/>
      <x:c r="C394" s="81"/>
      <x:c r="D394" s="81"/>
      <x:c r="E394" s="81"/>
      <x:c r="F394" s="81"/>
      <x:c r="G394" s="81"/>
      <x:c r="H394" s="81"/>
      <x:c r="I394" s="81"/>
      <x:c r="J394" s="81"/>
      <x:c r="K394" s="81"/>
      <x:c r="L394" s="81"/>
      <x:c r="M394" s="81"/>
      <x:c r="N394" s="81"/>
      <x:c r="O394" s="81"/>
      <x:c r="P394" s="81"/>
      <x:c r="Q394" s="81"/>
      <x:c r="R394" s="81"/>
      <x:c r="S394" s="81"/>
      <x:c r="T394" s="81"/>
      <x:c r="U394" s="81"/>
      <x:c r="V394" s="81"/>
      <x:c r="W394" s="81"/>
      <x:c r="X394" s="81"/>
      <x:c r="Y394" s="81"/>
      <x:c r="Z394" s="81"/>
    </x:row>
    <x:row r="395">
      <x:c r="A395" s="81"/>
      <x:c r="B395" s="81"/>
      <x:c r="C395" s="81"/>
      <x:c r="D395" s="81"/>
      <x:c r="E395" s="81"/>
      <x:c r="F395" s="81"/>
      <x:c r="G395" s="81"/>
      <x:c r="H395" s="81"/>
      <x:c r="I395" s="81"/>
      <x:c r="J395" s="81"/>
      <x:c r="K395" s="81"/>
      <x:c r="L395" s="81"/>
      <x:c r="M395" s="81"/>
      <x:c r="N395" s="81"/>
      <x:c r="O395" s="81"/>
      <x:c r="P395" s="81"/>
      <x:c r="Q395" s="81"/>
      <x:c r="R395" s="81"/>
      <x:c r="S395" s="81"/>
      <x:c r="T395" s="81"/>
      <x:c r="U395" s="81"/>
      <x:c r="V395" s="81"/>
      <x:c r="W395" s="81"/>
      <x:c r="X395" s="81"/>
      <x:c r="Y395" s="81"/>
      <x:c r="Z395" s="81"/>
    </x:row>
    <x:row r="396">
      <x:c r="A396" s="81"/>
      <x:c r="B396" s="81"/>
      <x:c r="C396" s="81"/>
      <x:c r="D396" s="81"/>
      <x:c r="E396" s="81"/>
      <x:c r="F396" s="81"/>
      <x:c r="G396" s="81"/>
      <x:c r="H396" s="81"/>
      <x:c r="I396" s="81"/>
      <x:c r="J396" s="81"/>
      <x:c r="K396" s="81"/>
      <x:c r="L396" s="81"/>
      <x:c r="M396" s="81"/>
      <x:c r="N396" s="81"/>
      <x:c r="O396" s="81"/>
      <x:c r="P396" s="81"/>
      <x:c r="Q396" s="81"/>
      <x:c r="R396" s="81"/>
      <x:c r="S396" s="81"/>
      <x:c r="T396" s="81"/>
      <x:c r="U396" s="81"/>
      <x:c r="V396" s="81"/>
      <x:c r="W396" s="81"/>
      <x:c r="X396" s="81"/>
      <x:c r="Y396" s="81"/>
      <x:c r="Z396" s="81"/>
    </x:row>
    <x:row r="397">
      <x:c r="A397" s="81"/>
      <x:c r="B397" s="81"/>
      <x:c r="C397" s="81"/>
      <x:c r="D397" s="81"/>
      <x:c r="E397" s="81"/>
      <x:c r="F397" s="81"/>
      <x:c r="G397" s="81"/>
      <x:c r="H397" s="81"/>
      <x:c r="I397" s="81"/>
      <x:c r="J397" s="81"/>
      <x:c r="K397" s="81"/>
      <x:c r="L397" s="81"/>
      <x:c r="M397" s="81"/>
      <x:c r="N397" s="81"/>
      <x:c r="O397" s="81"/>
      <x:c r="P397" s="81"/>
      <x:c r="Q397" s="81"/>
      <x:c r="R397" s="81"/>
      <x:c r="S397" s="81"/>
      <x:c r="T397" s="81"/>
      <x:c r="U397" s="81"/>
      <x:c r="V397" s="81"/>
      <x:c r="W397" s="81"/>
      <x:c r="X397" s="81"/>
      <x:c r="Y397" s="81"/>
      <x:c r="Z397" s="81"/>
    </x:row>
    <x:row r="398">
      <x:c r="A398" s="81"/>
      <x:c r="B398" s="81"/>
      <x:c r="C398" s="81"/>
      <x:c r="D398" s="81"/>
      <x:c r="E398" s="81"/>
      <x:c r="F398" s="81"/>
      <x:c r="G398" s="81"/>
      <x:c r="H398" s="81"/>
      <x:c r="I398" s="81"/>
      <x:c r="J398" s="81"/>
      <x:c r="K398" s="81"/>
      <x:c r="L398" s="81"/>
      <x:c r="M398" s="81"/>
      <x:c r="N398" s="81"/>
      <x:c r="O398" s="81"/>
      <x:c r="P398" s="81"/>
      <x:c r="Q398" s="81"/>
      <x:c r="R398" s="81"/>
      <x:c r="S398" s="81"/>
      <x:c r="T398" s="81"/>
      <x:c r="U398" s="81"/>
      <x:c r="V398" s="81"/>
      <x:c r="W398" s="81"/>
      <x:c r="X398" s="81"/>
      <x:c r="Y398" s="81"/>
      <x:c r="Z398" s="81"/>
    </x:row>
    <x:row r="399">
      <x:c r="A399" s="81"/>
      <x:c r="B399" s="81"/>
      <x:c r="C399" s="81"/>
      <x:c r="D399" s="81"/>
      <x:c r="E399" s="81"/>
      <x:c r="F399" s="81"/>
      <x:c r="G399" s="81"/>
      <x:c r="H399" s="81"/>
      <x:c r="I399" s="81"/>
      <x:c r="J399" s="81"/>
      <x:c r="K399" s="81"/>
      <x:c r="L399" s="81"/>
      <x:c r="M399" s="81"/>
      <x:c r="N399" s="81"/>
      <x:c r="O399" s="81"/>
      <x:c r="P399" s="81"/>
      <x:c r="Q399" s="81"/>
      <x:c r="R399" s="81"/>
      <x:c r="S399" s="81"/>
      <x:c r="T399" s="81"/>
      <x:c r="U399" s="81"/>
      <x:c r="V399" s="81"/>
      <x:c r="W399" s="81"/>
      <x:c r="X399" s="81"/>
      <x:c r="Y399" s="81"/>
      <x:c r="Z399" s="81"/>
    </x:row>
    <x:row r="400">
      <x:c r="A400" s="81"/>
      <x:c r="B400" s="81"/>
      <x:c r="C400" s="81"/>
      <x:c r="D400" s="81"/>
      <x:c r="E400" s="81"/>
      <x:c r="F400" s="81"/>
      <x:c r="G400" s="81"/>
      <x:c r="H400" s="81"/>
      <x:c r="I400" s="81"/>
      <x:c r="J400" s="81"/>
      <x:c r="K400" s="81"/>
      <x:c r="L400" s="81"/>
      <x:c r="M400" s="81"/>
      <x:c r="N400" s="81"/>
      <x:c r="O400" s="81"/>
      <x:c r="P400" s="81"/>
      <x:c r="Q400" s="81"/>
      <x:c r="R400" s="81"/>
      <x:c r="S400" s="81"/>
      <x:c r="T400" s="81"/>
      <x:c r="U400" s="81"/>
      <x:c r="V400" s="81"/>
      <x:c r="W400" s="81"/>
      <x:c r="X400" s="81"/>
      <x:c r="Y400" s="81"/>
      <x:c r="Z400" s="81"/>
    </x:row>
    <x:row r="401">
      <x:c r="A401" s="81"/>
      <x:c r="B401" s="81"/>
      <x:c r="C401" s="81"/>
      <x:c r="D401" s="81"/>
      <x:c r="E401" s="81"/>
      <x:c r="F401" s="81"/>
      <x:c r="G401" s="81"/>
      <x:c r="H401" s="81"/>
      <x:c r="I401" s="81"/>
      <x:c r="J401" s="81"/>
      <x:c r="K401" s="81"/>
      <x:c r="L401" s="81"/>
      <x:c r="M401" s="81"/>
      <x:c r="N401" s="81"/>
      <x:c r="O401" s="81"/>
      <x:c r="P401" s="81"/>
      <x:c r="Q401" s="81"/>
      <x:c r="R401" s="81"/>
      <x:c r="S401" s="81"/>
      <x:c r="T401" s="81"/>
      <x:c r="U401" s="81"/>
      <x:c r="V401" s="81"/>
      <x:c r="W401" s="81"/>
      <x:c r="X401" s="81"/>
      <x:c r="Y401" s="81"/>
      <x:c r="Z401" s="81"/>
    </x:row>
    <x:row r="402">
      <x:c r="A402" s="81"/>
      <x:c r="B402" s="81"/>
      <x:c r="C402" s="81"/>
      <x:c r="D402" s="81"/>
      <x:c r="E402" s="81"/>
      <x:c r="F402" s="81"/>
      <x:c r="G402" s="81"/>
      <x:c r="H402" s="81"/>
      <x:c r="I402" s="81"/>
      <x:c r="J402" s="81"/>
      <x:c r="K402" s="81"/>
      <x:c r="L402" s="81"/>
      <x:c r="M402" s="81"/>
      <x:c r="N402" s="81"/>
      <x:c r="O402" s="81"/>
      <x:c r="P402" s="81"/>
      <x:c r="Q402" s="81"/>
      <x:c r="R402" s="81"/>
      <x:c r="S402" s="81"/>
      <x:c r="T402" s="81"/>
      <x:c r="U402" s="81"/>
      <x:c r="V402" s="81"/>
      <x:c r="W402" s="81"/>
      <x:c r="X402" s="81"/>
      <x:c r="Y402" s="81"/>
      <x:c r="Z402" s="81"/>
    </x:row>
    <x:row r="403">
      <x:c r="A403" s="81"/>
      <x:c r="B403" s="81"/>
      <x:c r="C403" s="81"/>
      <x:c r="D403" s="81"/>
      <x:c r="E403" s="81"/>
      <x:c r="F403" s="81"/>
      <x:c r="G403" s="81"/>
      <x:c r="H403" s="81"/>
      <x:c r="I403" s="81"/>
      <x:c r="J403" s="81"/>
      <x:c r="K403" s="81"/>
      <x:c r="L403" s="81"/>
      <x:c r="M403" s="81"/>
      <x:c r="N403" s="81"/>
      <x:c r="O403" s="81"/>
      <x:c r="P403" s="81"/>
      <x:c r="Q403" s="81"/>
      <x:c r="R403" s="81"/>
      <x:c r="S403" s="81"/>
      <x:c r="T403" s="81"/>
      <x:c r="U403" s="81"/>
      <x:c r="V403" s="81"/>
      <x:c r="W403" s="81"/>
      <x:c r="X403" s="81"/>
      <x:c r="Y403" s="81"/>
      <x:c r="Z403" s="81"/>
    </x:row>
    <x:row r="404">
      <x:c r="A404" s="81"/>
      <x:c r="B404" s="81"/>
      <x:c r="C404" s="81"/>
      <x:c r="D404" s="81"/>
      <x:c r="E404" s="81"/>
      <x:c r="F404" s="81"/>
      <x:c r="G404" s="81"/>
      <x:c r="H404" s="81"/>
      <x:c r="I404" s="81"/>
      <x:c r="J404" s="81"/>
      <x:c r="K404" s="81"/>
      <x:c r="L404" s="81"/>
      <x:c r="M404" s="81"/>
      <x:c r="N404" s="81"/>
      <x:c r="O404" s="81"/>
      <x:c r="P404" s="81"/>
      <x:c r="Q404" s="81"/>
      <x:c r="R404" s="81"/>
      <x:c r="S404" s="81"/>
      <x:c r="T404" s="81"/>
      <x:c r="U404" s="81"/>
      <x:c r="V404" s="81"/>
      <x:c r="W404" s="81"/>
      <x:c r="X404" s="81"/>
      <x:c r="Y404" s="81"/>
      <x:c r="Z404" s="81"/>
    </x:row>
    <x:row r="405">
      <x:c r="A405" s="81"/>
      <x:c r="B405" s="81"/>
      <x:c r="C405" s="81"/>
      <x:c r="D405" s="81"/>
      <x:c r="E405" s="81"/>
      <x:c r="F405" s="81"/>
      <x:c r="G405" s="81"/>
      <x:c r="H405" s="81"/>
      <x:c r="I405" s="81"/>
      <x:c r="J405" s="81"/>
      <x:c r="K405" s="81"/>
      <x:c r="L405" s="81"/>
      <x:c r="M405" s="81"/>
      <x:c r="N405" s="81"/>
      <x:c r="O405" s="81"/>
      <x:c r="P405" s="81"/>
      <x:c r="Q405" s="81"/>
      <x:c r="R405" s="81"/>
      <x:c r="S405" s="81"/>
      <x:c r="T405" s="81"/>
      <x:c r="U405" s="81"/>
      <x:c r="V405" s="81"/>
      <x:c r="W405" s="81"/>
      <x:c r="X405" s="81"/>
      <x:c r="Y405" s="81"/>
      <x:c r="Z405" s="81"/>
    </x:row>
    <x:row r="406">
      <x:c r="A406" s="81"/>
      <x:c r="B406" s="81"/>
      <x:c r="C406" s="81"/>
      <x:c r="D406" s="81"/>
      <x:c r="E406" s="81"/>
      <x:c r="F406" s="81"/>
      <x:c r="G406" s="81"/>
      <x:c r="H406" s="81"/>
      <x:c r="I406" s="81"/>
      <x:c r="J406" s="81"/>
      <x:c r="K406" s="81"/>
      <x:c r="L406" s="81"/>
      <x:c r="M406" s="81"/>
      <x:c r="N406" s="81"/>
      <x:c r="O406" s="81"/>
      <x:c r="P406" s="81"/>
      <x:c r="Q406" s="81"/>
      <x:c r="R406" s="81"/>
      <x:c r="S406" s="81"/>
      <x:c r="T406" s="81"/>
      <x:c r="U406" s="81"/>
      <x:c r="V406" s="81"/>
      <x:c r="W406" s="81"/>
      <x:c r="X406" s="81"/>
      <x:c r="Y406" s="81"/>
      <x:c r="Z406" s="81"/>
    </x:row>
    <x:row r="407">
      <x:c r="A407" s="81"/>
      <x:c r="B407" s="81"/>
      <x:c r="C407" s="81"/>
      <x:c r="D407" s="81"/>
      <x:c r="E407" s="81"/>
      <x:c r="F407" s="81"/>
      <x:c r="G407" s="81"/>
      <x:c r="H407" s="81"/>
      <x:c r="I407" s="81"/>
      <x:c r="J407" s="81"/>
      <x:c r="K407" s="81"/>
      <x:c r="L407" s="81"/>
      <x:c r="M407" s="81"/>
      <x:c r="N407" s="81"/>
      <x:c r="O407" s="81"/>
      <x:c r="P407" s="81"/>
      <x:c r="Q407" s="81"/>
      <x:c r="R407" s="81"/>
      <x:c r="S407" s="81"/>
      <x:c r="T407" s="81"/>
      <x:c r="U407" s="81"/>
      <x:c r="V407" s="81"/>
      <x:c r="W407" s="81"/>
      <x:c r="X407" s="81"/>
      <x:c r="Y407" s="81"/>
      <x:c r="Z407" s="81"/>
    </x:row>
    <x:row r="408">
      <x:c r="A408" s="81"/>
      <x:c r="B408" s="81"/>
      <x:c r="C408" s="81"/>
      <x:c r="D408" s="81"/>
      <x:c r="E408" s="81"/>
      <x:c r="F408" s="81"/>
      <x:c r="G408" s="81"/>
      <x:c r="H408" s="81"/>
      <x:c r="I408" s="81"/>
      <x:c r="J408" s="81"/>
      <x:c r="K408" s="81"/>
      <x:c r="L408" s="81"/>
      <x:c r="M408" s="81"/>
      <x:c r="N408" s="81"/>
      <x:c r="O408" s="81"/>
      <x:c r="P408" s="81"/>
      <x:c r="Q408" s="81"/>
      <x:c r="R408" s="81"/>
      <x:c r="S408" s="81"/>
      <x:c r="T408" s="81"/>
      <x:c r="U408" s="81"/>
      <x:c r="V408" s="81"/>
      <x:c r="W408" s="81"/>
      <x:c r="X408" s="81"/>
      <x:c r="Y408" s="81"/>
      <x:c r="Z408" s="81"/>
    </x:row>
    <x:row r="409">
      <x:c r="A409" s="81"/>
      <x:c r="B409" s="81"/>
      <x:c r="C409" s="81"/>
      <x:c r="D409" s="81"/>
      <x:c r="E409" s="81"/>
      <x:c r="F409" s="81"/>
      <x:c r="G409" s="81"/>
      <x:c r="H409" s="81"/>
      <x:c r="I409" s="81"/>
      <x:c r="J409" s="81"/>
      <x:c r="K409" s="81"/>
      <x:c r="L409" s="81"/>
      <x:c r="M409" s="81"/>
      <x:c r="N409" s="81"/>
      <x:c r="O409" s="81"/>
      <x:c r="P409" s="81"/>
      <x:c r="Q409" s="81"/>
      <x:c r="R409" s="81"/>
      <x:c r="S409" s="81"/>
      <x:c r="T409" s="81"/>
      <x:c r="U409" s="81"/>
      <x:c r="V409" s="81"/>
      <x:c r="W409" s="81"/>
      <x:c r="X409" s="81"/>
      <x:c r="Y409" s="81"/>
      <x:c r="Z409" s="81"/>
    </x:row>
    <x:row r="410">
      <x:c r="A410" s="81"/>
      <x:c r="B410" s="81"/>
      <x:c r="C410" s="81"/>
      <x:c r="D410" s="81"/>
      <x:c r="E410" s="81"/>
      <x:c r="F410" s="81"/>
      <x:c r="G410" s="81"/>
      <x:c r="H410" s="81"/>
      <x:c r="I410" s="81"/>
      <x:c r="J410" s="81"/>
      <x:c r="K410" s="81"/>
      <x:c r="L410" s="81"/>
      <x:c r="M410" s="81"/>
      <x:c r="N410" s="81"/>
      <x:c r="O410" s="81"/>
      <x:c r="P410" s="81"/>
      <x:c r="Q410" s="81"/>
      <x:c r="R410" s="81"/>
      <x:c r="S410" s="81"/>
      <x:c r="T410" s="81"/>
      <x:c r="U410" s="81"/>
      <x:c r="V410" s="81"/>
      <x:c r="W410" s="81"/>
      <x:c r="X410" s="81"/>
      <x:c r="Y410" s="81"/>
      <x:c r="Z410" s="81"/>
    </x:row>
    <x:row r="411">
      <x:c r="A411" s="81"/>
      <x:c r="B411" s="81"/>
      <x:c r="C411" s="81"/>
      <x:c r="D411" s="81"/>
      <x:c r="E411" s="81"/>
      <x:c r="F411" s="81"/>
      <x:c r="G411" s="81"/>
      <x:c r="H411" s="81"/>
      <x:c r="I411" s="81"/>
      <x:c r="J411" s="81"/>
      <x:c r="K411" s="81"/>
      <x:c r="L411" s="81"/>
      <x:c r="M411" s="81"/>
      <x:c r="N411" s="81"/>
      <x:c r="O411" s="81"/>
      <x:c r="P411" s="81"/>
      <x:c r="Q411" s="81"/>
      <x:c r="R411" s="81"/>
      <x:c r="S411" s="81"/>
      <x:c r="T411" s="81"/>
      <x:c r="U411" s="81"/>
      <x:c r="V411" s="81"/>
      <x:c r="W411" s="81"/>
      <x:c r="X411" s="81"/>
      <x:c r="Y411" s="81"/>
      <x:c r="Z411" s="81"/>
    </x:row>
    <x:row r="412">
      <x:c r="A412" s="81"/>
      <x:c r="B412" s="81"/>
      <x:c r="C412" s="81"/>
      <x:c r="D412" s="81"/>
      <x:c r="E412" s="81"/>
      <x:c r="F412" s="81"/>
      <x:c r="G412" s="81"/>
      <x:c r="H412" s="81"/>
      <x:c r="I412" s="81"/>
      <x:c r="J412" s="81"/>
      <x:c r="K412" s="81"/>
      <x:c r="L412" s="81"/>
      <x:c r="M412" s="81"/>
      <x:c r="N412" s="81"/>
      <x:c r="O412" s="81"/>
      <x:c r="P412" s="81"/>
      <x:c r="Q412" s="81"/>
      <x:c r="R412" s="81"/>
      <x:c r="S412" s="81"/>
      <x:c r="T412" s="81"/>
      <x:c r="U412" s="81"/>
      <x:c r="V412" s="81"/>
      <x:c r="W412" s="81"/>
      <x:c r="X412" s="81"/>
      <x:c r="Y412" s="81"/>
      <x:c r="Z412" s="81"/>
    </x:row>
    <x:row r="413">
      <x:c r="A413" s="81"/>
      <x:c r="B413" s="81"/>
      <x:c r="C413" s="81"/>
      <x:c r="D413" s="81"/>
      <x:c r="E413" s="81"/>
      <x:c r="F413" s="81"/>
      <x:c r="G413" s="81"/>
      <x:c r="H413" s="81"/>
      <x:c r="I413" s="81"/>
      <x:c r="J413" s="81"/>
      <x:c r="K413" s="81"/>
      <x:c r="L413" s="81"/>
      <x:c r="M413" s="81"/>
      <x:c r="N413" s="81"/>
      <x:c r="O413" s="81"/>
      <x:c r="P413" s="81"/>
      <x:c r="Q413" s="81"/>
      <x:c r="R413" s="81"/>
      <x:c r="S413" s="81"/>
      <x:c r="T413" s="81"/>
      <x:c r="U413" s="81"/>
      <x:c r="V413" s="81"/>
      <x:c r="W413" s="81"/>
      <x:c r="X413" s="81"/>
      <x:c r="Y413" s="81"/>
      <x:c r="Z413" s="81"/>
    </x:row>
    <x:row r="414">
      <x:c r="A414" s="81"/>
      <x:c r="B414" s="81"/>
      <x:c r="C414" s="81"/>
      <x:c r="D414" s="81"/>
      <x:c r="E414" s="81"/>
      <x:c r="F414" s="81"/>
      <x:c r="G414" s="81"/>
      <x:c r="H414" s="81"/>
      <x:c r="I414" s="81"/>
      <x:c r="J414" s="81"/>
      <x:c r="K414" s="81"/>
      <x:c r="L414" s="81"/>
      <x:c r="M414" s="81"/>
      <x:c r="N414" s="81"/>
      <x:c r="O414" s="81"/>
      <x:c r="P414" s="81"/>
      <x:c r="Q414" s="81"/>
      <x:c r="R414" s="81"/>
      <x:c r="S414" s="81"/>
      <x:c r="T414" s="81"/>
      <x:c r="U414" s="81"/>
      <x:c r="V414" s="81"/>
      <x:c r="W414" s="81"/>
      <x:c r="X414" s="81"/>
      <x:c r="Y414" s="81"/>
      <x:c r="Z414" s="81"/>
    </x:row>
    <x:row r="415">
      <x:c r="A415" s="81"/>
      <x:c r="B415" s="81"/>
      <x:c r="C415" s="81"/>
      <x:c r="D415" s="81"/>
      <x:c r="E415" s="81"/>
      <x:c r="F415" s="81"/>
      <x:c r="G415" s="81"/>
      <x:c r="H415" s="81"/>
      <x:c r="I415" s="81"/>
      <x:c r="J415" s="81"/>
      <x:c r="K415" s="81"/>
      <x:c r="L415" s="81"/>
      <x:c r="M415" s="81"/>
      <x:c r="N415" s="81"/>
      <x:c r="O415" s="81"/>
      <x:c r="P415" s="81"/>
      <x:c r="Q415" s="81"/>
      <x:c r="R415" s="81"/>
      <x:c r="S415" s="81"/>
      <x:c r="T415" s="81"/>
      <x:c r="U415" s="81"/>
      <x:c r="V415" s="81"/>
      <x:c r="W415" s="81"/>
      <x:c r="X415" s="81"/>
      <x:c r="Y415" s="81"/>
      <x:c r="Z415" s="81"/>
    </x:row>
    <x:row r="416">
      <x:c r="A416" s="81"/>
      <x:c r="B416" s="81"/>
      <x:c r="C416" s="81"/>
      <x:c r="D416" s="81"/>
      <x:c r="E416" s="81"/>
      <x:c r="F416" s="81"/>
      <x:c r="G416" s="81"/>
      <x:c r="H416" s="81"/>
      <x:c r="I416" s="81"/>
      <x:c r="J416" s="81"/>
      <x:c r="K416" s="81"/>
      <x:c r="L416" s="81"/>
      <x:c r="M416" s="81"/>
      <x:c r="N416" s="81"/>
      <x:c r="O416" s="81"/>
      <x:c r="P416" s="81"/>
      <x:c r="Q416" s="81"/>
      <x:c r="R416" s="81"/>
      <x:c r="S416" s="81"/>
      <x:c r="T416" s="81"/>
      <x:c r="U416" s="81"/>
      <x:c r="V416" s="81"/>
      <x:c r="W416" s="81"/>
      <x:c r="X416" s="81"/>
      <x:c r="Y416" s="81"/>
      <x:c r="Z416" s="81"/>
    </x:row>
    <x:row r="417">
      <x:c r="A417" s="81"/>
      <x:c r="B417" s="81"/>
      <x:c r="C417" s="81"/>
      <x:c r="D417" s="81"/>
      <x:c r="E417" s="81"/>
      <x:c r="F417" s="81"/>
      <x:c r="G417" s="81"/>
      <x:c r="H417" s="81"/>
      <x:c r="I417" s="81"/>
      <x:c r="J417" s="81"/>
      <x:c r="K417" s="81"/>
      <x:c r="L417" s="81"/>
      <x:c r="M417" s="81"/>
      <x:c r="N417" s="81"/>
      <x:c r="O417" s="81"/>
      <x:c r="P417" s="81"/>
      <x:c r="Q417" s="81"/>
      <x:c r="R417" s="81"/>
      <x:c r="S417" s="81"/>
      <x:c r="T417" s="81"/>
      <x:c r="U417" s="81"/>
      <x:c r="V417" s="81"/>
      <x:c r="W417" s="81"/>
      <x:c r="X417" s="81"/>
      <x:c r="Y417" s="81"/>
      <x:c r="Z417" s="81"/>
    </x:row>
    <x:row r="418">
      <x:c r="A418" s="81"/>
      <x:c r="B418" s="81"/>
      <x:c r="C418" s="81"/>
      <x:c r="D418" s="81"/>
      <x:c r="E418" s="81"/>
      <x:c r="F418" s="81"/>
      <x:c r="G418" s="81"/>
      <x:c r="H418" s="81"/>
      <x:c r="I418" s="81"/>
      <x:c r="J418" s="81"/>
      <x:c r="K418" s="81"/>
      <x:c r="L418" s="81"/>
      <x:c r="M418" s="81"/>
      <x:c r="N418" s="81"/>
      <x:c r="O418" s="81"/>
      <x:c r="P418" s="81"/>
      <x:c r="Q418" s="81"/>
      <x:c r="R418" s="81"/>
      <x:c r="S418" s="81"/>
      <x:c r="T418" s="81"/>
      <x:c r="U418" s="81"/>
      <x:c r="V418" s="81"/>
      <x:c r="W418" s="81"/>
      <x:c r="X418" s="81"/>
      <x:c r="Y418" s="81"/>
      <x:c r="Z418" s="81"/>
    </x:row>
    <x:row r="419">
      <x:c r="A419" s="81"/>
      <x:c r="B419" s="81"/>
      <x:c r="C419" s="81"/>
      <x:c r="D419" s="81"/>
      <x:c r="E419" s="81"/>
      <x:c r="F419" s="81"/>
      <x:c r="G419" s="81"/>
      <x:c r="H419" s="81"/>
      <x:c r="I419" s="81"/>
      <x:c r="J419" s="81"/>
      <x:c r="K419" s="81"/>
      <x:c r="L419" s="81"/>
      <x:c r="M419" s="81"/>
      <x:c r="N419" s="81"/>
      <x:c r="O419" s="81"/>
      <x:c r="P419" s="81"/>
      <x:c r="Q419" s="81"/>
      <x:c r="R419" s="81"/>
      <x:c r="S419" s="81"/>
      <x:c r="T419" s="81"/>
      <x:c r="U419" s="81"/>
      <x:c r="V419" s="81"/>
      <x:c r="W419" s="81"/>
      <x:c r="X419" s="81"/>
      <x:c r="Y419" s="81"/>
      <x:c r="Z419" s="81"/>
    </x:row>
    <x:row r="420">
      <x:c r="A420" s="81"/>
      <x:c r="B420" s="81"/>
      <x:c r="C420" s="81"/>
      <x:c r="D420" s="81"/>
      <x:c r="E420" s="81"/>
      <x:c r="F420" s="81"/>
      <x:c r="G420" s="81"/>
      <x:c r="H420" s="81"/>
      <x:c r="I420" s="81"/>
      <x:c r="J420" s="81"/>
      <x:c r="K420" s="81"/>
      <x:c r="L420" s="81"/>
      <x:c r="M420" s="81"/>
      <x:c r="N420" s="81"/>
      <x:c r="O420" s="81"/>
      <x:c r="P420" s="81"/>
      <x:c r="Q420" s="81"/>
      <x:c r="R420" s="81"/>
      <x:c r="S420" s="81"/>
      <x:c r="T420" s="81"/>
      <x:c r="U420" s="81"/>
      <x:c r="V420" s="81"/>
      <x:c r="W420" s="81"/>
      <x:c r="X420" s="81"/>
      <x:c r="Y420" s="81"/>
      <x:c r="Z420" s="81"/>
    </x:row>
    <x:row r="421">
      <x:c r="A421" s="81"/>
      <x:c r="B421" s="81"/>
      <x:c r="C421" s="81"/>
      <x:c r="D421" s="81"/>
      <x:c r="E421" s="81"/>
      <x:c r="F421" s="81"/>
      <x:c r="G421" s="81"/>
      <x:c r="H421" s="81"/>
      <x:c r="I421" s="81"/>
      <x:c r="J421" s="81"/>
      <x:c r="K421" s="81"/>
      <x:c r="L421" s="81"/>
      <x:c r="M421" s="81"/>
      <x:c r="N421" s="81"/>
      <x:c r="O421" s="81"/>
      <x:c r="P421" s="81"/>
      <x:c r="Q421" s="81"/>
      <x:c r="R421" s="81"/>
      <x:c r="S421" s="81"/>
      <x:c r="T421" s="81"/>
      <x:c r="U421" s="81"/>
      <x:c r="V421" s="81"/>
      <x:c r="W421" s="81"/>
      <x:c r="X421" s="81"/>
      <x:c r="Y421" s="81"/>
      <x:c r="Z421" s="81"/>
    </x:row>
    <x:row r="422">
      <x:c r="A422" s="81"/>
      <x:c r="B422" s="81"/>
      <x:c r="C422" s="81"/>
      <x:c r="D422" s="81"/>
      <x:c r="E422" s="81"/>
      <x:c r="F422" s="81"/>
      <x:c r="G422" s="81"/>
      <x:c r="H422" s="81"/>
      <x:c r="I422" s="81"/>
      <x:c r="J422" s="81"/>
      <x:c r="K422" s="81"/>
      <x:c r="L422" s="81"/>
      <x:c r="M422" s="81"/>
      <x:c r="N422" s="81"/>
      <x:c r="O422" s="81"/>
      <x:c r="P422" s="81"/>
      <x:c r="Q422" s="81"/>
      <x:c r="R422" s="81"/>
      <x:c r="S422" s="81"/>
      <x:c r="T422" s="81"/>
      <x:c r="U422" s="81"/>
      <x:c r="V422" s="81"/>
      <x:c r="W422" s="81"/>
      <x:c r="X422" s="81"/>
      <x:c r="Y422" s="81"/>
      <x:c r="Z422" s="81"/>
    </x:row>
    <x:row r="423">
      <x:c r="A423" s="81"/>
      <x:c r="B423" s="81"/>
      <x:c r="C423" s="81"/>
      <x:c r="D423" s="81"/>
      <x:c r="E423" s="81"/>
      <x:c r="F423" s="81"/>
      <x:c r="G423" s="81"/>
      <x:c r="H423" s="81"/>
      <x:c r="I423" s="81"/>
      <x:c r="J423" s="81"/>
      <x:c r="K423" s="81"/>
      <x:c r="L423" s="81"/>
      <x:c r="M423" s="81"/>
      <x:c r="N423" s="81"/>
      <x:c r="O423" s="81"/>
      <x:c r="P423" s="81"/>
      <x:c r="Q423" s="81"/>
      <x:c r="R423" s="81"/>
      <x:c r="S423" s="81"/>
      <x:c r="T423" s="81"/>
      <x:c r="U423" s="81"/>
      <x:c r="V423" s="81"/>
      <x:c r="W423" s="81"/>
      <x:c r="X423" s="81"/>
      <x:c r="Y423" s="81"/>
      <x:c r="Z423" s="81"/>
    </x:row>
    <x:row r="424">
      <x:c r="A424" s="81"/>
      <x:c r="B424" s="81"/>
      <x:c r="C424" s="81"/>
      <x:c r="D424" s="81"/>
      <x:c r="E424" s="81"/>
      <x:c r="F424" s="81"/>
      <x:c r="G424" s="81"/>
      <x:c r="H424" s="81"/>
      <x:c r="I424" s="81"/>
      <x:c r="J424" s="81"/>
      <x:c r="K424" s="81"/>
      <x:c r="L424" s="81"/>
      <x:c r="M424" s="81"/>
      <x:c r="N424" s="81"/>
      <x:c r="O424" s="81"/>
      <x:c r="P424" s="81"/>
      <x:c r="Q424" s="81"/>
      <x:c r="R424" s="81"/>
      <x:c r="S424" s="81"/>
      <x:c r="T424" s="81"/>
      <x:c r="U424" s="81"/>
      <x:c r="V424" s="81"/>
      <x:c r="W424" s="81"/>
      <x:c r="X424" s="81"/>
      <x:c r="Y424" s="81"/>
      <x:c r="Z424" s="81"/>
    </x:row>
    <x:row r="425">
      <x:c r="A425" s="81"/>
      <x:c r="B425" s="81"/>
      <x:c r="C425" s="81"/>
      <x:c r="D425" s="81"/>
      <x:c r="E425" s="81"/>
      <x:c r="F425" s="81"/>
      <x:c r="G425" s="81"/>
      <x:c r="H425" s="81"/>
      <x:c r="I425" s="81"/>
      <x:c r="J425" s="81"/>
      <x:c r="K425" s="81"/>
      <x:c r="L425" s="81"/>
      <x:c r="M425" s="81"/>
      <x:c r="N425" s="81"/>
      <x:c r="O425" s="81"/>
      <x:c r="P425" s="81"/>
      <x:c r="Q425" s="81"/>
      <x:c r="R425" s="81"/>
      <x:c r="S425" s="81"/>
      <x:c r="T425" s="81"/>
      <x:c r="U425" s="81"/>
      <x:c r="V425" s="81"/>
      <x:c r="W425" s="81"/>
      <x:c r="X425" s="81"/>
      <x:c r="Y425" s="81"/>
      <x:c r="Z425" s="81"/>
    </x:row>
    <x:row r="426">
      <x:c r="A426" s="81"/>
      <x:c r="B426" s="81"/>
      <x:c r="C426" s="81"/>
      <x:c r="D426" s="81"/>
      <x:c r="E426" s="81"/>
      <x:c r="F426" s="81"/>
      <x:c r="G426" s="81"/>
      <x:c r="H426" s="81"/>
      <x:c r="I426" s="81"/>
      <x:c r="J426" s="81"/>
      <x:c r="K426" s="81"/>
      <x:c r="L426" s="81"/>
      <x:c r="M426" s="81"/>
      <x:c r="N426" s="81"/>
      <x:c r="O426" s="81"/>
      <x:c r="P426" s="81"/>
      <x:c r="Q426" s="81"/>
      <x:c r="R426" s="81"/>
      <x:c r="S426" s="81"/>
      <x:c r="T426" s="81"/>
      <x:c r="U426" s="81"/>
      <x:c r="V426" s="81"/>
      <x:c r="W426" s="81"/>
      <x:c r="X426" s="81"/>
      <x:c r="Y426" s="81"/>
      <x:c r="Z426" s="81"/>
    </x:row>
    <x:row r="427">
      <x:c r="A427" s="81"/>
      <x:c r="B427" s="81"/>
      <x:c r="C427" s="81"/>
      <x:c r="D427" s="81"/>
      <x:c r="E427" s="81"/>
      <x:c r="F427" s="81"/>
      <x:c r="G427" s="81"/>
      <x:c r="H427" s="81"/>
      <x:c r="I427" s="81"/>
      <x:c r="J427" s="81"/>
      <x:c r="K427" s="81"/>
      <x:c r="L427" s="81"/>
      <x:c r="M427" s="81"/>
      <x:c r="N427" s="81"/>
      <x:c r="O427" s="81"/>
      <x:c r="P427" s="81"/>
      <x:c r="Q427" s="81"/>
      <x:c r="R427" s="81"/>
      <x:c r="S427" s="81"/>
      <x:c r="T427" s="81"/>
      <x:c r="U427" s="81"/>
      <x:c r="V427" s="81"/>
      <x:c r="W427" s="81"/>
      <x:c r="X427" s="81"/>
      <x:c r="Y427" s="81"/>
      <x:c r="Z427" s="81"/>
    </x:row>
    <x:row r="428">
      <x:c r="A428" s="81"/>
      <x:c r="B428" s="81"/>
      <x:c r="C428" s="81"/>
      <x:c r="D428" s="81"/>
      <x:c r="E428" s="81"/>
      <x:c r="F428" s="81"/>
      <x:c r="G428" s="81"/>
      <x:c r="H428" s="81"/>
      <x:c r="I428" s="81"/>
      <x:c r="J428" s="81"/>
      <x:c r="K428" s="81"/>
      <x:c r="L428" s="81"/>
      <x:c r="M428" s="81"/>
      <x:c r="N428" s="81"/>
      <x:c r="O428" s="81"/>
      <x:c r="P428" s="81"/>
      <x:c r="Q428" s="81"/>
      <x:c r="R428" s="81"/>
      <x:c r="S428" s="81"/>
      <x:c r="T428" s="81"/>
      <x:c r="U428" s="81"/>
      <x:c r="V428" s="81"/>
      <x:c r="W428" s="81"/>
      <x:c r="X428" s="81"/>
      <x:c r="Y428" s="81"/>
      <x:c r="Z428" s="81"/>
    </x:row>
    <x:row r="429">
      <x:c r="A429" s="81"/>
      <x:c r="B429" s="81"/>
      <x:c r="C429" s="81"/>
      <x:c r="D429" s="81"/>
      <x:c r="E429" s="81"/>
      <x:c r="F429" s="81"/>
      <x:c r="G429" s="81"/>
      <x:c r="H429" s="81"/>
      <x:c r="I429" s="81"/>
      <x:c r="J429" s="81"/>
      <x:c r="K429" s="81"/>
      <x:c r="L429" s="81"/>
      <x:c r="M429" s="81"/>
      <x:c r="N429" s="81"/>
      <x:c r="O429" s="81"/>
      <x:c r="P429" s="81"/>
      <x:c r="Q429" s="81"/>
      <x:c r="R429" s="81"/>
      <x:c r="S429" s="81"/>
      <x:c r="T429" s="81"/>
      <x:c r="U429" s="81"/>
      <x:c r="V429" s="81"/>
      <x:c r="W429" s="81"/>
      <x:c r="X429" s="81"/>
      <x:c r="Y429" s="81"/>
      <x:c r="Z429" s="81"/>
    </x:row>
    <x:row r="430">
      <x:c r="A430" s="81"/>
      <x:c r="B430" s="81"/>
      <x:c r="C430" s="81"/>
      <x:c r="D430" s="81"/>
      <x:c r="E430" s="81"/>
      <x:c r="F430" s="81"/>
      <x:c r="G430" s="81"/>
      <x:c r="H430" s="81"/>
      <x:c r="I430" s="81"/>
      <x:c r="J430" s="81"/>
      <x:c r="K430" s="81"/>
      <x:c r="L430" s="81"/>
      <x:c r="M430" s="81"/>
      <x:c r="N430" s="81"/>
      <x:c r="O430" s="81"/>
      <x:c r="P430" s="81"/>
      <x:c r="Q430" s="81"/>
      <x:c r="R430" s="81"/>
      <x:c r="S430" s="81"/>
      <x:c r="T430" s="81"/>
      <x:c r="U430" s="81"/>
      <x:c r="V430" s="81"/>
      <x:c r="W430" s="81"/>
      <x:c r="X430" s="81"/>
      <x:c r="Y430" s="81"/>
      <x:c r="Z430" s="81"/>
    </x:row>
    <x:row r="431">
      <x:c r="A431" s="81"/>
      <x:c r="B431" s="81"/>
      <x:c r="C431" s="81"/>
      <x:c r="D431" s="81"/>
      <x:c r="E431" s="81"/>
      <x:c r="F431" s="81"/>
      <x:c r="G431" s="81"/>
      <x:c r="H431" s="81"/>
      <x:c r="I431" s="81"/>
      <x:c r="J431" s="81"/>
      <x:c r="K431" s="81"/>
      <x:c r="L431" s="81"/>
      <x:c r="M431" s="81"/>
      <x:c r="N431" s="81"/>
      <x:c r="O431" s="81"/>
      <x:c r="P431" s="81"/>
      <x:c r="Q431" s="81"/>
      <x:c r="R431" s="81"/>
      <x:c r="S431" s="81"/>
      <x:c r="T431" s="81"/>
      <x:c r="U431" s="81"/>
      <x:c r="V431" s="81"/>
      <x:c r="W431" s="81"/>
      <x:c r="X431" s="81"/>
      <x:c r="Y431" s="81"/>
      <x:c r="Z431" s="81"/>
    </x:row>
    <x:row r="432">
      <x:c r="A432" s="81"/>
      <x:c r="B432" s="81"/>
      <x:c r="C432" s="81"/>
      <x:c r="D432" s="81"/>
      <x:c r="E432" s="81"/>
      <x:c r="F432" s="81"/>
      <x:c r="G432" s="81"/>
      <x:c r="H432" s="81"/>
      <x:c r="I432" s="81"/>
      <x:c r="J432" s="81"/>
      <x:c r="K432" s="81"/>
      <x:c r="L432" s="81"/>
      <x:c r="M432" s="81"/>
      <x:c r="N432" s="81"/>
      <x:c r="O432" s="81"/>
      <x:c r="P432" s="81"/>
      <x:c r="Q432" s="81"/>
      <x:c r="R432" s="81"/>
      <x:c r="S432" s="81"/>
      <x:c r="T432" s="81"/>
      <x:c r="U432" s="81"/>
      <x:c r="V432" s="81"/>
      <x:c r="W432" s="81"/>
      <x:c r="X432" s="81"/>
      <x:c r="Y432" s="81"/>
      <x:c r="Z432" s="81"/>
    </x:row>
    <x:row r="433">
      <x:c r="A433" s="81"/>
      <x:c r="B433" s="81"/>
      <x:c r="C433" s="81"/>
      <x:c r="D433" s="81"/>
      <x:c r="E433" s="81"/>
      <x:c r="F433" s="81"/>
      <x:c r="G433" s="81"/>
      <x:c r="H433" s="81"/>
      <x:c r="I433" s="81"/>
      <x:c r="J433" s="81"/>
      <x:c r="K433" s="81"/>
      <x:c r="L433" s="81"/>
      <x:c r="M433" s="81"/>
      <x:c r="N433" s="81"/>
      <x:c r="O433" s="81"/>
      <x:c r="P433" s="81"/>
      <x:c r="Q433" s="81"/>
      <x:c r="R433" s="81"/>
      <x:c r="S433" s="81"/>
      <x:c r="T433" s="81"/>
      <x:c r="U433" s="81"/>
      <x:c r="V433" s="81"/>
      <x:c r="W433" s="81"/>
      <x:c r="X433" s="81"/>
      <x:c r="Y433" s="81"/>
      <x:c r="Z433" s="81"/>
    </x:row>
    <x:row r="434">
      <x:c r="A434" s="81"/>
      <x:c r="B434" s="81"/>
      <x:c r="C434" s="81"/>
      <x:c r="D434" s="81"/>
      <x:c r="E434" s="81"/>
      <x:c r="F434" s="81"/>
      <x:c r="G434" s="81"/>
      <x:c r="H434" s="81"/>
      <x:c r="I434" s="81"/>
      <x:c r="J434" s="81"/>
      <x:c r="K434" s="81"/>
      <x:c r="L434" s="81"/>
      <x:c r="M434" s="81"/>
      <x:c r="N434" s="81"/>
      <x:c r="O434" s="81"/>
      <x:c r="P434" s="81"/>
      <x:c r="Q434" s="81"/>
      <x:c r="R434" s="81"/>
      <x:c r="S434" s="81"/>
      <x:c r="T434" s="81"/>
      <x:c r="U434" s="81"/>
      <x:c r="V434" s="81"/>
      <x:c r="W434" s="81"/>
      <x:c r="X434" s="81"/>
      <x:c r="Y434" s="81"/>
      <x:c r="Z434" s="81"/>
    </x:row>
    <x:row r="435">
      <x:c r="A435" s="81"/>
      <x:c r="B435" s="81"/>
      <x:c r="C435" s="81"/>
      <x:c r="D435" s="81"/>
      <x:c r="E435" s="81"/>
      <x:c r="F435" s="81"/>
      <x:c r="G435" s="81"/>
      <x:c r="H435" s="81"/>
      <x:c r="I435" s="81"/>
      <x:c r="J435" s="81"/>
      <x:c r="K435" s="81"/>
      <x:c r="L435" s="81"/>
      <x:c r="M435" s="81"/>
      <x:c r="N435" s="81"/>
      <x:c r="O435" s="81"/>
      <x:c r="P435" s="81"/>
      <x:c r="Q435" s="81"/>
      <x:c r="R435" s="81"/>
      <x:c r="S435" s="81"/>
      <x:c r="T435" s="81"/>
      <x:c r="U435" s="81"/>
      <x:c r="V435" s="81"/>
      <x:c r="W435" s="81"/>
      <x:c r="X435" s="81"/>
      <x:c r="Y435" s="81"/>
      <x:c r="Z435" s="81"/>
    </x:row>
    <x:row r="436">
      <x:c r="A436" s="81"/>
      <x:c r="B436" s="81"/>
      <x:c r="C436" s="81"/>
      <x:c r="D436" s="81"/>
      <x:c r="E436" s="81"/>
      <x:c r="F436" s="81"/>
      <x:c r="G436" s="81"/>
      <x:c r="H436" s="81"/>
      <x:c r="I436" s="81"/>
      <x:c r="J436" s="81"/>
      <x:c r="K436" s="81"/>
      <x:c r="L436" s="81"/>
      <x:c r="M436" s="81"/>
      <x:c r="N436" s="81"/>
      <x:c r="O436" s="81"/>
      <x:c r="P436" s="81"/>
      <x:c r="Q436" s="81"/>
      <x:c r="R436" s="81"/>
      <x:c r="S436" s="81"/>
      <x:c r="T436" s="81"/>
      <x:c r="U436" s="81"/>
      <x:c r="V436" s="81"/>
      <x:c r="W436" s="81"/>
      <x:c r="X436" s="81"/>
      <x:c r="Y436" s="81"/>
      <x:c r="Z436" s="81"/>
    </x:row>
    <x:row r="437">
      <x:c r="A437" s="81"/>
      <x:c r="B437" s="81"/>
      <x:c r="C437" s="81"/>
      <x:c r="D437" s="81"/>
      <x:c r="E437" s="81"/>
      <x:c r="F437" s="81"/>
      <x:c r="G437" s="81"/>
      <x:c r="H437" s="81"/>
      <x:c r="I437" s="81"/>
      <x:c r="J437" s="81"/>
      <x:c r="K437" s="81"/>
      <x:c r="L437" s="81"/>
      <x:c r="M437" s="81"/>
      <x:c r="N437" s="81"/>
      <x:c r="O437" s="81"/>
      <x:c r="P437" s="81"/>
      <x:c r="Q437" s="81"/>
      <x:c r="R437" s="81"/>
      <x:c r="S437" s="81"/>
      <x:c r="T437" s="81"/>
      <x:c r="U437" s="81"/>
      <x:c r="V437" s="81"/>
      <x:c r="W437" s="81"/>
      <x:c r="X437" s="81"/>
      <x:c r="Y437" s="81"/>
      <x:c r="Z437" s="81"/>
    </x:row>
    <x:row r="438">
      <x:c r="A438" s="81"/>
      <x:c r="B438" s="81"/>
      <x:c r="C438" s="81"/>
      <x:c r="D438" s="81"/>
      <x:c r="E438" s="81"/>
      <x:c r="F438" s="81"/>
      <x:c r="G438" s="81"/>
      <x:c r="H438" s="81"/>
      <x:c r="I438" s="81"/>
      <x:c r="J438" s="81"/>
      <x:c r="K438" s="81"/>
      <x:c r="L438" s="81"/>
      <x:c r="M438" s="81"/>
      <x:c r="N438" s="81"/>
      <x:c r="O438" s="81"/>
      <x:c r="P438" s="81"/>
      <x:c r="Q438" s="81"/>
      <x:c r="R438" s="81"/>
      <x:c r="S438" s="81"/>
      <x:c r="T438" s="81"/>
      <x:c r="U438" s="81"/>
      <x:c r="V438" s="81"/>
      <x:c r="W438" s="81"/>
      <x:c r="X438" s="81"/>
      <x:c r="Y438" s="81"/>
      <x:c r="Z438" s="81"/>
    </x:row>
    <x:row r="439">
      <x:c r="A439" s="81"/>
      <x:c r="B439" s="81"/>
      <x:c r="C439" s="81"/>
      <x:c r="D439" s="81"/>
      <x:c r="E439" s="81"/>
      <x:c r="F439" s="81"/>
      <x:c r="G439" s="81"/>
      <x:c r="H439" s="81"/>
      <x:c r="I439" s="81"/>
      <x:c r="J439" s="81"/>
      <x:c r="K439" s="81"/>
      <x:c r="L439" s="81"/>
      <x:c r="M439" s="81"/>
      <x:c r="N439" s="81"/>
      <x:c r="O439" s="81"/>
      <x:c r="P439" s="81"/>
      <x:c r="Q439" s="81"/>
      <x:c r="R439" s="81"/>
      <x:c r="S439" s="81"/>
      <x:c r="T439" s="81"/>
      <x:c r="U439" s="81"/>
      <x:c r="V439" s="81"/>
      <x:c r="W439" s="81"/>
      <x:c r="X439" s="81"/>
      <x:c r="Y439" s="81"/>
      <x:c r="Z439" s="81"/>
    </x:row>
    <x:row r="440">
      <x:c r="A440" s="81"/>
      <x:c r="B440" s="81"/>
      <x:c r="C440" s="81"/>
      <x:c r="D440" s="81"/>
      <x:c r="E440" s="81"/>
      <x:c r="F440" s="81"/>
      <x:c r="G440" s="81"/>
      <x:c r="H440" s="81"/>
      <x:c r="I440" s="81"/>
      <x:c r="J440" s="81"/>
      <x:c r="K440" s="81"/>
      <x:c r="L440" s="81"/>
      <x:c r="M440" s="81"/>
      <x:c r="N440" s="81"/>
      <x:c r="O440" s="81"/>
      <x:c r="P440" s="81"/>
      <x:c r="Q440" s="81"/>
      <x:c r="R440" s="81"/>
      <x:c r="S440" s="81"/>
      <x:c r="T440" s="81"/>
      <x:c r="U440" s="81"/>
      <x:c r="V440" s="81"/>
      <x:c r="W440" s="81"/>
      <x:c r="X440" s="81"/>
      <x:c r="Y440" s="81"/>
      <x:c r="Z440" s="81"/>
    </x:row>
    <x:row r="441">
      <x:c r="A441" s="81"/>
      <x:c r="B441" s="81"/>
      <x:c r="C441" s="81"/>
      <x:c r="D441" s="81"/>
      <x:c r="E441" s="81"/>
      <x:c r="F441" s="81"/>
      <x:c r="G441" s="81"/>
      <x:c r="H441" s="81"/>
      <x:c r="I441" s="81"/>
      <x:c r="J441" s="81"/>
      <x:c r="K441" s="81"/>
      <x:c r="L441" s="81"/>
      <x:c r="M441" s="81"/>
      <x:c r="N441" s="81"/>
      <x:c r="O441" s="81"/>
      <x:c r="P441" s="81"/>
      <x:c r="Q441" s="81"/>
      <x:c r="R441" s="81"/>
      <x:c r="S441" s="81"/>
      <x:c r="T441" s="81"/>
      <x:c r="U441" s="81"/>
      <x:c r="V441" s="81"/>
      <x:c r="W441" s="81"/>
      <x:c r="X441" s="81"/>
      <x:c r="Y441" s="81"/>
      <x:c r="Z441" s="81"/>
    </x:row>
    <x:row r="442">
      <x:c r="A442" s="81"/>
      <x:c r="B442" s="81"/>
      <x:c r="C442" s="81"/>
      <x:c r="D442" s="81"/>
      <x:c r="E442" s="81"/>
      <x:c r="F442" s="81"/>
      <x:c r="G442" s="81"/>
      <x:c r="H442" s="81"/>
      <x:c r="I442" s="81"/>
      <x:c r="J442" s="81"/>
      <x:c r="K442" s="81"/>
      <x:c r="L442" s="81"/>
      <x:c r="M442" s="81"/>
      <x:c r="N442" s="81"/>
      <x:c r="O442" s="81"/>
      <x:c r="P442" s="81"/>
      <x:c r="Q442" s="81"/>
      <x:c r="R442" s="81"/>
      <x:c r="S442" s="81"/>
      <x:c r="T442" s="81"/>
      <x:c r="U442" s="81"/>
      <x:c r="V442" s="81"/>
      <x:c r="W442" s="81"/>
      <x:c r="X442" s="81"/>
      <x:c r="Y442" s="81"/>
      <x:c r="Z442" s="81"/>
    </x:row>
    <x:row r="443">
      <x:c r="A443" s="81"/>
      <x:c r="B443" s="81"/>
      <x:c r="C443" s="81"/>
      <x:c r="D443" s="81"/>
      <x:c r="E443" s="81"/>
      <x:c r="F443" s="81"/>
      <x:c r="G443" s="81"/>
      <x:c r="H443" s="81"/>
      <x:c r="I443" s="81"/>
      <x:c r="J443" s="81"/>
      <x:c r="K443" s="81"/>
      <x:c r="L443" s="81"/>
      <x:c r="M443" s="81"/>
      <x:c r="N443" s="81"/>
      <x:c r="O443" s="81"/>
      <x:c r="P443" s="81"/>
      <x:c r="Q443" s="81"/>
      <x:c r="R443" s="81"/>
      <x:c r="S443" s="81"/>
      <x:c r="T443" s="81"/>
      <x:c r="U443" s="81"/>
      <x:c r="V443" s="81"/>
      <x:c r="W443" s="81"/>
      <x:c r="X443" s="81"/>
      <x:c r="Y443" s="81"/>
      <x:c r="Z443" s="81"/>
    </x:row>
    <x:row r="444">
      <x:c r="A444" s="81"/>
      <x:c r="B444" s="81"/>
      <x:c r="C444" s="81"/>
      <x:c r="D444" s="81"/>
      <x:c r="E444" s="81"/>
      <x:c r="F444" s="81"/>
      <x:c r="G444" s="81"/>
      <x:c r="H444" s="81"/>
      <x:c r="I444" s="81"/>
      <x:c r="J444" s="81"/>
      <x:c r="K444" s="81"/>
      <x:c r="L444" s="81"/>
      <x:c r="M444" s="81"/>
      <x:c r="N444" s="81"/>
      <x:c r="O444" s="81"/>
      <x:c r="P444" s="81"/>
      <x:c r="Q444" s="81"/>
      <x:c r="R444" s="81"/>
      <x:c r="S444" s="81"/>
      <x:c r="T444" s="81"/>
      <x:c r="U444" s="81"/>
      <x:c r="V444" s="81"/>
      <x:c r="W444" s="81"/>
      <x:c r="X444" s="81"/>
      <x:c r="Y444" s="81"/>
      <x:c r="Z444" s="81"/>
    </x:row>
    <x:row r="445">
      <x:c r="A445" s="81"/>
      <x:c r="B445" s="81"/>
      <x:c r="C445" s="81"/>
      <x:c r="D445" s="81"/>
      <x:c r="E445" s="81"/>
      <x:c r="F445" s="81"/>
      <x:c r="G445" s="81"/>
      <x:c r="H445" s="81"/>
      <x:c r="I445" s="81"/>
      <x:c r="J445" s="81"/>
      <x:c r="K445" s="81"/>
      <x:c r="L445" s="81"/>
      <x:c r="M445" s="81"/>
      <x:c r="N445" s="81"/>
      <x:c r="O445" s="81"/>
      <x:c r="P445" s="81"/>
      <x:c r="Q445" s="81"/>
      <x:c r="R445" s="81"/>
      <x:c r="S445" s="81"/>
      <x:c r="T445" s="81"/>
      <x:c r="U445" s="81"/>
      <x:c r="V445" s="81"/>
      <x:c r="W445" s="81"/>
      <x:c r="X445" s="81"/>
      <x:c r="Y445" s="81"/>
      <x:c r="Z445" s="81"/>
    </x:row>
    <x:row r="446">
      <x:c r="A446" s="81"/>
      <x:c r="B446" s="81"/>
      <x:c r="C446" s="81"/>
      <x:c r="D446" s="81"/>
      <x:c r="E446" s="81"/>
      <x:c r="F446" s="81"/>
      <x:c r="G446" s="81"/>
      <x:c r="H446" s="81"/>
      <x:c r="I446" s="81"/>
      <x:c r="J446" s="81"/>
      <x:c r="K446" s="81"/>
      <x:c r="L446" s="81"/>
      <x:c r="M446" s="81"/>
      <x:c r="N446" s="81"/>
      <x:c r="O446" s="81"/>
      <x:c r="P446" s="81"/>
      <x:c r="Q446" s="81"/>
      <x:c r="R446" s="81"/>
      <x:c r="S446" s="81"/>
      <x:c r="T446" s="81"/>
      <x:c r="U446" s="81"/>
      <x:c r="V446" s="81"/>
      <x:c r="W446" s="81"/>
      <x:c r="X446" s="81"/>
      <x:c r="Y446" s="81"/>
      <x:c r="Z446" s="81"/>
    </x:row>
    <x:row r="447">
      <x:c r="A447" s="81"/>
      <x:c r="B447" s="81"/>
      <x:c r="C447" s="81"/>
      <x:c r="D447" s="81"/>
      <x:c r="E447" s="81"/>
      <x:c r="F447" s="81"/>
      <x:c r="G447" s="81"/>
      <x:c r="H447" s="81"/>
      <x:c r="I447" s="81"/>
      <x:c r="J447" s="81"/>
      <x:c r="K447" s="81"/>
      <x:c r="L447" s="81"/>
      <x:c r="M447" s="81"/>
      <x:c r="N447" s="81"/>
      <x:c r="O447" s="81"/>
      <x:c r="P447" s="81"/>
      <x:c r="Q447" s="81"/>
      <x:c r="R447" s="81"/>
      <x:c r="S447" s="81"/>
      <x:c r="T447" s="81"/>
      <x:c r="U447" s="81"/>
      <x:c r="V447" s="81"/>
      <x:c r="W447" s="81"/>
      <x:c r="X447" s="81"/>
      <x:c r="Y447" s="81"/>
      <x:c r="Z447" s="81"/>
    </x:row>
    <x:row r="448">
      <x:c r="A448" s="81"/>
      <x:c r="B448" s="81"/>
      <x:c r="C448" s="81"/>
      <x:c r="D448" s="81"/>
      <x:c r="E448" s="81"/>
      <x:c r="F448" s="81"/>
      <x:c r="G448" s="81"/>
      <x:c r="H448" s="81"/>
      <x:c r="I448" s="81"/>
      <x:c r="J448" s="81"/>
      <x:c r="K448" s="81"/>
      <x:c r="L448" s="81"/>
      <x:c r="M448" s="81"/>
      <x:c r="N448" s="81"/>
      <x:c r="O448" s="81"/>
      <x:c r="P448" s="81"/>
      <x:c r="Q448" s="81"/>
      <x:c r="R448" s="81"/>
      <x:c r="S448" s="81"/>
      <x:c r="T448" s="81"/>
      <x:c r="U448" s="81"/>
      <x:c r="V448" s="81"/>
      <x:c r="W448" s="81"/>
      <x:c r="X448" s="81"/>
      <x:c r="Y448" s="81"/>
      <x:c r="Z448" s="81"/>
    </x:row>
    <x:row r="449">
      <x:c r="A449" s="81"/>
      <x:c r="B449" s="81"/>
      <x:c r="C449" s="81"/>
      <x:c r="D449" s="81"/>
      <x:c r="E449" s="81"/>
      <x:c r="F449" s="81"/>
      <x:c r="G449" s="81"/>
      <x:c r="H449" s="81"/>
      <x:c r="I449" s="81"/>
      <x:c r="J449" s="81"/>
      <x:c r="K449" s="81"/>
      <x:c r="L449" s="81"/>
      <x:c r="M449" s="81"/>
      <x:c r="N449" s="81"/>
      <x:c r="O449" s="81"/>
      <x:c r="P449" s="81"/>
      <x:c r="Q449" s="81"/>
      <x:c r="R449" s="81"/>
      <x:c r="S449" s="81"/>
      <x:c r="T449" s="81"/>
      <x:c r="U449" s="81"/>
      <x:c r="V449" s="81"/>
      <x:c r="W449" s="81"/>
      <x:c r="X449" s="81"/>
      <x:c r="Y449" s="81"/>
      <x:c r="Z449" s="81"/>
    </x:row>
    <x:row r="450">
      <x:c r="A450" s="81"/>
      <x:c r="B450" s="81"/>
      <x:c r="C450" s="81"/>
      <x:c r="D450" s="81"/>
      <x:c r="E450" s="81"/>
      <x:c r="F450" s="81"/>
      <x:c r="G450" s="81"/>
      <x:c r="H450" s="81"/>
      <x:c r="I450" s="81"/>
      <x:c r="J450" s="81"/>
      <x:c r="K450" s="81"/>
      <x:c r="L450" s="81"/>
      <x:c r="M450" s="81"/>
      <x:c r="N450" s="81"/>
      <x:c r="O450" s="81"/>
      <x:c r="P450" s="81"/>
      <x:c r="Q450" s="81"/>
      <x:c r="R450" s="81"/>
      <x:c r="S450" s="81"/>
      <x:c r="T450" s="81"/>
      <x:c r="U450" s="81"/>
      <x:c r="V450" s="81"/>
      <x:c r="W450" s="81"/>
      <x:c r="X450" s="81"/>
      <x:c r="Y450" s="81"/>
      <x:c r="Z450" s="81"/>
    </x:row>
    <x:row r="451">
      <x:c r="A451" s="81"/>
      <x:c r="B451" s="81"/>
      <x:c r="C451" s="81"/>
      <x:c r="D451" s="81"/>
      <x:c r="E451" s="81"/>
      <x:c r="F451" s="81"/>
      <x:c r="G451" s="81"/>
      <x:c r="H451" s="81"/>
      <x:c r="I451" s="81"/>
      <x:c r="J451" s="81"/>
      <x:c r="K451" s="81"/>
      <x:c r="L451" s="81"/>
      <x:c r="M451" s="81"/>
      <x:c r="N451" s="81"/>
      <x:c r="O451" s="81"/>
      <x:c r="P451" s="81"/>
      <x:c r="Q451" s="81"/>
      <x:c r="R451" s="81"/>
      <x:c r="S451" s="81"/>
      <x:c r="T451" s="81"/>
      <x:c r="U451" s="81"/>
      <x:c r="V451" s="81"/>
      <x:c r="W451" s="81"/>
      <x:c r="X451" s="81"/>
      <x:c r="Y451" s="81"/>
      <x:c r="Z451" s="81"/>
    </x:row>
    <x:row r="452">
      <x:c r="A452" s="81"/>
      <x:c r="B452" s="81"/>
      <x:c r="C452" s="81"/>
      <x:c r="D452" s="81"/>
      <x:c r="E452" s="81"/>
      <x:c r="F452" s="81"/>
      <x:c r="G452" s="81"/>
      <x:c r="H452" s="81"/>
      <x:c r="I452" s="81"/>
      <x:c r="J452" s="81"/>
      <x:c r="K452" s="81"/>
      <x:c r="L452" s="81"/>
      <x:c r="M452" s="81"/>
      <x:c r="N452" s="81"/>
      <x:c r="O452" s="81"/>
      <x:c r="P452" s="81"/>
      <x:c r="Q452" s="81"/>
      <x:c r="R452" s="81"/>
      <x:c r="S452" s="81"/>
      <x:c r="T452" s="81"/>
      <x:c r="U452" s="81"/>
      <x:c r="V452" s="81"/>
      <x:c r="W452" s="81"/>
      <x:c r="X452" s="81"/>
      <x:c r="Y452" s="81"/>
      <x:c r="Z452" s="81"/>
    </x:row>
    <x:row r="453">
      <x:c r="A453" s="81"/>
      <x:c r="B453" s="81"/>
      <x:c r="C453" s="81"/>
      <x:c r="D453" s="81"/>
      <x:c r="E453" s="81"/>
      <x:c r="F453" s="81"/>
      <x:c r="G453" s="81"/>
      <x:c r="H453" s="81"/>
      <x:c r="I453" s="81"/>
      <x:c r="J453" s="81"/>
      <x:c r="K453" s="81"/>
      <x:c r="L453" s="81"/>
      <x:c r="M453" s="81"/>
      <x:c r="N453" s="81"/>
      <x:c r="O453" s="81"/>
      <x:c r="P453" s="81"/>
      <x:c r="Q453" s="81"/>
      <x:c r="R453" s="81"/>
      <x:c r="S453" s="81"/>
      <x:c r="T453" s="81"/>
      <x:c r="U453" s="81"/>
      <x:c r="V453" s="81"/>
      <x:c r="W453" s="81"/>
      <x:c r="X453" s="81"/>
      <x:c r="Y453" s="81"/>
      <x:c r="Z453" s="81"/>
    </x:row>
    <x:row r="454">
      <x:c r="A454" s="81"/>
      <x:c r="B454" s="81"/>
      <x:c r="C454" s="81"/>
      <x:c r="D454" s="81"/>
      <x:c r="E454" s="81"/>
      <x:c r="F454" s="81"/>
      <x:c r="G454" s="81"/>
      <x:c r="H454" s="81"/>
      <x:c r="I454" s="81"/>
      <x:c r="J454" s="81"/>
      <x:c r="K454" s="81"/>
      <x:c r="L454" s="81"/>
      <x:c r="M454" s="81"/>
      <x:c r="N454" s="81"/>
      <x:c r="O454" s="81"/>
      <x:c r="P454" s="81"/>
      <x:c r="Q454" s="81"/>
      <x:c r="R454" s="81"/>
      <x:c r="S454" s="81"/>
      <x:c r="T454" s="81"/>
      <x:c r="U454" s="81"/>
      <x:c r="V454" s="81"/>
      <x:c r="W454" s="81"/>
      <x:c r="X454" s="81"/>
      <x:c r="Y454" s="81"/>
      <x:c r="Z454" s="81"/>
    </x:row>
    <x:row r="455">
      <x:c r="A455" s="81"/>
      <x:c r="B455" s="81"/>
      <x:c r="C455" s="81"/>
      <x:c r="D455" s="81"/>
      <x:c r="E455" s="81"/>
      <x:c r="F455" s="81"/>
      <x:c r="G455" s="81"/>
      <x:c r="H455" s="81"/>
      <x:c r="I455" s="81"/>
      <x:c r="J455" s="81"/>
      <x:c r="K455" s="81"/>
      <x:c r="L455" s="81"/>
      <x:c r="M455" s="81"/>
      <x:c r="N455" s="81"/>
      <x:c r="O455" s="81"/>
      <x:c r="P455" s="81"/>
      <x:c r="Q455" s="81"/>
      <x:c r="R455" s="81"/>
      <x:c r="S455" s="81"/>
      <x:c r="T455" s="81"/>
      <x:c r="U455" s="81"/>
      <x:c r="V455" s="81"/>
      <x:c r="W455" s="81"/>
      <x:c r="X455" s="81"/>
      <x:c r="Y455" s="81"/>
      <x:c r="Z455" s="81"/>
    </x:row>
    <x:row r="456">
      <x:c r="A456" s="81"/>
      <x:c r="B456" s="81"/>
      <x:c r="C456" s="81"/>
      <x:c r="D456" s="81"/>
      <x:c r="E456" s="81"/>
      <x:c r="F456" s="81"/>
      <x:c r="G456" s="81"/>
      <x:c r="H456" s="81"/>
      <x:c r="I456" s="81"/>
      <x:c r="J456" s="81"/>
      <x:c r="K456" s="81"/>
      <x:c r="L456" s="81"/>
      <x:c r="M456" s="81"/>
      <x:c r="N456" s="81"/>
      <x:c r="O456" s="81"/>
      <x:c r="P456" s="81"/>
      <x:c r="Q456" s="81"/>
      <x:c r="R456" s="81"/>
      <x:c r="S456" s="81"/>
      <x:c r="T456" s="81"/>
      <x:c r="U456" s="81"/>
      <x:c r="V456" s="81"/>
      <x:c r="W456" s="81"/>
      <x:c r="X456" s="81"/>
      <x:c r="Y456" s="81"/>
      <x:c r="Z456" s="81"/>
    </x:row>
    <x:row r="457">
      <x:c r="A457" s="81"/>
      <x:c r="B457" s="81"/>
      <x:c r="C457" s="81"/>
      <x:c r="D457" s="81"/>
      <x:c r="E457" s="81"/>
      <x:c r="F457" s="81"/>
      <x:c r="G457" s="81"/>
      <x:c r="H457" s="81"/>
      <x:c r="I457" s="81"/>
      <x:c r="J457" s="81"/>
      <x:c r="K457" s="81"/>
      <x:c r="L457" s="81"/>
      <x:c r="M457" s="81"/>
      <x:c r="N457" s="81"/>
      <x:c r="O457" s="81"/>
      <x:c r="P457" s="81"/>
      <x:c r="Q457" s="81"/>
      <x:c r="R457" s="81"/>
      <x:c r="S457" s="81"/>
      <x:c r="T457" s="81"/>
      <x:c r="U457" s="81"/>
      <x:c r="V457" s="81"/>
      <x:c r="W457" s="81"/>
      <x:c r="X457" s="81"/>
      <x:c r="Y457" s="81"/>
      <x:c r="Z457" s="81"/>
    </x:row>
    <x:row r="458">
      <x:c r="A458" s="81"/>
      <x:c r="B458" s="81"/>
      <x:c r="C458" s="81"/>
      <x:c r="D458" s="81"/>
      <x:c r="E458" s="81"/>
      <x:c r="F458" s="81"/>
      <x:c r="G458" s="81"/>
      <x:c r="H458" s="81"/>
      <x:c r="I458" s="81"/>
      <x:c r="J458" s="81"/>
      <x:c r="K458" s="81"/>
      <x:c r="L458" s="81"/>
      <x:c r="M458" s="81"/>
      <x:c r="N458" s="81"/>
      <x:c r="O458" s="81"/>
      <x:c r="P458" s="81"/>
      <x:c r="Q458" s="81"/>
      <x:c r="R458" s="81"/>
      <x:c r="S458" s="81"/>
      <x:c r="T458" s="81"/>
      <x:c r="U458" s="81"/>
      <x:c r="V458" s="81"/>
      <x:c r="W458" s="81"/>
      <x:c r="X458" s="81"/>
      <x:c r="Y458" s="81"/>
      <x:c r="Z458" s="81"/>
    </x:row>
    <x:row r="459">
      <x:c r="A459" s="81"/>
      <x:c r="B459" s="81"/>
      <x:c r="C459" s="81"/>
      <x:c r="D459" s="81"/>
      <x:c r="E459" s="81"/>
      <x:c r="F459" s="81"/>
      <x:c r="G459" s="81"/>
      <x:c r="H459" s="81"/>
      <x:c r="I459" s="81"/>
      <x:c r="J459" s="81"/>
      <x:c r="K459" s="81"/>
      <x:c r="L459" s="81"/>
      <x:c r="M459" s="81"/>
      <x:c r="N459" s="81"/>
      <x:c r="O459" s="81"/>
      <x:c r="P459" s="81"/>
      <x:c r="Q459" s="81"/>
      <x:c r="R459" s="81"/>
      <x:c r="S459" s="81"/>
      <x:c r="T459" s="81"/>
      <x:c r="U459" s="81"/>
      <x:c r="V459" s="81"/>
      <x:c r="W459" s="81"/>
      <x:c r="X459" s="81"/>
      <x:c r="Y459" s="81"/>
      <x:c r="Z459" s="81"/>
    </x:row>
    <x:row r="460">
      <x:c r="A460" s="81"/>
      <x:c r="B460" s="81"/>
      <x:c r="C460" s="81"/>
      <x:c r="D460" s="81"/>
      <x:c r="E460" s="81"/>
      <x:c r="F460" s="81"/>
      <x:c r="G460" s="81"/>
      <x:c r="H460" s="81"/>
      <x:c r="I460" s="81"/>
      <x:c r="J460" s="81"/>
      <x:c r="K460" s="81"/>
      <x:c r="L460" s="81"/>
      <x:c r="M460" s="81"/>
      <x:c r="N460" s="81"/>
      <x:c r="O460" s="81"/>
      <x:c r="P460" s="81"/>
      <x:c r="Q460" s="81"/>
      <x:c r="R460" s="81"/>
      <x:c r="S460" s="81"/>
      <x:c r="T460" s="81"/>
      <x:c r="U460" s="81"/>
      <x:c r="V460" s="81"/>
      <x:c r="W460" s="81"/>
      <x:c r="X460" s="81"/>
      <x:c r="Y460" s="81"/>
      <x:c r="Z460" s="81"/>
    </x:row>
    <x:row r="461">
      <x:c r="A461" s="81"/>
      <x:c r="B461" s="81"/>
      <x:c r="C461" s="81"/>
      <x:c r="D461" s="81"/>
      <x:c r="E461" s="81"/>
      <x:c r="F461" s="81"/>
      <x:c r="G461" s="81"/>
      <x:c r="H461" s="81"/>
      <x:c r="I461" s="81"/>
      <x:c r="J461" s="81"/>
      <x:c r="K461" s="81"/>
      <x:c r="L461" s="81"/>
      <x:c r="M461" s="81"/>
      <x:c r="N461" s="81"/>
      <x:c r="O461" s="81"/>
      <x:c r="P461" s="81"/>
      <x:c r="Q461" s="81"/>
      <x:c r="R461" s="81"/>
      <x:c r="S461" s="81"/>
      <x:c r="T461" s="81"/>
      <x:c r="U461" s="81"/>
      <x:c r="V461" s="81"/>
      <x:c r="W461" s="81"/>
      <x:c r="X461" s="81"/>
      <x:c r="Y461" s="81"/>
      <x:c r="Z461" s="81"/>
    </x:row>
    <x:row r="462">
      <x:c r="A462" s="81"/>
      <x:c r="B462" s="81"/>
      <x:c r="C462" s="81"/>
      <x:c r="D462" s="81"/>
      <x:c r="E462" s="81"/>
      <x:c r="F462" s="81"/>
      <x:c r="G462" s="81"/>
      <x:c r="H462" s="81"/>
      <x:c r="I462" s="81"/>
      <x:c r="J462" s="81"/>
      <x:c r="K462" s="81"/>
      <x:c r="L462" s="81"/>
      <x:c r="M462" s="81"/>
      <x:c r="N462" s="81"/>
      <x:c r="O462" s="81"/>
      <x:c r="P462" s="81"/>
      <x:c r="Q462" s="81"/>
      <x:c r="R462" s="81"/>
      <x:c r="S462" s="81"/>
      <x:c r="T462" s="81"/>
      <x:c r="U462" s="81"/>
      <x:c r="V462" s="81"/>
      <x:c r="W462" s="81"/>
      <x:c r="X462" s="81"/>
      <x:c r="Y462" s="81"/>
      <x:c r="Z462" s="81"/>
    </x:row>
    <x:row r="463">
      <x:c r="A463" s="81"/>
      <x:c r="B463" s="81"/>
      <x:c r="C463" s="81"/>
      <x:c r="D463" s="81"/>
      <x:c r="E463" s="81"/>
      <x:c r="F463" s="81"/>
      <x:c r="G463" s="81"/>
      <x:c r="H463" s="81"/>
      <x:c r="I463" s="81"/>
      <x:c r="J463" s="81"/>
      <x:c r="K463" s="81"/>
      <x:c r="L463" s="81"/>
      <x:c r="M463" s="81"/>
      <x:c r="N463" s="81"/>
      <x:c r="O463" s="81"/>
      <x:c r="P463" s="81"/>
      <x:c r="Q463" s="81"/>
      <x:c r="R463" s="81"/>
      <x:c r="S463" s="81"/>
      <x:c r="T463" s="81"/>
      <x:c r="U463" s="81"/>
      <x:c r="V463" s="81"/>
      <x:c r="W463" s="81"/>
      <x:c r="X463" s="81"/>
      <x:c r="Y463" s="81"/>
      <x:c r="Z463" s="81"/>
    </x:row>
    <x:row r="464">
      <x:c r="A464" s="81"/>
      <x:c r="B464" s="81"/>
      <x:c r="C464" s="81"/>
      <x:c r="D464" s="81"/>
      <x:c r="E464" s="81"/>
      <x:c r="F464" s="81"/>
      <x:c r="G464" s="81"/>
      <x:c r="H464" s="81"/>
      <x:c r="I464" s="81"/>
      <x:c r="J464" s="81"/>
      <x:c r="K464" s="81"/>
      <x:c r="L464" s="81"/>
      <x:c r="M464" s="81"/>
      <x:c r="N464" s="81"/>
      <x:c r="O464" s="81"/>
      <x:c r="P464" s="81"/>
      <x:c r="Q464" s="81"/>
      <x:c r="R464" s="81"/>
      <x:c r="S464" s="81"/>
      <x:c r="T464" s="81"/>
      <x:c r="U464" s="81"/>
      <x:c r="V464" s="81"/>
      <x:c r="W464" s="81"/>
      <x:c r="X464" s="81"/>
      <x:c r="Y464" s="81"/>
      <x:c r="Z464" s="81"/>
    </x:row>
    <x:row r="465">
      <x:c r="A465" s="81"/>
      <x:c r="B465" s="81"/>
      <x:c r="C465" s="81"/>
      <x:c r="D465" s="81"/>
      <x:c r="E465" s="81"/>
      <x:c r="F465" s="81"/>
      <x:c r="G465" s="81"/>
      <x:c r="H465" s="81"/>
      <x:c r="I465" s="81"/>
      <x:c r="J465" s="81"/>
      <x:c r="K465" s="81"/>
      <x:c r="L465" s="81"/>
      <x:c r="M465" s="81"/>
      <x:c r="N465" s="81"/>
      <x:c r="O465" s="81"/>
      <x:c r="P465" s="81"/>
      <x:c r="Q465" s="81"/>
      <x:c r="R465" s="81"/>
      <x:c r="S465" s="81"/>
      <x:c r="T465" s="81"/>
      <x:c r="U465" s="81"/>
      <x:c r="V465" s="81"/>
      <x:c r="W465" s="81"/>
      <x:c r="X465" s="81"/>
      <x:c r="Y465" s="81"/>
      <x:c r="Z465" s="81"/>
    </x:row>
    <x:row r="466">
      <x:c r="A466" s="81"/>
      <x:c r="B466" s="81"/>
      <x:c r="C466" s="81"/>
      <x:c r="D466" s="81"/>
      <x:c r="E466" s="81"/>
      <x:c r="F466" s="81"/>
      <x:c r="G466" s="81"/>
      <x:c r="H466" s="81"/>
      <x:c r="I466" s="81"/>
      <x:c r="J466" s="81"/>
      <x:c r="K466" s="81"/>
      <x:c r="L466" s="81"/>
      <x:c r="M466" s="81"/>
      <x:c r="N466" s="81"/>
      <x:c r="O466" s="81"/>
      <x:c r="P466" s="81"/>
      <x:c r="Q466" s="81"/>
      <x:c r="R466" s="81"/>
      <x:c r="S466" s="81"/>
      <x:c r="T466" s="81"/>
      <x:c r="U466" s="81"/>
      <x:c r="V466" s="81"/>
      <x:c r="W466" s="81"/>
      <x:c r="X466" s="81"/>
      <x:c r="Y466" s="81"/>
      <x:c r="Z466" s="81"/>
    </x:row>
    <x:row r="467">
      <x:c r="A467" s="81"/>
      <x:c r="B467" s="81"/>
      <x:c r="C467" s="81"/>
      <x:c r="D467" s="81"/>
      <x:c r="E467" s="81"/>
      <x:c r="F467" s="81"/>
      <x:c r="G467" s="81"/>
      <x:c r="H467" s="81"/>
      <x:c r="I467" s="81"/>
      <x:c r="J467" s="81"/>
      <x:c r="K467" s="81"/>
      <x:c r="L467" s="81"/>
      <x:c r="M467" s="81"/>
      <x:c r="N467" s="81"/>
      <x:c r="O467" s="81"/>
      <x:c r="P467" s="81"/>
      <x:c r="Q467" s="81"/>
      <x:c r="R467" s="81"/>
      <x:c r="S467" s="81"/>
      <x:c r="T467" s="81"/>
      <x:c r="U467" s="81"/>
      <x:c r="V467" s="81"/>
      <x:c r="W467" s="81"/>
      <x:c r="X467" s="81"/>
      <x:c r="Y467" s="81"/>
      <x:c r="Z467" s="81"/>
    </x:row>
    <x:row r="468">
      <x:c r="A468" s="81"/>
      <x:c r="B468" s="81"/>
      <x:c r="C468" s="81"/>
      <x:c r="D468" s="81"/>
      <x:c r="E468" s="81"/>
      <x:c r="F468" s="81"/>
      <x:c r="G468" s="81"/>
      <x:c r="H468" s="81"/>
      <x:c r="I468" s="81"/>
      <x:c r="J468" s="81"/>
      <x:c r="K468" s="81"/>
      <x:c r="L468" s="81"/>
      <x:c r="M468" s="81"/>
      <x:c r="N468" s="81"/>
      <x:c r="O468" s="81"/>
      <x:c r="P468" s="81"/>
      <x:c r="Q468" s="81"/>
      <x:c r="R468" s="81"/>
      <x:c r="S468" s="81"/>
      <x:c r="T468" s="81"/>
      <x:c r="U468" s="81"/>
      <x:c r="V468" s="81"/>
      <x:c r="W468" s="81"/>
      <x:c r="X468" s="81"/>
      <x:c r="Y468" s="81"/>
      <x:c r="Z468" s="81"/>
    </x:row>
    <x:row r="469">
      <x:c r="A469" s="81"/>
      <x:c r="B469" s="81"/>
      <x:c r="C469" s="81"/>
      <x:c r="D469" s="81"/>
      <x:c r="E469" s="81"/>
      <x:c r="F469" s="81"/>
      <x:c r="G469" s="81"/>
      <x:c r="H469" s="81"/>
      <x:c r="I469" s="81"/>
      <x:c r="J469" s="81"/>
      <x:c r="K469" s="81"/>
      <x:c r="L469" s="81"/>
      <x:c r="M469" s="81"/>
      <x:c r="N469" s="81"/>
      <x:c r="O469" s="81"/>
      <x:c r="P469" s="81"/>
      <x:c r="Q469" s="81"/>
      <x:c r="R469" s="81"/>
      <x:c r="S469" s="81"/>
      <x:c r="T469" s="81"/>
      <x:c r="U469" s="81"/>
      <x:c r="V469" s="81"/>
      <x:c r="W469" s="81"/>
      <x:c r="X469" s="81"/>
      <x:c r="Y469" s="81"/>
      <x:c r="Z469" s="81"/>
    </x:row>
    <x:row r="470">
      <x:c r="A470" s="81"/>
      <x:c r="B470" s="81"/>
      <x:c r="C470" s="81"/>
      <x:c r="D470" s="81"/>
      <x:c r="E470" s="81"/>
      <x:c r="F470" s="81"/>
      <x:c r="G470" s="81"/>
      <x:c r="H470" s="81"/>
      <x:c r="I470" s="81"/>
      <x:c r="J470" s="81"/>
      <x:c r="K470" s="81"/>
      <x:c r="L470" s="81"/>
      <x:c r="M470" s="81"/>
      <x:c r="N470" s="81"/>
      <x:c r="O470" s="81"/>
      <x:c r="P470" s="81"/>
      <x:c r="Q470" s="81"/>
      <x:c r="R470" s="81"/>
      <x:c r="S470" s="81"/>
      <x:c r="T470" s="81"/>
      <x:c r="U470" s="81"/>
      <x:c r="V470" s="81"/>
      <x:c r="W470" s="81"/>
      <x:c r="X470" s="81"/>
      <x:c r="Y470" s="81"/>
      <x:c r="Z470" s="81"/>
    </x:row>
    <x:row r="471">
      <x:c r="A471" s="81"/>
      <x:c r="B471" s="81"/>
      <x:c r="C471" s="81"/>
      <x:c r="D471" s="81"/>
      <x:c r="E471" s="81"/>
      <x:c r="F471" s="81"/>
      <x:c r="G471" s="81"/>
      <x:c r="H471" s="81"/>
      <x:c r="I471" s="81"/>
      <x:c r="J471" s="81"/>
      <x:c r="K471" s="81"/>
      <x:c r="L471" s="81"/>
      <x:c r="M471" s="81"/>
      <x:c r="N471" s="81"/>
      <x:c r="O471" s="81"/>
      <x:c r="P471" s="81"/>
      <x:c r="Q471" s="81"/>
      <x:c r="R471" s="81"/>
      <x:c r="S471" s="81"/>
      <x:c r="T471" s="81"/>
      <x:c r="U471" s="81"/>
      <x:c r="V471" s="81"/>
      <x:c r="W471" s="81"/>
      <x:c r="X471" s="81"/>
      <x:c r="Y471" s="81"/>
      <x:c r="Z471" s="81"/>
    </x:row>
    <x:row r="472">
      <x:c r="A472" s="81"/>
      <x:c r="B472" s="81"/>
      <x:c r="C472" s="81"/>
      <x:c r="D472" s="81"/>
      <x:c r="E472" s="81"/>
      <x:c r="F472" s="81"/>
      <x:c r="G472" s="81"/>
      <x:c r="H472" s="81"/>
      <x:c r="I472" s="81"/>
      <x:c r="J472" s="81"/>
      <x:c r="K472" s="81"/>
      <x:c r="L472" s="81"/>
      <x:c r="M472" s="81"/>
      <x:c r="N472" s="81"/>
      <x:c r="O472" s="81"/>
      <x:c r="P472" s="81"/>
      <x:c r="Q472" s="81"/>
      <x:c r="R472" s="81"/>
      <x:c r="S472" s="81"/>
      <x:c r="T472" s="81"/>
      <x:c r="U472" s="81"/>
      <x:c r="V472" s="81"/>
      <x:c r="W472" s="81"/>
      <x:c r="X472" s="81"/>
      <x:c r="Y472" s="81"/>
      <x:c r="Z472" s="81"/>
    </x:row>
    <x:row r="473">
      <x:c r="A473" s="81"/>
      <x:c r="B473" s="81"/>
      <x:c r="C473" s="81"/>
      <x:c r="D473" s="81"/>
      <x:c r="E473" s="81"/>
      <x:c r="F473" s="81"/>
      <x:c r="G473" s="81"/>
      <x:c r="H473" s="81"/>
      <x:c r="I473" s="81"/>
      <x:c r="J473" s="81"/>
      <x:c r="K473" s="81"/>
      <x:c r="L473" s="81"/>
      <x:c r="M473" s="81"/>
      <x:c r="N473" s="81"/>
      <x:c r="O473" s="81"/>
      <x:c r="P473" s="81"/>
      <x:c r="Q473" s="81"/>
      <x:c r="R473" s="81"/>
      <x:c r="S473" s="81"/>
      <x:c r="T473" s="81"/>
      <x:c r="U473" s="81"/>
      <x:c r="V473" s="81"/>
      <x:c r="W473" s="81"/>
      <x:c r="X473" s="81"/>
      <x:c r="Y473" s="81"/>
      <x:c r="Z473" s="81"/>
    </x:row>
    <x:row r="474">
      <x:c r="A474" s="81"/>
      <x:c r="B474" s="81"/>
      <x:c r="C474" s="81"/>
      <x:c r="D474" s="81"/>
      <x:c r="E474" s="81"/>
      <x:c r="F474" s="81"/>
      <x:c r="G474" s="81"/>
      <x:c r="H474" s="81"/>
      <x:c r="I474" s="81"/>
      <x:c r="J474" s="81"/>
      <x:c r="K474" s="81"/>
      <x:c r="L474" s="81"/>
      <x:c r="M474" s="81"/>
      <x:c r="N474" s="81"/>
      <x:c r="O474" s="81"/>
      <x:c r="P474" s="81"/>
      <x:c r="Q474" s="81"/>
      <x:c r="R474" s="81"/>
      <x:c r="S474" s="81"/>
      <x:c r="T474" s="81"/>
      <x:c r="U474" s="81"/>
      <x:c r="V474" s="81"/>
      <x:c r="W474" s="81"/>
      <x:c r="X474" s="81"/>
      <x:c r="Y474" s="81"/>
      <x:c r="Z474" s="81"/>
    </x:row>
    <x:row r="475">
      <x:c r="A475" s="81"/>
      <x:c r="B475" s="81"/>
      <x:c r="C475" s="81"/>
      <x:c r="D475" s="81"/>
      <x:c r="E475" s="81"/>
      <x:c r="F475" s="81"/>
      <x:c r="G475" s="81"/>
      <x:c r="H475" s="81"/>
      <x:c r="I475" s="81"/>
      <x:c r="J475" s="81"/>
      <x:c r="K475" s="81"/>
      <x:c r="L475" s="81"/>
      <x:c r="M475" s="81"/>
      <x:c r="N475" s="81"/>
      <x:c r="O475" s="81"/>
      <x:c r="P475" s="81"/>
      <x:c r="Q475" s="81"/>
      <x:c r="R475" s="81"/>
      <x:c r="S475" s="81"/>
      <x:c r="T475" s="81"/>
      <x:c r="U475" s="81"/>
      <x:c r="V475" s="81"/>
      <x:c r="W475" s="81"/>
      <x:c r="X475" s="81"/>
      <x:c r="Y475" s="81"/>
      <x:c r="Z475" s="81"/>
    </x:row>
    <x:row r="476">
      <x:c r="A476" s="81"/>
      <x:c r="B476" s="81"/>
      <x:c r="C476" s="81"/>
      <x:c r="D476" s="81"/>
      <x:c r="E476" s="81"/>
      <x:c r="F476" s="81"/>
      <x:c r="G476" s="81"/>
      <x:c r="H476" s="81"/>
      <x:c r="I476" s="81"/>
      <x:c r="J476" s="81"/>
      <x:c r="K476" s="81"/>
      <x:c r="L476" s="81"/>
      <x:c r="M476" s="81"/>
      <x:c r="N476" s="81"/>
      <x:c r="O476" s="81"/>
      <x:c r="P476" s="81"/>
      <x:c r="Q476" s="81"/>
      <x:c r="R476" s="81"/>
      <x:c r="S476" s="81"/>
      <x:c r="T476" s="81"/>
      <x:c r="U476" s="81"/>
      <x:c r="V476" s="81"/>
      <x:c r="W476" s="81"/>
      <x:c r="X476" s="81"/>
      <x:c r="Y476" s="81"/>
      <x:c r="Z476" s="81"/>
    </x:row>
    <x:row r="477">
      <x:c r="A477" s="81"/>
      <x:c r="B477" s="81"/>
      <x:c r="C477" s="81"/>
      <x:c r="D477" s="81"/>
      <x:c r="E477" s="81"/>
      <x:c r="F477" s="81"/>
      <x:c r="G477" s="81"/>
      <x:c r="H477" s="81"/>
      <x:c r="I477" s="81"/>
      <x:c r="J477" s="81"/>
      <x:c r="K477" s="81"/>
      <x:c r="L477" s="81"/>
      <x:c r="M477" s="81"/>
      <x:c r="N477" s="81"/>
      <x:c r="O477" s="81"/>
      <x:c r="P477" s="81"/>
      <x:c r="Q477" s="81"/>
      <x:c r="R477" s="81"/>
      <x:c r="S477" s="81"/>
      <x:c r="T477" s="81"/>
      <x:c r="U477" s="81"/>
      <x:c r="V477" s="81"/>
      <x:c r="W477" s="81"/>
      <x:c r="X477" s="81"/>
      <x:c r="Y477" s="81"/>
      <x:c r="Z477" s="81"/>
    </x:row>
    <x:row r="478">
      <x:c r="A478" s="81"/>
      <x:c r="B478" s="81"/>
      <x:c r="C478" s="81"/>
      <x:c r="D478" s="81"/>
      <x:c r="E478" s="81"/>
      <x:c r="F478" s="81"/>
      <x:c r="G478" s="81"/>
      <x:c r="H478" s="81"/>
      <x:c r="I478" s="81"/>
      <x:c r="J478" s="81"/>
      <x:c r="K478" s="81"/>
      <x:c r="L478" s="81"/>
      <x:c r="M478" s="81"/>
      <x:c r="N478" s="81"/>
      <x:c r="O478" s="81"/>
      <x:c r="P478" s="81"/>
      <x:c r="Q478" s="81"/>
      <x:c r="R478" s="81"/>
      <x:c r="S478" s="81"/>
      <x:c r="T478" s="81"/>
      <x:c r="U478" s="81"/>
      <x:c r="V478" s="81"/>
      <x:c r="W478" s="81"/>
      <x:c r="X478" s="81"/>
      <x:c r="Y478" s="81"/>
      <x:c r="Z478" s="81"/>
    </x:row>
    <x:row r="479">
      <x:c r="A479" s="81"/>
      <x:c r="B479" s="81"/>
      <x:c r="C479" s="81"/>
      <x:c r="D479" s="81"/>
      <x:c r="E479" s="81"/>
      <x:c r="F479" s="81"/>
      <x:c r="G479" s="81"/>
      <x:c r="H479" s="81"/>
      <x:c r="I479" s="81"/>
      <x:c r="J479" s="81"/>
      <x:c r="K479" s="81"/>
      <x:c r="L479" s="81"/>
      <x:c r="M479" s="81"/>
      <x:c r="N479" s="81"/>
      <x:c r="O479" s="81"/>
      <x:c r="P479" s="81"/>
      <x:c r="Q479" s="81"/>
      <x:c r="R479" s="81"/>
      <x:c r="S479" s="81"/>
      <x:c r="T479" s="81"/>
      <x:c r="U479" s="81"/>
      <x:c r="V479" s="81"/>
      <x:c r="W479" s="81"/>
      <x:c r="X479" s="81"/>
      <x:c r="Y479" s="81"/>
      <x:c r="Z479" s="81"/>
    </x:row>
    <x:row r="480">
      <x:c r="A480" s="81"/>
      <x:c r="B480" s="81"/>
      <x:c r="C480" s="81"/>
      <x:c r="D480" s="81"/>
      <x:c r="E480" s="81"/>
      <x:c r="F480" s="81"/>
      <x:c r="G480" s="81"/>
      <x:c r="H480" s="81"/>
      <x:c r="I480" s="81"/>
      <x:c r="J480" s="81"/>
      <x:c r="K480" s="81"/>
      <x:c r="L480" s="81"/>
      <x:c r="M480" s="81"/>
      <x:c r="N480" s="81"/>
      <x:c r="O480" s="81"/>
      <x:c r="P480" s="81"/>
      <x:c r="Q480" s="81"/>
      <x:c r="R480" s="81"/>
      <x:c r="S480" s="81"/>
      <x:c r="T480" s="81"/>
      <x:c r="U480" s="81"/>
      <x:c r="V480" s="81"/>
      <x:c r="W480" s="81"/>
      <x:c r="X480" s="81"/>
      <x:c r="Y480" s="81"/>
      <x:c r="Z480" s="81"/>
    </x:row>
    <x:row r="481">
      <x:c r="A481" s="81"/>
      <x:c r="B481" s="81"/>
      <x:c r="C481" s="81"/>
      <x:c r="D481" s="81"/>
      <x:c r="E481" s="81"/>
      <x:c r="F481" s="81"/>
      <x:c r="G481" s="81"/>
      <x:c r="H481" s="81"/>
      <x:c r="I481" s="81"/>
      <x:c r="J481" s="81"/>
      <x:c r="K481" s="81"/>
      <x:c r="L481" s="81"/>
      <x:c r="M481" s="81"/>
      <x:c r="N481" s="81"/>
      <x:c r="O481" s="81"/>
      <x:c r="P481" s="81"/>
      <x:c r="Q481" s="81"/>
      <x:c r="R481" s="81"/>
      <x:c r="S481" s="81"/>
      <x:c r="T481" s="81"/>
      <x:c r="U481" s="81"/>
      <x:c r="V481" s="81"/>
      <x:c r="W481" s="81"/>
      <x:c r="X481" s="81"/>
      <x:c r="Y481" s="81"/>
      <x:c r="Z481" s="81"/>
    </x:row>
    <x:row r="482">
      <x:c r="A482" s="81"/>
      <x:c r="B482" s="81"/>
      <x:c r="C482" s="81"/>
      <x:c r="D482" s="81"/>
      <x:c r="E482" s="81"/>
      <x:c r="F482" s="81"/>
      <x:c r="G482" s="81"/>
      <x:c r="H482" s="81"/>
      <x:c r="I482" s="81"/>
      <x:c r="J482" s="81"/>
      <x:c r="K482" s="81"/>
      <x:c r="L482" s="81"/>
      <x:c r="M482" s="81"/>
      <x:c r="N482" s="81"/>
      <x:c r="O482" s="81"/>
      <x:c r="P482" s="81"/>
      <x:c r="Q482" s="81"/>
      <x:c r="R482" s="81"/>
      <x:c r="S482" s="81"/>
      <x:c r="T482" s="81"/>
      <x:c r="U482" s="81"/>
      <x:c r="V482" s="81"/>
      <x:c r="W482" s="81"/>
      <x:c r="X482" s="81"/>
      <x:c r="Y482" s="81"/>
      <x:c r="Z482" s="81"/>
    </x:row>
    <x:row r="483">
      <x:c r="A483" s="81"/>
      <x:c r="B483" s="81"/>
      <x:c r="C483" s="81"/>
      <x:c r="D483" s="81"/>
      <x:c r="E483" s="81"/>
      <x:c r="F483" s="81"/>
      <x:c r="G483" s="81"/>
      <x:c r="H483" s="81"/>
      <x:c r="I483" s="81"/>
      <x:c r="J483" s="81"/>
      <x:c r="K483" s="81"/>
      <x:c r="L483" s="81"/>
      <x:c r="M483" s="81"/>
      <x:c r="N483" s="81"/>
      <x:c r="O483" s="81"/>
      <x:c r="P483" s="81"/>
      <x:c r="Q483" s="81"/>
      <x:c r="R483" s="81"/>
      <x:c r="S483" s="81"/>
      <x:c r="T483" s="81"/>
      <x:c r="U483" s="81"/>
      <x:c r="V483" s="81"/>
      <x:c r="W483" s="81"/>
      <x:c r="X483" s="81"/>
      <x:c r="Y483" s="81"/>
      <x:c r="Z483" s="81"/>
    </x:row>
    <x:row r="484">
      <x:c r="A484" s="81"/>
      <x:c r="B484" s="81"/>
      <x:c r="C484" s="81"/>
      <x:c r="D484" s="81"/>
      <x:c r="E484" s="81"/>
      <x:c r="F484" s="81"/>
      <x:c r="G484" s="81"/>
      <x:c r="H484" s="81"/>
      <x:c r="I484" s="81"/>
      <x:c r="J484" s="81"/>
      <x:c r="K484" s="81"/>
      <x:c r="L484" s="81"/>
      <x:c r="M484" s="81"/>
      <x:c r="N484" s="81"/>
      <x:c r="O484" s="81"/>
      <x:c r="P484" s="81"/>
      <x:c r="Q484" s="81"/>
      <x:c r="R484" s="81"/>
      <x:c r="S484" s="81"/>
      <x:c r="T484" s="81"/>
      <x:c r="U484" s="81"/>
      <x:c r="V484" s="81"/>
      <x:c r="W484" s="81"/>
      <x:c r="X484" s="81"/>
      <x:c r="Y484" s="81"/>
      <x:c r="Z484" s="81"/>
    </x:row>
    <x:row r="485">
      <x:c r="A485" s="81"/>
      <x:c r="B485" s="81"/>
      <x:c r="C485" s="81"/>
      <x:c r="D485" s="81"/>
      <x:c r="E485" s="81"/>
      <x:c r="F485" s="81"/>
      <x:c r="G485" s="81"/>
      <x:c r="H485" s="81"/>
      <x:c r="I485" s="81"/>
      <x:c r="J485" s="81"/>
      <x:c r="K485" s="81"/>
      <x:c r="L485" s="81"/>
      <x:c r="M485" s="81"/>
      <x:c r="N485" s="81"/>
      <x:c r="O485" s="81"/>
      <x:c r="P485" s="81"/>
      <x:c r="Q485" s="81"/>
      <x:c r="R485" s="81"/>
      <x:c r="S485" s="81"/>
      <x:c r="T485" s="81"/>
      <x:c r="U485" s="81"/>
      <x:c r="V485" s="81"/>
      <x:c r="W485" s="81"/>
      <x:c r="X485" s="81"/>
      <x:c r="Y485" s="81"/>
      <x:c r="Z485" s="81"/>
    </x:row>
    <x:row r="486">
      <x:c r="A486" s="81"/>
      <x:c r="B486" s="81"/>
      <x:c r="C486" s="81"/>
      <x:c r="D486" s="81"/>
      <x:c r="E486" s="81"/>
      <x:c r="F486" s="81"/>
      <x:c r="G486" s="81"/>
      <x:c r="H486" s="81"/>
      <x:c r="I486" s="81"/>
      <x:c r="J486" s="81"/>
      <x:c r="K486" s="81"/>
      <x:c r="L486" s="81"/>
      <x:c r="M486" s="81"/>
      <x:c r="N486" s="81"/>
      <x:c r="O486" s="81"/>
      <x:c r="P486" s="81"/>
      <x:c r="Q486" s="81"/>
      <x:c r="R486" s="81"/>
      <x:c r="S486" s="81"/>
      <x:c r="T486" s="81"/>
      <x:c r="U486" s="81"/>
      <x:c r="V486" s="81"/>
      <x:c r="W486" s="81"/>
      <x:c r="X486" s="81"/>
      <x:c r="Y486" s="81"/>
      <x:c r="Z486" s="81"/>
    </x:row>
    <x:row r="487">
      <x:c r="A487" s="81"/>
      <x:c r="B487" s="81"/>
      <x:c r="C487" s="81"/>
      <x:c r="D487" s="81"/>
      <x:c r="E487" s="81"/>
      <x:c r="F487" s="81"/>
      <x:c r="G487" s="81"/>
      <x:c r="H487" s="81"/>
      <x:c r="I487" s="81"/>
      <x:c r="J487" s="81"/>
      <x:c r="K487" s="81"/>
      <x:c r="L487" s="81"/>
      <x:c r="M487" s="81"/>
      <x:c r="N487" s="81"/>
      <x:c r="O487" s="81"/>
      <x:c r="P487" s="81"/>
      <x:c r="Q487" s="81"/>
      <x:c r="R487" s="81"/>
      <x:c r="S487" s="81"/>
      <x:c r="T487" s="81"/>
      <x:c r="U487" s="81"/>
      <x:c r="V487" s="81"/>
      <x:c r="W487" s="81"/>
      <x:c r="X487" s="81"/>
      <x:c r="Y487" s="81"/>
      <x:c r="Z487" s="81"/>
    </x:row>
    <x:row r="488">
      <x:c r="A488" s="81"/>
      <x:c r="B488" s="81"/>
      <x:c r="C488" s="81"/>
      <x:c r="D488" s="81"/>
      <x:c r="E488" s="81"/>
      <x:c r="F488" s="81"/>
      <x:c r="G488" s="81"/>
      <x:c r="H488" s="81"/>
      <x:c r="I488" s="81"/>
      <x:c r="J488" s="81"/>
      <x:c r="K488" s="81"/>
      <x:c r="L488" s="81"/>
      <x:c r="M488" s="81"/>
      <x:c r="N488" s="81"/>
      <x:c r="O488" s="81"/>
      <x:c r="P488" s="81"/>
      <x:c r="Q488" s="81"/>
      <x:c r="R488" s="81"/>
      <x:c r="S488" s="81"/>
      <x:c r="T488" s="81"/>
      <x:c r="U488" s="81"/>
      <x:c r="V488" s="81"/>
      <x:c r="W488" s="81"/>
      <x:c r="X488" s="81"/>
      <x:c r="Y488" s="81"/>
      <x:c r="Z488" s="81"/>
    </x:row>
    <x:row r="489">
      <x:c r="A489" s="81"/>
      <x:c r="B489" s="81"/>
      <x:c r="C489" s="81"/>
      <x:c r="D489" s="81"/>
      <x:c r="E489" s="81"/>
      <x:c r="F489" s="81"/>
      <x:c r="G489" s="81"/>
      <x:c r="H489" s="81"/>
      <x:c r="I489" s="81"/>
      <x:c r="J489" s="81"/>
      <x:c r="K489" s="81"/>
      <x:c r="L489" s="81"/>
      <x:c r="M489" s="81"/>
      <x:c r="N489" s="81"/>
      <x:c r="O489" s="81"/>
      <x:c r="P489" s="81"/>
      <x:c r="Q489" s="81"/>
      <x:c r="R489" s="81"/>
      <x:c r="S489" s="81"/>
      <x:c r="T489" s="81"/>
      <x:c r="U489" s="81"/>
      <x:c r="V489" s="81"/>
      <x:c r="W489" s="81"/>
      <x:c r="X489" s="81"/>
      <x:c r="Y489" s="81"/>
      <x:c r="Z489" s="81"/>
    </x:row>
    <x:row r="490">
      <x:c r="A490" s="81"/>
      <x:c r="B490" s="81"/>
      <x:c r="C490" s="81"/>
      <x:c r="D490" s="81"/>
      <x:c r="E490" s="81"/>
      <x:c r="F490" s="81"/>
      <x:c r="G490" s="81"/>
      <x:c r="H490" s="81"/>
      <x:c r="I490" s="81"/>
      <x:c r="J490" s="81"/>
      <x:c r="K490" s="81"/>
      <x:c r="L490" s="81"/>
      <x:c r="M490" s="81"/>
      <x:c r="N490" s="81"/>
      <x:c r="O490" s="81"/>
      <x:c r="P490" s="81"/>
      <x:c r="Q490" s="81"/>
      <x:c r="R490" s="81"/>
      <x:c r="S490" s="81"/>
      <x:c r="T490" s="81"/>
      <x:c r="U490" s="81"/>
      <x:c r="V490" s="81"/>
      <x:c r="W490" s="81"/>
      <x:c r="X490" s="81"/>
      <x:c r="Y490" s="81"/>
      <x:c r="Z490" s="81"/>
    </x:row>
    <x:row r="491">
      <x:c r="A491" s="81"/>
      <x:c r="B491" s="81"/>
      <x:c r="C491" s="81"/>
      <x:c r="D491" s="81"/>
      <x:c r="E491" s="81"/>
      <x:c r="F491" s="81"/>
      <x:c r="G491" s="81"/>
      <x:c r="H491" s="81"/>
      <x:c r="I491" s="81"/>
      <x:c r="J491" s="81"/>
      <x:c r="K491" s="81"/>
      <x:c r="L491" s="81"/>
      <x:c r="M491" s="81"/>
      <x:c r="N491" s="81"/>
      <x:c r="O491" s="81"/>
      <x:c r="P491" s="81"/>
      <x:c r="Q491" s="81"/>
      <x:c r="R491" s="81"/>
      <x:c r="S491" s="81"/>
      <x:c r="T491" s="81"/>
      <x:c r="U491" s="81"/>
      <x:c r="V491" s="81"/>
      <x:c r="W491" s="81"/>
      <x:c r="X491" s="81"/>
      <x:c r="Y491" s="81"/>
      <x:c r="Z491" s="81"/>
    </x:row>
    <x:row r="492">
      <x:c r="A492" s="81"/>
      <x:c r="B492" s="81"/>
      <x:c r="C492" s="81"/>
      <x:c r="D492" s="81"/>
      <x:c r="E492" s="81"/>
      <x:c r="F492" s="81"/>
      <x:c r="G492" s="81"/>
      <x:c r="H492" s="81"/>
      <x:c r="I492" s="81"/>
      <x:c r="J492" s="81"/>
      <x:c r="K492" s="81"/>
      <x:c r="L492" s="81"/>
      <x:c r="M492" s="81"/>
      <x:c r="N492" s="81"/>
      <x:c r="O492" s="81"/>
      <x:c r="P492" s="81"/>
      <x:c r="Q492" s="81"/>
      <x:c r="R492" s="81"/>
      <x:c r="S492" s="81"/>
      <x:c r="T492" s="81"/>
      <x:c r="U492" s="81"/>
      <x:c r="V492" s="81"/>
      <x:c r="W492" s="81"/>
      <x:c r="X492" s="81"/>
      <x:c r="Y492" s="81"/>
      <x:c r="Z492" s="81"/>
    </x:row>
    <x:row r="493">
      <x:c r="A493" s="81"/>
      <x:c r="B493" s="81"/>
      <x:c r="C493" s="81"/>
      <x:c r="D493" s="81"/>
      <x:c r="E493" s="81"/>
      <x:c r="F493" s="81"/>
      <x:c r="G493" s="81"/>
      <x:c r="H493" s="81"/>
      <x:c r="I493" s="81"/>
      <x:c r="J493" s="81"/>
      <x:c r="K493" s="81"/>
      <x:c r="L493" s="81"/>
      <x:c r="M493" s="81"/>
      <x:c r="N493" s="81"/>
      <x:c r="O493" s="81"/>
      <x:c r="P493" s="81"/>
      <x:c r="Q493" s="81"/>
      <x:c r="R493" s="81"/>
      <x:c r="S493" s="81"/>
      <x:c r="T493" s="81"/>
      <x:c r="U493" s="81"/>
      <x:c r="V493" s="81"/>
      <x:c r="W493" s="81"/>
      <x:c r="X493" s="81"/>
      <x:c r="Y493" s="81"/>
      <x:c r="Z493" s="81"/>
    </x:row>
    <x:row r="494">
      <x:c r="A494" s="81"/>
      <x:c r="B494" s="81"/>
      <x:c r="C494" s="81"/>
      <x:c r="D494" s="81"/>
      <x:c r="E494" s="81"/>
      <x:c r="F494" s="81"/>
      <x:c r="G494" s="81"/>
      <x:c r="H494" s="81"/>
      <x:c r="I494" s="81"/>
      <x:c r="J494" s="81"/>
      <x:c r="K494" s="81"/>
      <x:c r="L494" s="81"/>
      <x:c r="M494" s="81"/>
      <x:c r="N494" s="81"/>
      <x:c r="O494" s="81"/>
      <x:c r="P494" s="81"/>
      <x:c r="Q494" s="81"/>
      <x:c r="R494" s="81"/>
      <x:c r="S494" s="81"/>
      <x:c r="T494" s="81"/>
      <x:c r="U494" s="81"/>
      <x:c r="V494" s="81"/>
      <x:c r="W494" s="81"/>
      <x:c r="X494" s="81"/>
      <x:c r="Y494" s="81"/>
      <x:c r="Z494" s="81"/>
    </x:row>
    <x:row r="495">
      <x:c r="A495" s="81"/>
      <x:c r="B495" s="81"/>
      <x:c r="C495" s="81"/>
      <x:c r="D495" s="81"/>
      <x:c r="E495" s="81"/>
      <x:c r="F495" s="81"/>
      <x:c r="G495" s="81"/>
      <x:c r="H495" s="81"/>
      <x:c r="I495" s="81"/>
      <x:c r="J495" s="81"/>
      <x:c r="K495" s="81"/>
      <x:c r="L495" s="81"/>
      <x:c r="M495" s="81"/>
      <x:c r="N495" s="81"/>
      <x:c r="O495" s="81"/>
      <x:c r="P495" s="81"/>
      <x:c r="Q495" s="81"/>
      <x:c r="R495" s="81"/>
      <x:c r="S495" s="81"/>
      <x:c r="T495" s="81"/>
      <x:c r="U495" s="81"/>
      <x:c r="V495" s="81"/>
      <x:c r="W495" s="81"/>
      <x:c r="X495" s="81"/>
      <x:c r="Y495" s="81"/>
      <x:c r="Z495" s="81"/>
    </x:row>
    <x:row r="496">
      <x:c r="A496" s="81"/>
      <x:c r="B496" s="81"/>
      <x:c r="C496" s="81"/>
      <x:c r="D496" s="81"/>
      <x:c r="E496" s="81"/>
      <x:c r="F496" s="81"/>
      <x:c r="G496" s="81"/>
      <x:c r="H496" s="81"/>
      <x:c r="I496" s="81"/>
      <x:c r="J496" s="81"/>
      <x:c r="K496" s="81"/>
      <x:c r="L496" s="81"/>
      <x:c r="M496" s="81"/>
      <x:c r="N496" s="81"/>
      <x:c r="O496" s="81"/>
      <x:c r="P496" s="81"/>
      <x:c r="Q496" s="81"/>
      <x:c r="R496" s="81"/>
      <x:c r="S496" s="81"/>
      <x:c r="T496" s="81"/>
      <x:c r="U496" s="81"/>
      <x:c r="V496" s="81"/>
      <x:c r="W496" s="81"/>
      <x:c r="X496" s="81"/>
      <x:c r="Y496" s="81"/>
      <x:c r="Z496" s="81"/>
    </x:row>
    <x:row r="497">
      <x:c r="A497" s="81"/>
      <x:c r="B497" s="81"/>
      <x:c r="C497" s="81"/>
      <x:c r="D497" s="81"/>
      <x:c r="E497" s="81"/>
      <x:c r="F497" s="81"/>
      <x:c r="G497" s="81"/>
      <x:c r="H497" s="81"/>
      <x:c r="I497" s="81"/>
      <x:c r="J497" s="81"/>
      <x:c r="K497" s="81"/>
      <x:c r="L497" s="81"/>
      <x:c r="M497" s="81"/>
      <x:c r="N497" s="81"/>
      <x:c r="O497" s="81"/>
      <x:c r="P497" s="81"/>
      <x:c r="Q497" s="81"/>
      <x:c r="R497" s="81"/>
      <x:c r="S497" s="81"/>
      <x:c r="T497" s="81"/>
      <x:c r="U497" s="81"/>
      <x:c r="V497" s="81"/>
      <x:c r="W497" s="81"/>
      <x:c r="X497" s="81"/>
      <x:c r="Y497" s="81"/>
      <x:c r="Z497" s="81"/>
    </x:row>
    <x:row r="498">
      <x:c r="A498" s="81"/>
      <x:c r="B498" s="81"/>
      <x:c r="C498" s="81"/>
      <x:c r="D498" s="81"/>
      <x:c r="E498" s="81"/>
      <x:c r="F498" s="81"/>
      <x:c r="G498" s="81"/>
      <x:c r="H498" s="81"/>
      <x:c r="I498" s="81"/>
      <x:c r="J498" s="81"/>
      <x:c r="K498" s="81"/>
      <x:c r="L498" s="81"/>
      <x:c r="M498" s="81"/>
      <x:c r="N498" s="81"/>
      <x:c r="O498" s="81"/>
      <x:c r="P498" s="81"/>
      <x:c r="Q498" s="81"/>
      <x:c r="R498" s="81"/>
      <x:c r="S498" s="81"/>
      <x:c r="T498" s="81"/>
      <x:c r="U498" s="81"/>
      <x:c r="V498" s="81"/>
      <x:c r="W498" s="81"/>
      <x:c r="X498" s="81"/>
      <x:c r="Y498" s="81"/>
      <x:c r="Z498" s="81"/>
    </x:row>
    <x:row r="499">
      <x:c r="A499" s="81"/>
      <x:c r="B499" s="81"/>
      <x:c r="C499" s="81"/>
      <x:c r="D499" s="81"/>
      <x:c r="E499" s="81"/>
      <x:c r="F499" s="81"/>
      <x:c r="G499" s="81"/>
      <x:c r="H499" s="81"/>
      <x:c r="I499" s="81"/>
      <x:c r="J499" s="81"/>
      <x:c r="K499" s="81"/>
      <x:c r="L499" s="81"/>
      <x:c r="M499" s="81"/>
      <x:c r="N499" s="81"/>
      <x:c r="O499" s="81"/>
      <x:c r="P499" s="81"/>
      <x:c r="Q499" s="81"/>
      <x:c r="R499" s="81"/>
      <x:c r="S499" s="81"/>
      <x:c r="T499" s="81"/>
      <x:c r="U499" s="81"/>
      <x:c r="V499" s="81"/>
      <x:c r="W499" s="81"/>
      <x:c r="X499" s="81"/>
      <x:c r="Y499" s="81"/>
      <x:c r="Z499" s="81"/>
    </x:row>
    <x:row r="500">
      <x:c r="A500" s="81"/>
      <x:c r="B500" s="81"/>
      <x:c r="C500" s="81"/>
      <x:c r="D500" s="81"/>
      <x:c r="E500" s="81"/>
      <x:c r="F500" s="81"/>
      <x:c r="G500" s="81"/>
      <x:c r="H500" s="81"/>
      <x:c r="I500" s="81"/>
      <x:c r="J500" s="81"/>
      <x:c r="K500" s="81"/>
      <x:c r="L500" s="81"/>
      <x:c r="M500" s="81"/>
      <x:c r="N500" s="81"/>
      <x:c r="O500" s="81"/>
      <x:c r="P500" s="81"/>
      <x:c r="Q500" s="81"/>
      <x:c r="R500" s="81"/>
      <x:c r="S500" s="81"/>
      <x:c r="T500" s="81"/>
      <x:c r="U500" s="81"/>
      <x:c r="V500" s="81"/>
      <x:c r="W500" s="81"/>
      <x:c r="X500" s="81"/>
      <x:c r="Y500" s="81"/>
      <x:c r="Z500" s="8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28" hidden="0" customWidth="1"/>
    <x:col min="4" max="4" width="22" hidden="0" customWidth="1"/>
    <x:col min="5" max="5" width="42" hidden="0" customWidth="1"/>
    <x:col min="6" max="6" width="14" hidden="0" customWidth="1"/>
    <x:col min="7" max="7" width="12" hidden="0" customWidth="1"/>
    <x:col min="8" max="8" width="34" hidden="0" customWidth="1"/>
  </x:cols>
  <x:sheetData>
    <x:row r="1">
      <x:c r="A1" s="6" t="str">
        <x:v>Date</x:v>
      </x:c>
      <x:c r="B1" s="6" t="str">
        <x:v>Role</x:v>
      </x:c>
      <x:c r="C1" s="6" t="str">
        <x:v>Person</x:v>
      </x:c>
      <x:c r="D1" s="6" t="str">
        <x:v>Event</x:v>
      </x:c>
      <x:c r="E1" s="6" t="str">
        <x:v>Interpretation</x:v>
      </x:c>
      <x:c r="F1" s="6" t="str">
        <x:v>Signal_Level</x:v>
      </x:c>
      <x:c r="G1" s="6" t="str">
        <x:v>Source_ID</x:v>
      </x:c>
      <x:c r="H1" s="6" t="str">
        <x:v>Status</x:v>
      </x:c>
    </x:row>
    <x:row r="2">
      <x:c r="A2" t="str">
        <x:v>2025-10-01</x:v>
      </x:c>
      <x:c r="B2" t="str">
        <x:v>CEO</x:v>
      </x:c>
      <x:c r="C2" t="str">
        <x:v>Lê Anh Tuấn</x:v>
      </x:c>
      <x:c r="D2" t="str">
        <x:v>Appointed</x:v>
      </x:c>
      <x:c r="E2" t="str">
        <x:v>Executive transition</x:v>
      </x:c>
      <x:c r="F2" t="str">
        <x:v>Medium</x:v>
      </x:c>
      <x:c r="G2" t="str">
        <x:v>S004</x:v>
      </x:c>
      <x:c r="H2" t="str">
        <x:v>Assumption/public-discussion input</x:v>
      </x:c>
    </x:row>
    <x:row r="3">
      <x:c r="A3" t="str">
        <x:v>2026-05-19</x:v>
      </x:c>
      <x:c r="B3" t="str">
        <x:v>Board</x:v>
      </x:c>
      <x:c r="C3" t="str">
        <x:v>Vice Chair / Board Member</x:v>
      </x:c>
      <x:c r="D3" t="str">
        <x:v>Resignation</x:v>
      </x:c>
      <x:c r="E3" t="str">
        <x:v>Governance change</x:v>
      </x:c>
      <x:c r="F3" t="str">
        <x:v>High</x:v>
      </x:c>
      <x:c r="G3" t="str">
        <x:v>S004</x:v>
      </x:c>
      <x:c r="H3" t="str">
        <x:v>Assumption/public-discussion input</x:v>
      </x:c>
    </x:row>
    <x:row r="4">
      <x:c r="A4" t="str">
        <x:v>2026-06-04</x:v>
      </x:c>
      <x:c r="B4" t="str">
        <x:v>CEO</x:v>
      </x:c>
      <x:c r="C4" t="str">
        <x:v>Lê Anh Tuấn</x:v>
      </x:c>
      <x:c r="D4" t="str">
        <x:v>Ownership increase</x:v>
      </x:c>
      <x:c r="E4" t="str">
        <x:v>Alignment / possible transaction relevance</x:v>
      </x:c>
      <x:c r="F4" t="str">
        <x:v>Medium</x:v>
      </x:c>
      <x:c r="G4" t="str">
        <x:v>S004</x:v>
      </x:c>
      <x:c r="H4" t="str">
        <x:v>Assumption/public-discussion input</x:v>
      </x:c>
    </x:row>
    <x:row r="5">
      <x:c r="A5" t="str">
        <x:v>2026-06-30</x:v>
      </x:c>
      <x:c r="B5" t="str">
        <x:v>Internal Audit</x:v>
      </x:c>
      <x:c r="C5" t="str">
        <x:v>Committee/role update</x:v>
      </x:c>
      <x:c r="D5" t="str">
        <x:v>Change</x:v>
      </x:c>
      <x:c r="E5" t="str">
        <x:v>Governance strengthening</x:v>
      </x:c>
      <x:c r="F5" t="str">
        <x:v>Low</x:v>
      </x:c>
      <x:c r="G5" t="str">
        <x:v>S004</x:v>
      </x:c>
      <x:c r="H5" t="str">
        <x:v>Assumption/public-discussion input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600004196167" hidden="0" customWidth="1"/>
    <x:col min="2" max="2" width="10.4399995803833" hidden="0" customWidth="1"/>
    <x:col min="3" max="3" width="8.329999923706055" hidden="0" customWidth="1"/>
    <x:col min="4" max="4" width="11.890000343322754" hidden="0" customWidth="1"/>
    <x:col min="5" max="5" width="15.779999732971191" hidden="0" customWidth="1"/>
    <x:col min="6" max="6" width="37.66999816894531" hidden="0" customWidth="1"/>
    <x:col min="7" max="7" width="7.78000020980835" hidden="0" customWidth="1"/>
    <x:col min="8" max="8" width="8.220000267028809" hidden="0" customWidth="1"/>
  </x:cols>
  <x:sheetData>
    <x:row r="1">
      <x:c r="A1" s="86" t="str">
        <x:v>Manager</x:v>
      </x:c>
      <x:c r="B1" s="86" t="str">
        <x:v>AUM_VND_bn</x:v>
      </x:c>
      <x:c r="C1" s="86" t="str">
        <x:v>AUM_Rank</x:v>
      </x:c>
      <x:c r="D1" s="86" t="str">
        <x:v>Equity_Strength</x:v>
      </x:c>
      <x:c r="E1" s="86" t="str">
        <x:v>Distribution_Strength</x:v>
      </x:c>
      <x:c r="F1" s="86" t="str">
        <x:v>Comment</x:v>
      </x:c>
      <x:c r="G1" s="86" t="str">
        <x:v>Source_ID</x:v>
      </x:c>
      <x:c r="H1" s="86" t="str">
        <x:v>Status</x:v>
      </x:c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  <x:c r="T1" s="88"/>
      <x:c r="U1" s="88"/>
      <x:c r="V1" s="88"/>
      <x:c r="W1" s="88"/>
      <x:c r="X1" s="88"/>
      <x:c r="Y1" s="88"/>
      <x:c r="Z1" s="88"/>
    </x:row>
    <x:row r="2">
      <x:c r="A2" s="81" t="str">
        <x:v>DCVFM</x:v>
      </x:c>
      <x:c r="B2" s="81" t="n">
        <x:v>140000</x:v>
      </x:c>
      <x:c r="C2" s="81" t="n">
        <x:v>1</x:v>
      </x:c>
      <x:c r="D2" s="81" t="str">
        <x:v>Strong</x:v>
      </x:c>
      <x:c r="E2" s="81" t="str">
        <x:v>Strong</x:v>
      </x:c>
      <x:c r="F2" s="81" t="str">
        <x:v>Largest public-fund AUM; broad ETF/open-end franchise</x:v>
      </x:c>
      <x:c r="G2" s="81" t="str">
        <x:v>S001</x:v>
      </x:c>
      <x:c r="H2" s="81" t="str">
        <x:v>Mixed</x:v>
      </x:c>
      <x:c r="I2" s="81"/>
      <x:c r="J2" s="81"/>
      <x:c r="K2" s="81"/>
      <x:c r="L2" s="81"/>
      <x:c r="M2" s="81"/>
      <x:c r="N2" s="81"/>
      <x:c r="O2" s="81"/>
      <x:c r="P2" s="81"/>
      <x:c r="Q2" s="81"/>
      <x:c r="R2" s="81"/>
      <x:c r="S2" s="81"/>
      <x:c r="T2" s="81"/>
      <x:c r="U2" s="81"/>
      <x:c r="V2" s="81"/>
      <x:c r="W2" s="81"/>
      <x:c r="X2" s="81"/>
      <x:c r="Y2" s="81"/>
      <x:c r="Z2" s="81"/>
    </x:row>
    <x:row r="3">
      <x:c r="A3" s="81" t="str">
        <x:v>VinaCapital</x:v>
      </x:c>
      <x:c r="B3" s="81" t="n">
        <x:v>90000</x:v>
      </x:c>
      <x:c r="C3" s="81" t="n">
        <x:v>2</x:v>
      </x:c>
      <x:c r="D3" s="81" t="str">
        <x:v>Strong</x:v>
      </x:c>
      <x:c r="E3" s="81" t="str">
        <x:v>Strong</x:v>
      </x:c>
      <x:c r="F3" s="81" t="str">
        <x:v>Illustrative comparator</x:v>
      </x:c>
      <x:c r="G3" s="81" t="str">
        <x:v>S004</x:v>
      </x:c>
      <x:c r="H3" s="81" t="str">
        <x:v>Assumption</x:v>
      </x:c>
      <x:c r="I3" s="81"/>
      <x:c r="J3" s="81"/>
      <x:c r="K3" s="81"/>
      <x:c r="L3" s="81"/>
      <x:c r="M3" s="81"/>
      <x:c r="N3" s="81"/>
      <x:c r="O3" s="81"/>
      <x:c r="P3" s="81"/>
      <x:c r="Q3" s="81"/>
      <x:c r="R3" s="81"/>
      <x:c r="S3" s="81"/>
      <x:c r="T3" s="81"/>
      <x:c r="U3" s="81"/>
      <x:c r="V3" s="81"/>
      <x:c r="W3" s="81"/>
      <x:c r="X3" s="81"/>
      <x:c r="Y3" s="81"/>
      <x:c r="Z3" s="81"/>
    </x:row>
    <x:row r="4">
      <x:c r="A4" s="81" t="str">
        <x:v>Techcom Capital</x:v>
      </x:c>
      <x:c r="B4" s="81" t="n">
        <x:v>65000</x:v>
      </x:c>
      <x:c r="C4" s="81" t="n">
        <x:v>3</x:v>
      </x:c>
      <x:c r="D4" s="81" t="str">
        <x:v>High</x:v>
      </x:c>
      <x:c r="E4" s="81" t="str">
        <x:v>High</x:v>
      </x:c>
      <x:c r="F4" s="81" t="str">
        <x:v>Illustrative comparator</x:v>
      </x:c>
      <x:c r="G4" s="81" t="str">
        <x:v>S004</x:v>
      </x:c>
      <x:c r="H4" s="81" t="str">
        <x:v>Assumption</x:v>
      </x:c>
      <x:c r="I4" s="81"/>
      <x:c r="J4" s="81"/>
      <x:c r="K4" s="81"/>
      <x:c r="L4" s="81"/>
      <x:c r="M4" s="81"/>
      <x:c r="N4" s="81"/>
      <x:c r="O4" s="81"/>
      <x:c r="P4" s="81"/>
      <x:c r="Q4" s="81"/>
      <x:c r="R4" s="81"/>
      <x:c r="S4" s="81"/>
      <x:c r="T4" s="81"/>
      <x:c r="U4" s="81"/>
      <x:c r="V4" s="81"/>
      <x:c r="W4" s="81"/>
      <x:c r="X4" s="81"/>
      <x:c r="Y4" s="81"/>
      <x:c r="Z4" s="81"/>
    </x:row>
    <x:row r="5">
      <x:c r="A5" s="81" t="str">
        <x:v>SSIAM</x:v>
      </x:c>
      <x:c r="B5" s="81" t="n">
        <x:v>58000</x:v>
      </x:c>
      <x:c r="C5" s="81" t="n">
        <x:v>4</x:v>
      </x:c>
      <x:c r="D5" s="81" t="str">
        <x:v>High</x:v>
      </x:c>
      <x:c r="E5" s="81" t="str">
        <x:v>Strong</x:v>
      </x:c>
      <x:c r="F5" s="81" t="str">
        <x:v>Illustrative comparator</x:v>
      </x:c>
      <x:c r="G5" s="81" t="str">
        <x:v>S004</x:v>
      </x:c>
      <x:c r="H5" s="81" t="str">
        <x:v>Assumption</x:v>
      </x:c>
      <x:c r="I5" s="81"/>
      <x:c r="J5" s="81"/>
      <x:c r="K5" s="81"/>
      <x:c r="L5" s="81"/>
      <x:c r="M5" s="81"/>
      <x:c r="N5" s="81"/>
      <x:c r="O5" s="81"/>
      <x:c r="P5" s="81"/>
      <x:c r="Q5" s="81"/>
      <x:c r="R5" s="81"/>
      <x:c r="S5" s="81"/>
      <x:c r="T5" s="81"/>
      <x:c r="U5" s="81"/>
      <x:c r="V5" s="81"/>
      <x:c r="W5" s="81"/>
      <x:c r="X5" s="81"/>
      <x:c r="Y5" s="81"/>
      <x:c r="Z5" s="81"/>
    </x:row>
    <x:row r="6">
      <x:c r="A6" s="81" t="str">
        <x:v>VCBF</x:v>
      </x:c>
      <x:c r="B6" s="81" t="n">
        <x:v>36000</x:v>
      </x:c>
      <x:c r="C6" s="81" t="n">
        <x:v>5</x:v>
      </x:c>
      <x:c r="D6" s="81" t="str">
        <x:v>Medium</x:v>
      </x:c>
      <x:c r="E6" s="81" t="str">
        <x:v>Medium</x:v>
      </x:c>
      <x:c r="F6" s="81" t="str">
        <x:v>Illustrative comparator</x:v>
      </x:c>
      <x:c r="G6" s="81" t="str">
        <x:v>S004</x:v>
      </x:c>
      <x:c r="H6" s="81" t="str">
        <x:v>Assumption</x:v>
      </x:c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</x:row>
    <x:row r="7">
      <x:c r="A7" s="81" t="str">
        <x:v>MB Capital</x:v>
      </x:c>
      <x:c r="B7" s="81" t="n">
        <x:v>28000</x:v>
      </x:c>
      <x:c r="C7" s="81" t="n">
        <x:v>6</x:v>
      </x:c>
      <x:c r="D7" s="81" t="str">
        <x:v>Medium</x:v>
      </x:c>
      <x:c r="E7" s="81" t="str">
        <x:v>Medium</x:v>
      </x:c>
      <x:c r="F7" s="81" t="str">
        <x:v>Illustrative comparator</x:v>
      </x:c>
      <x:c r="G7" s="81" t="str">
        <x:v>S004</x:v>
      </x:c>
      <x:c r="H7" s="81" t="str">
        <x:v>Assumption</x:v>
      </x:c>
      <x:c r="I7" s="81"/>
      <x:c r="J7" s="81"/>
      <x:c r="K7" s="81"/>
      <x:c r="L7" s="81"/>
      <x:c r="M7" s="81"/>
      <x:c r="N7" s="81"/>
      <x:c r="O7" s="81"/>
      <x:c r="P7" s="81"/>
      <x:c r="Q7" s="81"/>
      <x:c r="R7" s="81"/>
      <x:c r="S7" s="81"/>
      <x:c r="T7" s="81"/>
      <x:c r="U7" s="81"/>
      <x:c r="V7" s="81"/>
      <x:c r="W7" s="81"/>
      <x:c r="X7" s="81"/>
      <x:c r="Y7" s="81"/>
      <x:c r="Z7" s="81"/>
    </x:row>
    <x:row r="8">
      <x:c r="A8" s="81"/>
      <x:c r="B8" s="81"/>
      <x:c r="C8" s="81"/>
      <x:c r="D8" s="81"/>
      <x:c r="E8" s="81"/>
      <x:c r="F8" s="81"/>
      <x:c r="G8" s="81"/>
      <x:c r="H8" s="81"/>
      <x:c r="I8" s="81"/>
      <x:c r="J8" s="81"/>
      <x:c r="K8" s="81"/>
      <x:c r="L8" s="81"/>
      <x:c r="M8" s="81"/>
      <x:c r="N8" s="81"/>
      <x:c r="O8" s="81"/>
      <x:c r="P8" s="81"/>
      <x:c r="Q8" s="81"/>
      <x:c r="R8" s="81"/>
      <x:c r="S8" s="81"/>
      <x:c r="T8" s="81"/>
      <x:c r="U8" s="81"/>
      <x:c r="V8" s="81"/>
      <x:c r="W8" s="81"/>
      <x:c r="X8" s="81"/>
      <x:c r="Y8" s="81"/>
      <x:c r="Z8" s="81"/>
    </x:row>
    <x:row r="9">
      <x:c r="A9" s="81"/>
      <x:c r="B9" s="81"/>
      <x:c r="C9" s="81"/>
      <x:c r="D9" s="81"/>
      <x:c r="E9" s="81"/>
      <x:c r="F9" s="81"/>
      <x:c r="G9" s="81"/>
      <x:c r="H9" s="81"/>
      <x:c r="I9" s="81"/>
      <x:c r="J9" s="81"/>
      <x:c r="K9" s="81"/>
      <x:c r="L9" s="81"/>
      <x:c r="M9" s="81"/>
      <x:c r="N9" s="81"/>
      <x:c r="O9" s="81"/>
      <x:c r="P9" s="81"/>
      <x:c r="Q9" s="81"/>
      <x:c r="R9" s="81"/>
      <x:c r="S9" s="81"/>
      <x:c r="T9" s="81"/>
      <x:c r="U9" s="81"/>
      <x:c r="V9" s="81"/>
      <x:c r="W9" s="81"/>
      <x:c r="X9" s="81"/>
      <x:c r="Y9" s="81"/>
      <x:c r="Z9" s="81"/>
    </x:row>
    <x:row r="10">
      <x:c r="A10" s="81"/>
      <x:c r="B10" s="81"/>
      <x:c r="C10" s="81"/>
      <x:c r="D10" s="81"/>
      <x:c r="E10" s="81"/>
      <x:c r="F10" s="81"/>
      <x:c r="G10" s="81"/>
      <x:c r="H10" s="81"/>
      <x:c r="I10" s="81"/>
      <x:c r="J10" s="81"/>
      <x:c r="K10" s="81"/>
      <x:c r="L10" s="81"/>
      <x:c r="M10" s="81"/>
      <x:c r="N10" s="81"/>
      <x:c r="O10" s="81"/>
      <x:c r="P10" s="81"/>
      <x:c r="Q10" s="81"/>
      <x:c r="R10" s="81"/>
      <x:c r="S10" s="81"/>
      <x:c r="T10" s="81"/>
      <x:c r="U10" s="81"/>
      <x:c r="V10" s="81"/>
      <x:c r="W10" s="81"/>
      <x:c r="X10" s="81"/>
      <x:c r="Y10" s="81"/>
      <x:c r="Z10" s="81"/>
    </x:row>
    <x:row r="11">
      <x:c r="A11" s="81"/>
      <x:c r="B11" s="81"/>
      <x:c r="C11" s="81"/>
      <x:c r="D11" s="81"/>
      <x:c r="E11" s="81"/>
      <x:c r="F11" s="81"/>
      <x:c r="G11" s="81"/>
      <x:c r="H11" s="81"/>
      <x:c r="I11" s="81"/>
      <x:c r="J11" s="81"/>
      <x:c r="K11" s="81"/>
      <x:c r="L11" s="81"/>
      <x:c r="M11" s="81"/>
      <x:c r="N11" s="81"/>
      <x:c r="O11" s="81"/>
      <x:c r="P11" s="81"/>
      <x:c r="Q11" s="81"/>
      <x:c r="R11" s="81"/>
      <x:c r="S11" s="81"/>
      <x:c r="T11" s="81"/>
      <x:c r="U11" s="81"/>
      <x:c r="V11" s="81"/>
      <x:c r="W11" s="81"/>
      <x:c r="X11" s="81"/>
      <x:c r="Y11" s="81"/>
      <x:c r="Z11" s="81"/>
    </x:row>
    <x:row r="12">
      <x:c r="A12" s="81"/>
      <x:c r="B12" s="81"/>
      <x:c r="C12" s="81"/>
      <x:c r="D12" s="81"/>
      <x:c r="E12" s="81"/>
      <x:c r="F12" s="81"/>
      <x:c r="G12" s="81"/>
      <x:c r="H12" s="81"/>
      <x:c r="I12" s="81"/>
      <x:c r="J12" s="81"/>
      <x:c r="K12" s="81"/>
      <x:c r="L12" s="81"/>
      <x:c r="M12" s="81"/>
      <x:c r="N12" s="81"/>
      <x:c r="O12" s="81"/>
      <x:c r="P12" s="81"/>
      <x:c r="Q12" s="81"/>
      <x:c r="R12" s="81"/>
      <x:c r="S12" s="81"/>
      <x:c r="T12" s="81"/>
      <x:c r="U12" s="81"/>
      <x:c r="V12" s="81"/>
      <x:c r="W12" s="81"/>
      <x:c r="X12" s="81"/>
      <x:c r="Y12" s="81"/>
      <x:c r="Z12" s="81"/>
    </x:row>
    <x:row r="13">
      <x:c r="A13" s="81"/>
      <x:c r="B13" s="81"/>
      <x:c r="C13" s="81"/>
      <x:c r="D13" s="81"/>
      <x:c r="E13" s="81"/>
      <x:c r="F13" s="81"/>
      <x:c r="G13" s="81"/>
      <x:c r="H13" s="81"/>
      <x:c r="I13" s="81"/>
      <x:c r="J13" s="81"/>
      <x:c r="K13" s="81"/>
      <x:c r="L13" s="81"/>
      <x:c r="M13" s="81"/>
      <x:c r="N13" s="81"/>
      <x:c r="O13" s="81"/>
      <x:c r="P13" s="81"/>
      <x:c r="Q13" s="81"/>
      <x:c r="R13" s="81"/>
      <x:c r="S13" s="81"/>
      <x:c r="T13" s="81"/>
      <x:c r="U13" s="81"/>
      <x:c r="V13" s="81"/>
      <x:c r="W13" s="81"/>
      <x:c r="X13" s="81"/>
      <x:c r="Y13" s="81"/>
      <x:c r="Z13" s="81"/>
    </x:row>
    <x:row r="14">
      <x:c r="A14" s="81"/>
      <x:c r="B14" s="81"/>
      <x:c r="C14" s="81"/>
      <x:c r="D14" s="81"/>
      <x:c r="E14" s="81"/>
      <x:c r="F14" s="81"/>
      <x:c r="G14" s="81"/>
      <x:c r="H14" s="81"/>
      <x:c r="I14" s="81"/>
      <x:c r="J14" s="81"/>
      <x:c r="K14" s="81"/>
      <x:c r="L14" s="81"/>
      <x:c r="M14" s="81"/>
      <x:c r="N14" s="81"/>
      <x:c r="O14" s="81"/>
      <x:c r="P14" s="81"/>
      <x:c r="Q14" s="81"/>
      <x:c r="R14" s="81"/>
      <x:c r="S14" s="81"/>
      <x:c r="T14" s="81"/>
      <x:c r="U14" s="81"/>
      <x:c r="V14" s="81"/>
      <x:c r="W14" s="81"/>
      <x:c r="X14" s="81"/>
      <x:c r="Y14" s="81"/>
      <x:c r="Z14" s="81"/>
    </x:row>
    <x:row r="15">
      <x:c r="A15" s="81"/>
      <x:c r="B15" s="81"/>
      <x:c r="C15" s="81"/>
      <x:c r="D15" s="81"/>
      <x:c r="E15" s="81"/>
      <x:c r="F15" s="81"/>
      <x:c r="G15" s="81"/>
      <x:c r="H15" s="81"/>
      <x:c r="I15" s="81"/>
      <x:c r="J15" s="81"/>
      <x:c r="K15" s="81"/>
      <x:c r="L15" s="81"/>
      <x:c r="M15" s="81"/>
      <x:c r="N15" s="81"/>
      <x:c r="O15" s="81"/>
      <x:c r="P15" s="81"/>
      <x:c r="Q15" s="81"/>
      <x:c r="R15" s="81"/>
      <x:c r="S15" s="81"/>
      <x:c r="T15" s="81"/>
      <x:c r="U15" s="81"/>
      <x:c r="V15" s="81"/>
      <x:c r="W15" s="81"/>
      <x:c r="X15" s="81"/>
      <x:c r="Y15" s="81"/>
      <x:c r="Z15" s="81"/>
    </x:row>
    <x:row r="16">
      <x:c r="A16" s="81"/>
      <x:c r="B16" s="81"/>
      <x:c r="C16" s="81"/>
      <x:c r="D16" s="81"/>
      <x:c r="E16" s="81"/>
      <x:c r="F16" s="81"/>
      <x:c r="G16" s="81"/>
      <x:c r="H16" s="81"/>
      <x:c r="I16" s="81"/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81"/>
      <x:c r="W16" s="81"/>
      <x:c r="X16" s="81"/>
      <x:c r="Y16" s="81"/>
      <x:c r="Z16" s="81"/>
    </x:row>
    <x:row r="17">
      <x:c r="A17" s="81"/>
      <x:c r="B17" s="81"/>
      <x:c r="C17" s="81"/>
      <x:c r="D17" s="81"/>
      <x:c r="E17" s="81"/>
      <x:c r="F17" s="81"/>
      <x:c r="G17" s="81"/>
      <x:c r="H17" s="81"/>
      <x:c r="I17" s="81"/>
      <x:c r="J17" s="81"/>
      <x:c r="K17" s="81"/>
      <x:c r="L17" s="81"/>
      <x:c r="M17" s="81"/>
      <x:c r="N17" s="81"/>
      <x:c r="O17" s="81"/>
      <x:c r="P17" s="81"/>
      <x:c r="Q17" s="81"/>
      <x:c r="R17" s="81"/>
      <x:c r="S17" s="81"/>
      <x:c r="T17" s="81"/>
      <x:c r="U17" s="81"/>
      <x:c r="V17" s="81"/>
      <x:c r="W17" s="81"/>
      <x:c r="X17" s="81"/>
      <x:c r="Y17" s="81"/>
      <x:c r="Z17" s="81"/>
    </x:row>
    <x:row r="18">
      <x:c r="A18" s="81"/>
      <x:c r="B18" s="81"/>
      <x:c r="C18" s="81"/>
      <x:c r="D18" s="81"/>
      <x:c r="E18" s="81"/>
      <x:c r="F18" s="81"/>
      <x:c r="G18" s="81"/>
      <x:c r="H18" s="81"/>
      <x:c r="I18" s="81"/>
      <x:c r="J18" s="81"/>
      <x:c r="K18" s="81"/>
      <x:c r="L18" s="81"/>
      <x:c r="M18" s="81"/>
      <x:c r="N18" s="81"/>
      <x:c r="O18" s="81"/>
      <x:c r="P18" s="81"/>
      <x:c r="Q18" s="81"/>
      <x:c r="R18" s="81"/>
      <x:c r="S18" s="81"/>
      <x:c r="T18" s="81"/>
      <x:c r="U18" s="81"/>
      <x:c r="V18" s="81"/>
      <x:c r="W18" s="81"/>
      <x:c r="X18" s="81"/>
      <x:c r="Y18" s="81"/>
      <x:c r="Z18" s="81"/>
    </x:row>
    <x:row r="19">
      <x:c r="A19" s="81"/>
      <x:c r="B19" s="81"/>
      <x:c r="C19" s="81"/>
      <x:c r="D19" s="81"/>
      <x:c r="E19" s="81"/>
      <x:c r="F19" s="81"/>
      <x:c r="G19" s="81"/>
      <x:c r="H19" s="81"/>
      <x:c r="I19" s="81"/>
      <x:c r="J19" s="81"/>
      <x:c r="K19" s="81"/>
      <x:c r="L19" s="81"/>
      <x:c r="M19" s="81"/>
      <x:c r="N19" s="81"/>
      <x:c r="O19" s="81"/>
      <x:c r="P19" s="81"/>
      <x:c r="Q19" s="81"/>
      <x:c r="R19" s="81"/>
      <x:c r="S19" s="81"/>
      <x:c r="T19" s="81"/>
      <x:c r="U19" s="81"/>
      <x:c r="V19" s="81"/>
      <x:c r="W19" s="81"/>
      <x:c r="X19" s="81"/>
      <x:c r="Y19" s="81"/>
      <x:c r="Z19" s="81"/>
    </x:row>
    <x:row r="20">
      <x:c r="A20" s="81"/>
      <x:c r="B20" s="81"/>
      <x:c r="C20" s="81"/>
      <x:c r="D20" s="81"/>
      <x:c r="E20" s="81"/>
      <x:c r="F20" s="81"/>
      <x:c r="G20" s="81"/>
      <x:c r="H20" s="81"/>
      <x:c r="I20" s="81"/>
      <x:c r="J20" s="81"/>
      <x:c r="K20" s="81"/>
      <x:c r="L20" s="81"/>
      <x:c r="M20" s="81"/>
      <x:c r="N20" s="81"/>
      <x:c r="O20" s="81"/>
      <x:c r="P20" s="81"/>
      <x:c r="Q20" s="81"/>
      <x:c r="R20" s="81"/>
      <x:c r="S20" s="81"/>
      <x:c r="T20" s="81"/>
      <x:c r="U20" s="81"/>
      <x:c r="V20" s="81"/>
      <x:c r="W20" s="81"/>
      <x:c r="X20" s="81"/>
      <x:c r="Y20" s="81"/>
      <x:c r="Z20" s="81"/>
    </x:row>
    <x:row r="21">
      <x:c r="A21" s="81"/>
      <x:c r="B21" s="81"/>
      <x:c r="C21" s="81"/>
      <x:c r="D21" s="81"/>
      <x:c r="E21" s="81"/>
      <x:c r="F21" s="81"/>
      <x:c r="G21" s="81"/>
      <x:c r="H21" s="81"/>
      <x:c r="I21" s="81"/>
      <x:c r="J21" s="81"/>
      <x:c r="K21" s="81"/>
      <x:c r="L21" s="81"/>
      <x:c r="M21" s="81"/>
      <x:c r="N21" s="81"/>
      <x:c r="O21" s="81"/>
      <x:c r="P21" s="81"/>
      <x:c r="Q21" s="81"/>
      <x:c r="R21" s="81"/>
      <x:c r="S21" s="81"/>
      <x:c r="T21" s="81"/>
      <x:c r="U21" s="81"/>
      <x:c r="V21" s="81"/>
      <x:c r="W21" s="81"/>
      <x:c r="X21" s="81"/>
      <x:c r="Y21" s="81"/>
      <x:c r="Z21" s="81"/>
    </x:row>
    <x:row r="22">
      <x:c r="A22" s="81"/>
      <x:c r="B22" s="81"/>
      <x:c r="C22" s="81"/>
      <x:c r="D22" s="81"/>
      <x:c r="E22" s="81"/>
      <x:c r="F22" s="81"/>
      <x:c r="G22" s="81"/>
      <x:c r="H22" s="81"/>
      <x:c r="I22" s="81"/>
      <x:c r="J22" s="81"/>
      <x:c r="K22" s="81"/>
      <x:c r="L22" s="81"/>
      <x:c r="M22" s="81"/>
      <x:c r="N22" s="81"/>
      <x:c r="O22" s="81"/>
      <x:c r="P22" s="81"/>
      <x:c r="Q22" s="81"/>
      <x:c r="R22" s="81"/>
      <x:c r="S22" s="81"/>
      <x:c r="T22" s="81"/>
      <x:c r="U22" s="81"/>
      <x:c r="V22" s="81"/>
      <x:c r="W22" s="81"/>
      <x:c r="X22" s="81"/>
      <x:c r="Y22" s="81"/>
      <x:c r="Z22" s="81"/>
    </x:row>
    <x:row r="23">
      <x:c r="A23" s="81"/>
      <x:c r="B23" s="81"/>
      <x:c r="C23" s="81"/>
      <x:c r="D23" s="81"/>
      <x:c r="E23" s="81"/>
      <x:c r="F23" s="81"/>
      <x:c r="G23" s="81"/>
      <x:c r="H23" s="81"/>
      <x:c r="I23" s="81"/>
      <x:c r="J23" s="81"/>
      <x:c r="K23" s="81"/>
      <x:c r="L23" s="81"/>
      <x:c r="M23" s="81"/>
      <x:c r="N23" s="81"/>
      <x:c r="O23" s="81"/>
      <x:c r="P23" s="81"/>
      <x:c r="Q23" s="81"/>
      <x:c r="R23" s="81"/>
      <x:c r="S23" s="81"/>
      <x:c r="T23" s="81"/>
      <x:c r="U23" s="81"/>
      <x:c r="V23" s="81"/>
      <x:c r="W23" s="81"/>
      <x:c r="X23" s="81"/>
      <x:c r="Y23" s="81"/>
      <x:c r="Z23" s="81"/>
    </x:row>
    <x:row r="24">
      <x:c r="A24" s="81"/>
      <x:c r="B24" s="81"/>
      <x:c r="C24" s="81"/>
      <x:c r="D24" s="81"/>
      <x:c r="E24" s="81"/>
      <x:c r="F24" s="81"/>
      <x:c r="G24" s="81"/>
      <x:c r="H24" s="81"/>
      <x:c r="I24" s="81"/>
      <x:c r="J24" s="81"/>
      <x:c r="K24" s="81"/>
      <x:c r="L24" s="81"/>
      <x:c r="M24" s="81"/>
      <x:c r="N24" s="81"/>
      <x:c r="O24" s="81"/>
      <x:c r="P24" s="81"/>
      <x:c r="Q24" s="81"/>
      <x:c r="R24" s="81"/>
      <x:c r="S24" s="81"/>
      <x:c r="T24" s="81"/>
      <x:c r="U24" s="81"/>
      <x:c r="V24" s="81"/>
      <x:c r="W24" s="81"/>
      <x:c r="X24" s="81"/>
      <x:c r="Y24" s="81"/>
      <x:c r="Z24" s="81"/>
    </x:row>
    <x:row r="25">
      <x:c r="A25" s="81"/>
      <x:c r="B25" s="81"/>
      <x:c r="C25" s="81"/>
      <x:c r="D25" s="81"/>
      <x:c r="E25" s="81"/>
      <x:c r="F25" s="81"/>
      <x:c r="G25" s="81"/>
      <x:c r="H25" s="81"/>
      <x:c r="I25" s="81"/>
      <x:c r="J25" s="81"/>
      <x:c r="K25" s="81"/>
      <x:c r="L25" s="81"/>
      <x:c r="M25" s="81"/>
      <x:c r="N25" s="81"/>
      <x:c r="O25" s="81"/>
      <x:c r="P25" s="81"/>
      <x:c r="Q25" s="81"/>
      <x:c r="R25" s="81"/>
      <x:c r="S25" s="81"/>
      <x:c r="T25" s="81"/>
      <x:c r="U25" s="81"/>
      <x:c r="V25" s="81"/>
      <x:c r="W25" s="81"/>
      <x:c r="X25" s="81"/>
      <x:c r="Y25" s="81"/>
      <x:c r="Z25" s="81"/>
    </x:row>
    <x:row r="26">
      <x:c r="A26" s="81"/>
      <x:c r="B26" s="81"/>
      <x:c r="C26" s="81"/>
      <x:c r="D26" s="81"/>
      <x:c r="E26" s="81"/>
      <x:c r="F26" s="81"/>
      <x:c r="G26" s="81"/>
      <x:c r="H26" s="81"/>
      <x:c r="I26" s="81"/>
      <x:c r="J26" s="81"/>
      <x:c r="K26" s="81"/>
      <x:c r="L26" s="81"/>
      <x:c r="M26" s="81"/>
      <x:c r="N26" s="81"/>
      <x:c r="O26" s="81"/>
      <x:c r="P26" s="81"/>
      <x:c r="Q26" s="81"/>
      <x:c r="R26" s="81"/>
      <x:c r="S26" s="81"/>
      <x:c r="T26" s="81"/>
      <x:c r="U26" s="81"/>
      <x:c r="V26" s="81"/>
      <x:c r="W26" s="81"/>
      <x:c r="X26" s="81"/>
      <x:c r="Y26" s="81"/>
      <x:c r="Z26" s="81"/>
    </x:row>
    <x:row r="27">
      <x:c r="A27" s="81"/>
      <x:c r="B27" s="81"/>
      <x:c r="C27" s="81"/>
      <x:c r="D27" s="81"/>
      <x:c r="E27" s="81"/>
      <x:c r="F27" s="81"/>
      <x:c r="G27" s="81"/>
      <x:c r="H27" s="81"/>
      <x:c r="I27" s="81"/>
      <x:c r="J27" s="81"/>
      <x:c r="K27" s="81"/>
      <x:c r="L27" s="81"/>
      <x:c r="M27" s="81"/>
      <x:c r="N27" s="81"/>
      <x:c r="O27" s="81"/>
      <x:c r="P27" s="81"/>
      <x:c r="Q27" s="81"/>
      <x:c r="R27" s="81"/>
      <x:c r="S27" s="81"/>
      <x:c r="T27" s="81"/>
      <x:c r="U27" s="81"/>
      <x:c r="V27" s="81"/>
      <x:c r="W27" s="81"/>
      <x:c r="X27" s="81"/>
      <x:c r="Y27" s="81"/>
      <x:c r="Z27" s="81"/>
    </x:row>
    <x:row r="28">
      <x:c r="A28" s="81"/>
      <x:c r="B28" s="81"/>
      <x:c r="C28" s="81"/>
      <x:c r="D28" s="81"/>
      <x:c r="E28" s="81"/>
      <x:c r="F28" s="81"/>
      <x:c r="G28" s="81"/>
      <x:c r="H28" s="81"/>
      <x:c r="I28" s="81"/>
      <x:c r="J28" s="81"/>
      <x:c r="K28" s="81"/>
      <x:c r="L28" s="81"/>
      <x:c r="M28" s="81"/>
      <x:c r="N28" s="81"/>
      <x:c r="O28" s="81"/>
      <x:c r="P28" s="81"/>
      <x:c r="Q28" s="81"/>
      <x:c r="R28" s="81"/>
      <x:c r="S28" s="81"/>
      <x:c r="T28" s="81"/>
      <x:c r="U28" s="81"/>
      <x:c r="V28" s="81"/>
      <x:c r="W28" s="81"/>
      <x:c r="X28" s="81"/>
      <x:c r="Y28" s="81"/>
      <x:c r="Z28" s="81"/>
    </x:row>
    <x:row r="29">
      <x:c r="A29" s="81"/>
      <x:c r="B29" s="81"/>
      <x:c r="C29" s="81"/>
      <x:c r="D29" s="81"/>
      <x:c r="E29" s="81"/>
      <x:c r="F29" s="81"/>
      <x:c r="G29" s="81"/>
      <x:c r="H29" s="81"/>
      <x:c r="I29" s="81"/>
      <x:c r="J29" s="81"/>
      <x:c r="K29" s="81"/>
      <x:c r="L29" s="81"/>
      <x:c r="M29" s="81"/>
      <x:c r="N29" s="81"/>
      <x:c r="O29" s="81"/>
      <x:c r="P29" s="81"/>
      <x:c r="Q29" s="81"/>
      <x:c r="R29" s="81"/>
      <x:c r="S29" s="81"/>
      <x:c r="T29" s="81"/>
      <x:c r="U29" s="81"/>
      <x:c r="V29" s="81"/>
      <x:c r="W29" s="81"/>
      <x:c r="X29" s="81"/>
      <x:c r="Y29" s="81"/>
      <x:c r="Z29" s="81"/>
    </x:row>
    <x:row r="30">
      <x:c r="A30" s="81"/>
      <x:c r="B30" s="81"/>
      <x:c r="C30" s="81"/>
      <x:c r="D30" s="81"/>
      <x:c r="E30" s="81"/>
      <x:c r="F30" s="81"/>
      <x:c r="G30" s="81"/>
      <x:c r="H30" s="81"/>
      <x:c r="I30" s="81"/>
      <x:c r="J30" s="81"/>
      <x:c r="K30" s="81"/>
      <x:c r="L30" s="81"/>
      <x:c r="M30" s="81"/>
      <x:c r="N30" s="81"/>
      <x:c r="O30" s="81"/>
      <x:c r="P30" s="81"/>
      <x:c r="Q30" s="81"/>
      <x:c r="R30" s="81"/>
      <x:c r="S30" s="81"/>
      <x:c r="T30" s="81"/>
      <x:c r="U30" s="81"/>
      <x:c r="V30" s="81"/>
      <x:c r="W30" s="81"/>
      <x:c r="X30" s="81"/>
      <x:c r="Y30" s="81"/>
      <x:c r="Z30" s="81"/>
    </x:row>
    <x:row r="31">
      <x:c r="A31" s="81"/>
      <x:c r="B31" s="81"/>
      <x:c r="C31" s="81"/>
      <x:c r="D31" s="81"/>
      <x:c r="E31" s="81"/>
      <x:c r="F31" s="81"/>
      <x:c r="G31" s="81"/>
      <x:c r="H31" s="81"/>
      <x:c r="I31" s="81"/>
      <x:c r="J31" s="81"/>
      <x:c r="K31" s="81"/>
      <x:c r="L31" s="81"/>
      <x:c r="M31" s="81"/>
      <x:c r="N31" s="81"/>
      <x:c r="O31" s="81"/>
      <x:c r="P31" s="81"/>
      <x:c r="Q31" s="81"/>
      <x:c r="R31" s="81"/>
      <x:c r="S31" s="81"/>
      <x:c r="T31" s="81"/>
      <x:c r="U31" s="81"/>
      <x:c r="V31" s="81"/>
      <x:c r="W31" s="81"/>
      <x:c r="X31" s="81"/>
      <x:c r="Y31" s="81"/>
      <x:c r="Z31" s="81"/>
    </x:row>
    <x:row r="32">
      <x:c r="A32" s="81"/>
      <x:c r="B32" s="81"/>
      <x:c r="C32" s="81"/>
      <x:c r="D32" s="81"/>
      <x:c r="E32" s="81"/>
      <x:c r="F32" s="81"/>
      <x:c r="G32" s="81"/>
      <x:c r="H32" s="81"/>
      <x:c r="I32" s="81"/>
      <x:c r="J32" s="81"/>
      <x:c r="K32" s="81"/>
      <x:c r="L32" s="81"/>
      <x:c r="M32" s="81"/>
      <x:c r="N32" s="81"/>
      <x:c r="O32" s="81"/>
      <x:c r="P32" s="81"/>
      <x:c r="Q32" s="81"/>
      <x:c r="R32" s="81"/>
      <x:c r="S32" s="81"/>
      <x:c r="T32" s="81"/>
      <x:c r="U32" s="81"/>
      <x:c r="V32" s="81"/>
      <x:c r="W32" s="81"/>
      <x:c r="X32" s="81"/>
      <x:c r="Y32" s="81"/>
      <x:c r="Z32" s="81"/>
    </x:row>
    <x:row r="33">
      <x:c r="A33" s="81"/>
      <x:c r="B33" s="81"/>
      <x:c r="C33" s="81"/>
      <x:c r="D33" s="81"/>
      <x:c r="E33" s="81"/>
      <x:c r="F33" s="81"/>
      <x:c r="G33" s="81"/>
      <x:c r="H33" s="81"/>
      <x:c r="I33" s="81"/>
      <x:c r="J33" s="81"/>
      <x:c r="K33" s="81"/>
      <x:c r="L33" s="81"/>
      <x:c r="M33" s="81"/>
      <x:c r="N33" s="81"/>
      <x:c r="O33" s="81"/>
      <x:c r="P33" s="81"/>
      <x:c r="Q33" s="81"/>
      <x:c r="R33" s="81"/>
      <x:c r="S33" s="81"/>
      <x:c r="T33" s="81"/>
      <x:c r="U33" s="81"/>
      <x:c r="V33" s="81"/>
      <x:c r="W33" s="81"/>
      <x:c r="X33" s="81"/>
      <x:c r="Y33" s="81"/>
      <x:c r="Z33" s="81"/>
    </x:row>
    <x:row r="34">
      <x:c r="A34" s="81"/>
      <x:c r="B34" s="81"/>
      <x:c r="C34" s="81"/>
      <x:c r="D34" s="81"/>
      <x:c r="E34" s="81"/>
      <x:c r="F34" s="81"/>
      <x:c r="G34" s="81"/>
      <x:c r="H34" s="81"/>
      <x:c r="I34" s="81"/>
      <x:c r="J34" s="81"/>
      <x:c r="K34" s="81"/>
      <x:c r="L34" s="81"/>
      <x:c r="M34" s="81"/>
      <x:c r="N34" s="81"/>
      <x:c r="O34" s="81"/>
      <x:c r="P34" s="81"/>
      <x:c r="Q34" s="81"/>
      <x:c r="R34" s="81"/>
      <x:c r="S34" s="81"/>
      <x:c r="T34" s="81"/>
      <x:c r="U34" s="81"/>
      <x:c r="V34" s="81"/>
      <x:c r="W34" s="81"/>
      <x:c r="X34" s="81"/>
      <x:c r="Y34" s="81"/>
      <x:c r="Z34" s="81"/>
    </x:row>
    <x:row r="35">
      <x:c r="A35" s="81"/>
      <x:c r="B35" s="81"/>
      <x:c r="C35" s="81"/>
      <x:c r="D35" s="81"/>
      <x:c r="E35" s="81"/>
      <x:c r="F35" s="81"/>
      <x:c r="G35" s="81"/>
      <x:c r="H35" s="81"/>
      <x:c r="I35" s="81"/>
      <x:c r="J35" s="81"/>
      <x:c r="K35" s="81"/>
      <x:c r="L35" s="81"/>
      <x:c r="M35" s="81"/>
      <x:c r="N35" s="81"/>
      <x:c r="O35" s="81"/>
      <x:c r="P35" s="81"/>
      <x:c r="Q35" s="81"/>
      <x:c r="R35" s="81"/>
      <x:c r="S35" s="81"/>
      <x:c r="T35" s="81"/>
      <x:c r="U35" s="81"/>
      <x:c r="V35" s="81"/>
      <x:c r="W35" s="81"/>
      <x:c r="X35" s="81"/>
      <x:c r="Y35" s="81"/>
      <x:c r="Z35" s="81"/>
    </x:row>
    <x:row r="36">
      <x:c r="A36" s="81"/>
      <x:c r="B36" s="81"/>
      <x:c r="C36" s="81"/>
      <x:c r="D36" s="81"/>
      <x:c r="E36" s="81"/>
      <x:c r="F36" s="81"/>
      <x:c r="G36" s="81"/>
      <x:c r="H36" s="81"/>
      <x:c r="I36" s="81"/>
      <x:c r="J36" s="81"/>
      <x:c r="K36" s="81"/>
      <x:c r="L36" s="81"/>
      <x:c r="M36" s="81"/>
      <x:c r="N36" s="81"/>
      <x:c r="O36" s="81"/>
      <x:c r="P36" s="81"/>
      <x:c r="Q36" s="81"/>
      <x:c r="R36" s="81"/>
      <x:c r="S36" s="81"/>
      <x:c r="T36" s="81"/>
      <x:c r="U36" s="81"/>
      <x:c r="V36" s="81"/>
      <x:c r="W36" s="81"/>
      <x:c r="X36" s="81"/>
      <x:c r="Y36" s="81"/>
      <x:c r="Z36" s="81"/>
    </x:row>
    <x:row r="37">
      <x:c r="A37" s="81"/>
      <x:c r="B37" s="81"/>
      <x:c r="C37" s="81"/>
      <x:c r="D37" s="81"/>
      <x:c r="E37" s="81"/>
      <x:c r="F37" s="81"/>
      <x:c r="G37" s="81"/>
      <x:c r="H37" s="81"/>
      <x:c r="I37" s="81"/>
      <x:c r="J37" s="81"/>
      <x:c r="K37" s="81"/>
      <x:c r="L37" s="81"/>
      <x:c r="M37" s="81"/>
      <x:c r="N37" s="81"/>
      <x:c r="O37" s="81"/>
      <x:c r="P37" s="81"/>
      <x:c r="Q37" s="81"/>
      <x:c r="R37" s="81"/>
      <x:c r="S37" s="81"/>
      <x:c r="T37" s="81"/>
      <x:c r="U37" s="81"/>
      <x:c r="V37" s="81"/>
      <x:c r="W37" s="81"/>
      <x:c r="X37" s="81"/>
      <x:c r="Y37" s="81"/>
      <x:c r="Z37" s="81"/>
    </x:row>
    <x:row r="38">
      <x:c r="A38" s="81"/>
      <x:c r="B38" s="81"/>
      <x:c r="C38" s="81"/>
      <x:c r="D38" s="81"/>
      <x:c r="E38" s="81"/>
      <x:c r="F38" s="81"/>
      <x:c r="G38" s="81"/>
      <x:c r="H38" s="81"/>
      <x:c r="I38" s="81"/>
      <x:c r="J38" s="81"/>
      <x:c r="K38" s="81"/>
      <x:c r="L38" s="81"/>
      <x:c r="M38" s="81"/>
      <x:c r="N38" s="81"/>
      <x:c r="O38" s="81"/>
      <x:c r="P38" s="81"/>
      <x:c r="Q38" s="81"/>
      <x:c r="R38" s="81"/>
      <x:c r="S38" s="81"/>
      <x:c r="T38" s="81"/>
      <x:c r="U38" s="81"/>
      <x:c r="V38" s="81"/>
      <x:c r="W38" s="81"/>
      <x:c r="X38" s="81"/>
      <x:c r="Y38" s="81"/>
      <x:c r="Z38" s="81"/>
    </x:row>
    <x:row r="39">
      <x:c r="A39" s="81"/>
      <x:c r="B39" s="81"/>
      <x:c r="C39" s="81"/>
      <x:c r="D39" s="81"/>
      <x:c r="E39" s="81"/>
      <x:c r="F39" s="81"/>
      <x:c r="G39" s="81"/>
      <x:c r="H39" s="81"/>
      <x:c r="I39" s="81"/>
      <x:c r="J39" s="81"/>
      <x:c r="K39" s="81"/>
      <x:c r="L39" s="81"/>
      <x:c r="M39" s="81"/>
      <x:c r="N39" s="81"/>
      <x:c r="O39" s="81"/>
      <x:c r="P39" s="81"/>
      <x:c r="Q39" s="81"/>
      <x:c r="R39" s="81"/>
      <x:c r="S39" s="81"/>
      <x:c r="T39" s="81"/>
      <x:c r="U39" s="81"/>
      <x:c r="V39" s="81"/>
      <x:c r="W39" s="81"/>
      <x:c r="X39" s="81"/>
      <x:c r="Y39" s="81"/>
      <x:c r="Z39" s="81"/>
    </x:row>
    <x:row r="40">
      <x:c r="A40" s="81"/>
      <x:c r="B40" s="81"/>
      <x:c r="C40" s="81"/>
      <x:c r="D40" s="81"/>
      <x:c r="E40" s="81"/>
      <x:c r="F40" s="81"/>
      <x:c r="G40" s="81"/>
      <x:c r="H40" s="81"/>
      <x:c r="I40" s="81"/>
      <x:c r="J40" s="81"/>
      <x:c r="K40" s="81"/>
      <x:c r="L40" s="81"/>
      <x:c r="M40" s="81"/>
      <x:c r="N40" s="81"/>
      <x:c r="O40" s="81"/>
      <x:c r="P40" s="81"/>
      <x:c r="Q40" s="81"/>
      <x:c r="R40" s="81"/>
      <x:c r="S40" s="81"/>
      <x:c r="T40" s="81"/>
      <x:c r="U40" s="81"/>
      <x:c r="V40" s="81"/>
      <x:c r="W40" s="81"/>
      <x:c r="X40" s="81"/>
      <x:c r="Y40" s="81"/>
      <x:c r="Z40" s="81"/>
    </x:row>
    <x:row r="41">
      <x:c r="A41" s="81"/>
      <x:c r="B41" s="81"/>
      <x:c r="C41" s="81"/>
      <x:c r="D41" s="81"/>
      <x:c r="E41" s="81"/>
      <x:c r="F41" s="81"/>
      <x:c r="G41" s="81"/>
      <x:c r="H41" s="81"/>
      <x:c r="I41" s="81"/>
      <x:c r="J41" s="81"/>
      <x:c r="K41" s="81"/>
      <x:c r="L41" s="81"/>
      <x:c r="M41" s="81"/>
      <x:c r="N41" s="81"/>
      <x:c r="O41" s="81"/>
      <x:c r="P41" s="81"/>
      <x:c r="Q41" s="81"/>
      <x:c r="R41" s="81"/>
      <x:c r="S41" s="81"/>
      <x:c r="T41" s="81"/>
      <x:c r="U41" s="81"/>
      <x:c r="V41" s="81"/>
      <x:c r="W41" s="81"/>
      <x:c r="X41" s="81"/>
      <x:c r="Y41" s="81"/>
      <x:c r="Z41" s="81"/>
    </x:row>
    <x:row r="42">
      <x:c r="A42" s="81"/>
      <x:c r="B42" s="81"/>
      <x:c r="C42" s="81"/>
      <x:c r="D42" s="81"/>
      <x:c r="E42" s="81"/>
      <x:c r="F42" s="81"/>
      <x:c r="G42" s="81"/>
      <x:c r="H42" s="81"/>
      <x:c r="I42" s="81"/>
      <x:c r="J42" s="81"/>
      <x:c r="K42" s="81"/>
      <x:c r="L42" s="81"/>
      <x:c r="M42" s="81"/>
      <x:c r="N42" s="81"/>
      <x:c r="O42" s="81"/>
      <x:c r="P42" s="81"/>
      <x:c r="Q42" s="81"/>
      <x:c r="R42" s="81"/>
      <x:c r="S42" s="81"/>
      <x:c r="T42" s="81"/>
      <x:c r="U42" s="81"/>
      <x:c r="V42" s="81"/>
      <x:c r="W42" s="81"/>
      <x:c r="X42" s="81"/>
      <x:c r="Y42" s="81"/>
      <x:c r="Z42" s="81"/>
    </x:row>
    <x:row r="43">
      <x:c r="A43" s="81"/>
      <x:c r="B43" s="81"/>
      <x:c r="C43" s="81"/>
      <x:c r="D43" s="81"/>
      <x:c r="E43" s="81"/>
      <x:c r="F43" s="81"/>
      <x:c r="G43" s="81"/>
      <x:c r="H43" s="81"/>
      <x:c r="I43" s="81"/>
      <x:c r="J43" s="81"/>
      <x:c r="K43" s="81"/>
      <x:c r="L43" s="81"/>
      <x:c r="M43" s="81"/>
      <x:c r="N43" s="81"/>
      <x:c r="O43" s="81"/>
      <x:c r="P43" s="81"/>
      <x:c r="Q43" s="81"/>
      <x:c r="R43" s="81"/>
      <x:c r="S43" s="81"/>
      <x:c r="T43" s="81"/>
      <x:c r="U43" s="81"/>
      <x:c r="V43" s="81"/>
      <x:c r="W43" s="81"/>
      <x:c r="X43" s="81"/>
      <x:c r="Y43" s="81"/>
      <x:c r="Z43" s="81"/>
    </x:row>
    <x:row r="44">
      <x:c r="A44" s="81"/>
      <x:c r="B44" s="81"/>
      <x:c r="C44" s="81"/>
      <x:c r="D44" s="81"/>
      <x:c r="E44" s="81"/>
      <x:c r="F44" s="81"/>
      <x:c r="G44" s="81"/>
      <x:c r="H44" s="81"/>
      <x:c r="I44" s="81"/>
      <x:c r="J44" s="81"/>
      <x:c r="K44" s="81"/>
      <x:c r="L44" s="81"/>
      <x:c r="M44" s="81"/>
      <x:c r="N44" s="81"/>
      <x:c r="O44" s="81"/>
      <x:c r="P44" s="81"/>
      <x:c r="Q44" s="81"/>
      <x:c r="R44" s="81"/>
      <x:c r="S44" s="81"/>
      <x:c r="T44" s="81"/>
      <x:c r="U44" s="81"/>
      <x:c r="V44" s="81"/>
      <x:c r="W44" s="81"/>
      <x:c r="X44" s="81"/>
      <x:c r="Y44" s="81"/>
      <x:c r="Z44" s="81"/>
    </x:row>
    <x:row r="45">
      <x:c r="A45" s="81"/>
      <x:c r="B45" s="81"/>
      <x:c r="C45" s="81"/>
      <x:c r="D45" s="81"/>
      <x:c r="E45" s="81"/>
      <x:c r="F45" s="81"/>
      <x:c r="G45" s="81"/>
      <x:c r="H45" s="81"/>
      <x:c r="I45" s="81"/>
      <x:c r="J45" s="81"/>
      <x:c r="K45" s="81"/>
      <x:c r="L45" s="81"/>
      <x:c r="M45" s="81"/>
      <x:c r="N45" s="81"/>
      <x:c r="O45" s="81"/>
      <x:c r="P45" s="81"/>
      <x:c r="Q45" s="81"/>
      <x:c r="R45" s="81"/>
      <x:c r="S45" s="81"/>
      <x:c r="T45" s="81"/>
      <x:c r="U45" s="81"/>
      <x:c r="V45" s="81"/>
      <x:c r="W45" s="81"/>
      <x:c r="X45" s="81"/>
      <x:c r="Y45" s="81"/>
      <x:c r="Z45" s="81"/>
    </x:row>
    <x:row r="46">
      <x:c r="A46" s="81"/>
      <x:c r="B46" s="81"/>
      <x:c r="C46" s="81"/>
      <x:c r="D46" s="81"/>
      <x:c r="E46" s="81"/>
      <x:c r="F46" s="81"/>
      <x:c r="G46" s="81"/>
      <x:c r="H46" s="81"/>
      <x:c r="I46" s="81"/>
      <x:c r="J46" s="81"/>
      <x:c r="K46" s="81"/>
      <x:c r="L46" s="81"/>
      <x:c r="M46" s="81"/>
      <x:c r="N46" s="81"/>
      <x:c r="O46" s="81"/>
      <x:c r="P46" s="81"/>
      <x:c r="Q46" s="81"/>
      <x:c r="R46" s="81"/>
      <x:c r="S46" s="81"/>
      <x:c r="T46" s="81"/>
      <x:c r="U46" s="81"/>
      <x:c r="V46" s="81"/>
      <x:c r="W46" s="81"/>
      <x:c r="X46" s="81"/>
      <x:c r="Y46" s="81"/>
      <x:c r="Z46" s="81"/>
    </x:row>
    <x:row r="47">
      <x:c r="A47" s="81"/>
      <x:c r="B47" s="81"/>
      <x:c r="C47" s="81"/>
      <x:c r="D47" s="81"/>
      <x:c r="E47" s="81"/>
      <x:c r="F47" s="81"/>
      <x:c r="G47" s="81"/>
      <x:c r="H47" s="81"/>
      <x:c r="I47" s="81"/>
      <x:c r="J47" s="81"/>
      <x:c r="K47" s="81"/>
      <x:c r="L47" s="81"/>
      <x:c r="M47" s="81"/>
      <x:c r="N47" s="81"/>
      <x:c r="O47" s="81"/>
      <x:c r="P47" s="81"/>
      <x:c r="Q47" s="81"/>
      <x:c r="R47" s="81"/>
      <x:c r="S47" s="81"/>
      <x:c r="T47" s="81"/>
      <x:c r="U47" s="81"/>
      <x:c r="V47" s="81"/>
      <x:c r="W47" s="81"/>
      <x:c r="X47" s="81"/>
      <x:c r="Y47" s="81"/>
      <x:c r="Z47" s="81"/>
    </x:row>
    <x:row r="48">
      <x:c r="A48" s="81"/>
      <x:c r="B48" s="81"/>
      <x:c r="C48" s="81"/>
      <x:c r="D48" s="81"/>
      <x:c r="E48" s="81"/>
      <x:c r="F48" s="81"/>
      <x:c r="G48" s="81"/>
      <x:c r="H48" s="81"/>
      <x:c r="I48" s="81"/>
      <x:c r="J48" s="81"/>
      <x:c r="K48" s="81"/>
      <x:c r="L48" s="81"/>
      <x:c r="M48" s="81"/>
      <x:c r="N48" s="81"/>
      <x:c r="O48" s="81"/>
      <x:c r="P48" s="81"/>
      <x:c r="Q48" s="81"/>
      <x:c r="R48" s="81"/>
      <x:c r="S48" s="81"/>
      <x:c r="T48" s="81"/>
      <x:c r="U48" s="81"/>
      <x:c r="V48" s="81"/>
      <x:c r="W48" s="81"/>
      <x:c r="X48" s="81"/>
      <x:c r="Y48" s="81"/>
      <x:c r="Z48" s="81"/>
    </x:row>
    <x:row r="49">
      <x:c r="A49" s="81"/>
      <x:c r="B49" s="81"/>
      <x:c r="C49" s="81"/>
      <x:c r="D49" s="81"/>
      <x:c r="E49" s="81"/>
      <x:c r="F49" s="81"/>
      <x:c r="G49" s="81"/>
      <x:c r="H49" s="81"/>
      <x:c r="I49" s="81"/>
      <x:c r="J49" s="81"/>
      <x:c r="K49" s="81"/>
      <x:c r="L49" s="81"/>
      <x:c r="M49" s="81"/>
      <x:c r="N49" s="81"/>
      <x:c r="O49" s="81"/>
      <x:c r="P49" s="81"/>
      <x:c r="Q49" s="81"/>
      <x:c r="R49" s="81"/>
      <x:c r="S49" s="81"/>
      <x:c r="T49" s="81"/>
      <x:c r="U49" s="81"/>
      <x:c r="V49" s="81"/>
      <x:c r="W49" s="81"/>
      <x:c r="X49" s="81"/>
      <x:c r="Y49" s="81"/>
      <x:c r="Z49" s="81"/>
    </x:row>
    <x:row r="50">
      <x:c r="A50" s="81"/>
      <x:c r="B50" s="81"/>
      <x:c r="C50" s="81"/>
      <x:c r="D50" s="81"/>
      <x:c r="E50" s="81"/>
      <x:c r="F50" s="81"/>
      <x:c r="G50" s="81"/>
      <x:c r="H50" s="81"/>
      <x:c r="I50" s="81"/>
      <x:c r="J50" s="81"/>
      <x:c r="K50" s="81"/>
      <x:c r="L50" s="81"/>
      <x:c r="M50" s="81"/>
      <x:c r="N50" s="81"/>
      <x:c r="O50" s="81"/>
      <x:c r="P50" s="81"/>
      <x:c r="Q50" s="81"/>
      <x:c r="R50" s="81"/>
      <x:c r="S50" s="81"/>
      <x:c r="T50" s="81"/>
      <x:c r="U50" s="81"/>
      <x:c r="V50" s="81"/>
      <x:c r="W50" s="81"/>
      <x:c r="X50" s="81"/>
      <x:c r="Y50" s="81"/>
      <x:c r="Z50" s="81"/>
    </x:row>
    <x:row r="51">
      <x:c r="A51" s="81"/>
      <x:c r="B51" s="81"/>
      <x:c r="C51" s="81"/>
      <x:c r="D51" s="81"/>
      <x:c r="E51" s="81"/>
      <x:c r="F51" s="81"/>
      <x:c r="G51" s="81"/>
      <x:c r="H51" s="81"/>
      <x:c r="I51" s="81"/>
      <x:c r="J51" s="81"/>
      <x:c r="K51" s="81"/>
      <x:c r="L51" s="81"/>
      <x:c r="M51" s="81"/>
      <x:c r="N51" s="81"/>
      <x:c r="O51" s="81"/>
      <x:c r="P51" s="81"/>
      <x:c r="Q51" s="81"/>
      <x:c r="R51" s="81"/>
      <x:c r="S51" s="81"/>
      <x:c r="T51" s="81"/>
      <x:c r="U51" s="81"/>
      <x:c r="V51" s="81"/>
      <x:c r="W51" s="81"/>
      <x:c r="X51" s="81"/>
      <x:c r="Y51" s="81"/>
      <x:c r="Z51" s="81"/>
    </x:row>
    <x:row r="52">
      <x:c r="A52" s="81"/>
      <x:c r="B52" s="81"/>
      <x:c r="C52" s="81"/>
      <x:c r="D52" s="81"/>
      <x:c r="E52" s="81"/>
      <x:c r="F52" s="81"/>
      <x:c r="G52" s="81"/>
      <x:c r="H52" s="81"/>
      <x:c r="I52" s="81"/>
      <x:c r="J52" s="81"/>
      <x:c r="K52" s="81"/>
      <x:c r="L52" s="81"/>
      <x:c r="M52" s="81"/>
      <x:c r="N52" s="81"/>
      <x:c r="O52" s="81"/>
      <x:c r="P52" s="81"/>
      <x:c r="Q52" s="81"/>
      <x:c r="R52" s="81"/>
      <x:c r="S52" s="81"/>
      <x:c r="T52" s="81"/>
      <x:c r="U52" s="81"/>
      <x:c r="V52" s="81"/>
      <x:c r="W52" s="81"/>
      <x:c r="X52" s="81"/>
      <x:c r="Y52" s="81"/>
      <x:c r="Z52" s="81"/>
    </x:row>
    <x:row r="53">
      <x:c r="A53" s="81"/>
      <x:c r="B53" s="81"/>
      <x:c r="C53" s="81"/>
      <x:c r="D53" s="81"/>
      <x:c r="E53" s="81"/>
      <x:c r="F53" s="81"/>
      <x:c r="G53" s="81"/>
      <x:c r="H53" s="81"/>
      <x:c r="I53" s="81"/>
      <x:c r="J53" s="81"/>
      <x:c r="K53" s="81"/>
      <x:c r="L53" s="81"/>
      <x:c r="M53" s="81"/>
      <x:c r="N53" s="81"/>
      <x:c r="O53" s="81"/>
      <x:c r="P53" s="81"/>
      <x:c r="Q53" s="81"/>
      <x:c r="R53" s="81"/>
      <x:c r="S53" s="81"/>
      <x:c r="T53" s="81"/>
      <x:c r="U53" s="81"/>
      <x:c r="V53" s="81"/>
      <x:c r="W53" s="81"/>
      <x:c r="X53" s="81"/>
      <x:c r="Y53" s="81"/>
      <x:c r="Z53" s="81"/>
    </x:row>
    <x:row r="54">
      <x:c r="A54" s="81"/>
      <x:c r="B54" s="81"/>
      <x:c r="C54" s="81"/>
      <x:c r="D54" s="81"/>
      <x:c r="E54" s="81"/>
      <x:c r="F54" s="81"/>
      <x:c r="G54" s="81"/>
      <x:c r="H54" s="81"/>
      <x:c r="I54" s="81"/>
      <x:c r="J54" s="81"/>
      <x:c r="K54" s="81"/>
      <x:c r="L54" s="81"/>
      <x:c r="M54" s="81"/>
      <x:c r="N54" s="81"/>
      <x:c r="O54" s="81"/>
      <x:c r="P54" s="81"/>
      <x:c r="Q54" s="81"/>
      <x:c r="R54" s="81"/>
      <x:c r="S54" s="81"/>
      <x:c r="T54" s="81"/>
      <x:c r="U54" s="81"/>
      <x:c r="V54" s="81"/>
      <x:c r="W54" s="81"/>
      <x:c r="X54" s="81"/>
      <x:c r="Y54" s="81"/>
      <x:c r="Z54" s="81"/>
    </x:row>
    <x:row r="55">
      <x:c r="A55" s="81"/>
      <x:c r="B55" s="81"/>
      <x:c r="C55" s="81"/>
      <x:c r="D55" s="81"/>
      <x:c r="E55" s="81"/>
      <x:c r="F55" s="81"/>
      <x:c r="G55" s="81"/>
      <x:c r="H55" s="81"/>
      <x:c r="I55" s="81"/>
      <x:c r="J55" s="81"/>
      <x:c r="K55" s="81"/>
      <x:c r="L55" s="81"/>
      <x:c r="M55" s="81"/>
      <x:c r="N55" s="81"/>
      <x:c r="O55" s="81"/>
      <x:c r="P55" s="81"/>
      <x:c r="Q55" s="81"/>
      <x:c r="R55" s="81"/>
      <x:c r="S55" s="81"/>
      <x:c r="T55" s="81"/>
      <x:c r="U55" s="81"/>
      <x:c r="V55" s="81"/>
      <x:c r="W55" s="81"/>
      <x:c r="X55" s="81"/>
      <x:c r="Y55" s="81"/>
      <x:c r="Z55" s="81"/>
    </x:row>
    <x:row r="56">
      <x:c r="A56" s="81"/>
      <x:c r="B56" s="81"/>
      <x:c r="C56" s="81"/>
      <x:c r="D56" s="81"/>
      <x:c r="E56" s="81"/>
      <x:c r="F56" s="81"/>
      <x:c r="G56" s="81"/>
      <x:c r="H56" s="81"/>
      <x:c r="I56" s="81"/>
      <x:c r="J56" s="81"/>
      <x:c r="K56" s="81"/>
      <x:c r="L56" s="81"/>
      <x:c r="M56" s="81"/>
      <x:c r="N56" s="81"/>
      <x:c r="O56" s="81"/>
      <x:c r="P56" s="81"/>
      <x:c r="Q56" s="81"/>
      <x:c r="R56" s="81"/>
      <x:c r="S56" s="81"/>
      <x:c r="T56" s="81"/>
      <x:c r="U56" s="81"/>
      <x:c r="V56" s="81"/>
      <x:c r="W56" s="81"/>
      <x:c r="X56" s="81"/>
      <x:c r="Y56" s="81"/>
      <x:c r="Z56" s="81"/>
    </x:row>
    <x:row r="57">
      <x:c r="A57" s="81"/>
      <x:c r="B57" s="81"/>
      <x:c r="C57" s="81"/>
      <x:c r="D57" s="81"/>
      <x:c r="E57" s="81"/>
      <x:c r="F57" s="81"/>
      <x:c r="G57" s="81"/>
      <x:c r="H57" s="81"/>
      <x:c r="I57" s="81"/>
      <x:c r="J57" s="81"/>
      <x:c r="K57" s="81"/>
      <x:c r="L57" s="81"/>
      <x:c r="M57" s="81"/>
      <x:c r="N57" s="81"/>
      <x:c r="O57" s="81"/>
      <x:c r="P57" s="81"/>
      <x:c r="Q57" s="81"/>
      <x:c r="R57" s="81"/>
      <x:c r="S57" s="81"/>
      <x:c r="T57" s="81"/>
      <x:c r="U57" s="81"/>
      <x:c r="V57" s="81"/>
      <x:c r="W57" s="81"/>
      <x:c r="X57" s="81"/>
      <x:c r="Y57" s="81"/>
      <x:c r="Z57" s="81"/>
    </x:row>
    <x:row r="58">
      <x:c r="A58" s="81"/>
      <x:c r="B58" s="81"/>
      <x:c r="C58" s="81"/>
      <x:c r="D58" s="81"/>
      <x:c r="E58" s="81"/>
      <x:c r="F58" s="81"/>
      <x:c r="G58" s="81"/>
      <x:c r="H58" s="81"/>
      <x:c r="I58" s="81"/>
      <x:c r="J58" s="81"/>
      <x:c r="K58" s="81"/>
      <x:c r="L58" s="81"/>
      <x:c r="M58" s="81"/>
      <x:c r="N58" s="81"/>
      <x:c r="O58" s="81"/>
      <x:c r="P58" s="81"/>
      <x:c r="Q58" s="81"/>
      <x:c r="R58" s="81"/>
      <x:c r="S58" s="81"/>
      <x:c r="T58" s="81"/>
      <x:c r="U58" s="81"/>
      <x:c r="V58" s="81"/>
      <x:c r="W58" s="81"/>
      <x:c r="X58" s="81"/>
      <x:c r="Y58" s="81"/>
      <x:c r="Z58" s="81"/>
    </x:row>
    <x:row r="59">
      <x:c r="A59" s="81"/>
      <x:c r="B59" s="81"/>
      <x:c r="C59" s="81"/>
      <x:c r="D59" s="81"/>
      <x:c r="E59" s="81"/>
      <x:c r="F59" s="81"/>
      <x:c r="G59" s="81"/>
      <x:c r="H59" s="81"/>
      <x:c r="I59" s="81"/>
      <x:c r="J59" s="81"/>
      <x:c r="K59" s="81"/>
      <x:c r="L59" s="81"/>
      <x:c r="M59" s="81"/>
      <x:c r="N59" s="81"/>
      <x:c r="O59" s="81"/>
      <x:c r="P59" s="81"/>
      <x:c r="Q59" s="81"/>
      <x:c r="R59" s="81"/>
      <x:c r="S59" s="81"/>
      <x:c r="T59" s="81"/>
      <x:c r="U59" s="81"/>
      <x:c r="V59" s="81"/>
      <x:c r="W59" s="81"/>
      <x:c r="X59" s="81"/>
      <x:c r="Y59" s="81"/>
      <x:c r="Z59" s="81"/>
    </x:row>
    <x:row r="60">
      <x:c r="A60" s="81"/>
      <x:c r="B60" s="81"/>
      <x:c r="C60" s="81"/>
      <x:c r="D60" s="81"/>
      <x:c r="E60" s="81"/>
      <x:c r="F60" s="81"/>
      <x:c r="G60" s="81"/>
      <x:c r="H60" s="81"/>
      <x:c r="I60" s="81"/>
      <x:c r="J60" s="81"/>
      <x:c r="K60" s="81"/>
      <x:c r="L60" s="81"/>
      <x:c r="M60" s="81"/>
      <x:c r="N60" s="81"/>
      <x:c r="O60" s="81"/>
      <x:c r="P60" s="81"/>
      <x:c r="Q60" s="81"/>
      <x:c r="R60" s="81"/>
      <x:c r="S60" s="81"/>
      <x:c r="T60" s="81"/>
      <x:c r="U60" s="81"/>
      <x:c r="V60" s="81"/>
      <x:c r="W60" s="81"/>
      <x:c r="X60" s="81"/>
      <x:c r="Y60" s="81"/>
      <x:c r="Z60" s="81"/>
    </x:row>
    <x:row r="61">
      <x:c r="A61" s="81"/>
      <x:c r="B61" s="81"/>
      <x:c r="C61" s="81"/>
      <x:c r="D61" s="81"/>
      <x:c r="E61" s="81"/>
      <x:c r="F61" s="81"/>
      <x:c r="G61" s="81"/>
      <x:c r="H61" s="81"/>
      <x:c r="I61" s="81"/>
      <x:c r="J61" s="81"/>
      <x:c r="K61" s="81"/>
      <x:c r="L61" s="81"/>
      <x:c r="M61" s="81"/>
      <x:c r="N61" s="81"/>
      <x:c r="O61" s="81"/>
      <x:c r="P61" s="81"/>
      <x:c r="Q61" s="81"/>
      <x:c r="R61" s="81"/>
      <x:c r="S61" s="81"/>
      <x:c r="T61" s="81"/>
      <x:c r="U61" s="81"/>
      <x:c r="V61" s="81"/>
      <x:c r="W61" s="81"/>
      <x:c r="X61" s="81"/>
      <x:c r="Y61" s="81"/>
      <x:c r="Z61" s="81"/>
    </x:row>
    <x:row r="62">
      <x:c r="A62" s="81"/>
      <x:c r="B62" s="81"/>
      <x:c r="C62" s="81"/>
      <x:c r="D62" s="81"/>
      <x:c r="E62" s="81"/>
      <x:c r="F62" s="81"/>
      <x:c r="G62" s="81"/>
      <x:c r="H62" s="81"/>
      <x:c r="I62" s="81"/>
      <x:c r="J62" s="81"/>
      <x:c r="K62" s="81"/>
      <x:c r="L62" s="81"/>
      <x:c r="M62" s="81"/>
      <x:c r="N62" s="81"/>
      <x:c r="O62" s="81"/>
      <x:c r="P62" s="81"/>
      <x:c r="Q62" s="81"/>
      <x:c r="R62" s="81"/>
      <x:c r="S62" s="81"/>
      <x:c r="T62" s="81"/>
      <x:c r="U62" s="81"/>
      <x:c r="V62" s="81"/>
      <x:c r="W62" s="81"/>
      <x:c r="X62" s="81"/>
      <x:c r="Y62" s="81"/>
      <x:c r="Z62" s="81"/>
    </x:row>
    <x:row r="63">
      <x:c r="A63" s="81"/>
      <x:c r="B63" s="81"/>
      <x:c r="C63" s="81"/>
      <x:c r="D63" s="81"/>
      <x:c r="E63" s="81"/>
      <x:c r="F63" s="81"/>
      <x:c r="G63" s="81"/>
      <x:c r="H63" s="81"/>
      <x:c r="I63" s="81"/>
      <x:c r="J63" s="81"/>
      <x:c r="K63" s="81"/>
      <x:c r="L63" s="81"/>
      <x:c r="M63" s="81"/>
      <x:c r="N63" s="81"/>
      <x:c r="O63" s="81"/>
      <x:c r="P63" s="81"/>
      <x:c r="Q63" s="81"/>
      <x:c r="R63" s="81"/>
      <x:c r="S63" s="81"/>
      <x:c r="T63" s="81"/>
      <x:c r="U63" s="81"/>
      <x:c r="V63" s="81"/>
      <x:c r="W63" s="81"/>
      <x:c r="X63" s="81"/>
      <x:c r="Y63" s="81"/>
      <x:c r="Z63" s="81"/>
    </x:row>
    <x:row r="64">
      <x:c r="A64" s="81"/>
      <x:c r="B64" s="81"/>
      <x:c r="C64" s="81"/>
      <x:c r="D64" s="81"/>
      <x:c r="E64" s="81"/>
      <x:c r="F64" s="81"/>
      <x:c r="G64" s="81"/>
      <x:c r="H64" s="81"/>
      <x:c r="I64" s="81"/>
      <x:c r="J64" s="81"/>
      <x:c r="K64" s="81"/>
      <x:c r="L64" s="81"/>
      <x:c r="M64" s="81"/>
      <x:c r="N64" s="81"/>
      <x:c r="O64" s="81"/>
      <x:c r="P64" s="81"/>
      <x:c r="Q64" s="81"/>
      <x:c r="R64" s="81"/>
      <x:c r="S64" s="81"/>
      <x:c r="T64" s="81"/>
      <x:c r="U64" s="81"/>
      <x:c r="V64" s="81"/>
      <x:c r="W64" s="81"/>
      <x:c r="X64" s="81"/>
      <x:c r="Y64" s="81"/>
      <x:c r="Z64" s="81"/>
    </x:row>
    <x:row r="65">
      <x:c r="A65" s="81"/>
      <x:c r="B65" s="81"/>
      <x:c r="C65" s="81"/>
      <x:c r="D65" s="81"/>
      <x:c r="E65" s="81"/>
      <x:c r="F65" s="81"/>
      <x:c r="G65" s="81"/>
      <x:c r="H65" s="81"/>
      <x:c r="I65" s="81"/>
      <x:c r="J65" s="81"/>
      <x:c r="K65" s="81"/>
      <x:c r="L65" s="81"/>
      <x:c r="M65" s="81"/>
      <x:c r="N65" s="81"/>
      <x:c r="O65" s="81"/>
      <x:c r="P65" s="81"/>
      <x:c r="Q65" s="81"/>
      <x:c r="R65" s="81"/>
      <x:c r="S65" s="81"/>
      <x:c r="T65" s="81"/>
      <x:c r="U65" s="81"/>
      <x:c r="V65" s="81"/>
      <x:c r="W65" s="81"/>
      <x:c r="X65" s="81"/>
      <x:c r="Y65" s="81"/>
      <x:c r="Z65" s="81"/>
    </x:row>
    <x:row r="66">
      <x:c r="A66" s="81"/>
      <x:c r="B66" s="81"/>
      <x:c r="C66" s="81"/>
      <x:c r="D66" s="81"/>
      <x:c r="E66" s="81"/>
      <x:c r="F66" s="81"/>
      <x:c r="G66" s="81"/>
      <x:c r="H66" s="81"/>
      <x:c r="I66" s="81"/>
      <x:c r="J66" s="81"/>
      <x:c r="K66" s="81"/>
      <x:c r="L66" s="81"/>
      <x:c r="M66" s="81"/>
      <x:c r="N66" s="81"/>
      <x:c r="O66" s="81"/>
      <x:c r="P66" s="81"/>
      <x:c r="Q66" s="81"/>
      <x:c r="R66" s="81"/>
      <x:c r="S66" s="81"/>
      <x:c r="T66" s="81"/>
      <x:c r="U66" s="81"/>
      <x:c r="V66" s="81"/>
      <x:c r="W66" s="81"/>
      <x:c r="X66" s="81"/>
      <x:c r="Y66" s="81"/>
      <x:c r="Z66" s="81"/>
    </x:row>
    <x:row r="67">
      <x:c r="A67" s="81"/>
      <x:c r="B67" s="81"/>
      <x:c r="C67" s="81"/>
      <x:c r="D67" s="81"/>
      <x:c r="E67" s="81"/>
      <x:c r="F67" s="81"/>
      <x:c r="G67" s="81"/>
      <x:c r="H67" s="81"/>
      <x:c r="I67" s="81"/>
      <x:c r="J67" s="81"/>
      <x:c r="K67" s="81"/>
      <x:c r="L67" s="81"/>
      <x:c r="M67" s="81"/>
      <x:c r="N67" s="81"/>
      <x:c r="O67" s="81"/>
      <x:c r="P67" s="81"/>
      <x:c r="Q67" s="81"/>
      <x:c r="R67" s="81"/>
      <x:c r="S67" s="81"/>
      <x:c r="T67" s="81"/>
      <x:c r="U67" s="81"/>
      <x:c r="V67" s="81"/>
      <x:c r="W67" s="81"/>
      <x:c r="X67" s="81"/>
      <x:c r="Y67" s="81"/>
      <x:c r="Z67" s="81"/>
    </x:row>
    <x:row r="68">
      <x:c r="A68" s="81"/>
      <x:c r="B68" s="81"/>
      <x:c r="C68" s="81"/>
      <x:c r="D68" s="81"/>
      <x:c r="E68" s="81"/>
      <x:c r="F68" s="81"/>
      <x:c r="G68" s="81"/>
      <x:c r="H68" s="81"/>
      <x:c r="I68" s="81"/>
      <x:c r="J68" s="81"/>
      <x:c r="K68" s="81"/>
      <x:c r="L68" s="81"/>
      <x:c r="M68" s="81"/>
      <x:c r="N68" s="81"/>
      <x:c r="O68" s="81"/>
      <x:c r="P68" s="81"/>
      <x:c r="Q68" s="81"/>
      <x:c r="R68" s="81"/>
      <x:c r="S68" s="81"/>
      <x:c r="T68" s="81"/>
      <x:c r="U68" s="81"/>
      <x:c r="V68" s="81"/>
      <x:c r="W68" s="81"/>
      <x:c r="X68" s="81"/>
      <x:c r="Y68" s="81"/>
      <x:c r="Z68" s="81"/>
    </x:row>
    <x:row r="69">
      <x:c r="A69" s="81"/>
      <x:c r="B69" s="81"/>
      <x:c r="C69" s="81"/>
      <x:c r="D69" s="81"/>
      <x:c r="E69" s="81"/>
      <x:c r="F69" s="81"/>
      <x:c r="G69" s="81"/>
      <x:c r="H69" s="81"/>
      <x:c r="I69" s="81"/>
      <x:c r="J69" s="81"/>
      <x:c r="K69" s="81"/>
      <x:c r="L69" s="81"/>
      <x:c r="M69" s="81"/>
      <x:c r="N69" s="81"/>
      <x:c r="O69" s="81"/>
      <x:c r="P69" s="81"/>
      <x:c r="Q69" s="81"/>
      <x:c r="R69" s="81"/>
      <x:c r="S69" s="81"/>
      <x:c r="T69" s="81"/>
      <x:c r="U69" s="81"/>
      <x:c r="V69" s="81"/>
      <x:c r="W69" s="81"/>
      <x:c r="X69" s="81"/>
      <x:c r="Y69" s="81"/>
      <x:c r="Z69" s="81"/>
    </x:row>
    <x:row r="70">
      <x:c r="A70" s="81"/>
      <x:c r="B70" s="81"/>
      <x:c r="C70" s="81"/>
      <x:c r="D70" s="81"/>
      <x:c r="E70" s="81"/>
      <x:c r="F70" s="81"/>
      <x:c r="G70" s="81"/>
      <x:c r="H70" s="81"/>
      <x:c r="I70" s="81"/>
      <x:c r="J70" s="81"/>
      <x:c r="K70" s="81"/>
      <x:c r="L70" s="81"/>
      <x:c r="M70" s="81"/>
      <x:c r="N70" s="81"/>
      <x:c r="O70" s="81"/>
      <x:c r="P70" s="81"/>
      <x:c r="Q70" s="81"/>
      <x:c r="R70" s="81"/>
      <x:c r="S70" s="81"/>
      <x:c r="T70" s="81"/>
      <x:c r="U70" s="81"/>
      <x:c r="V70" s="81"/>
      <x:c r="W70" s="81"/>
      <x:c r="X70" s="81"/>
      <x:c r="Y70" s="81"/>
      <x:c r="Z70" s="81"/>
    </x:row>
    <x:row r="71">
      <x:c r="A71" s="81"/>
      <x:c r="B71" s="81"/>
      <x:c r="C71" s="81"/>
      <x:c r="D71" s="81"/>
      <x:c r="E71" s="81"/>
      <x:c r="F71" s="81"/>
      <x:c r="G71" s="81"/>
      <x:c r="H71" s="81"/>
      <x:c r="I71" s="81"/>
      <x:c r="J71" s="81"/>
      <x:c r="K71" s="81"/>
      <x:c r="L71" s="81"/>
      <x:c r="M71" s="81"/>
      <x:c r="N71" s="81"/>
      <x:c r="O71" s="81"/>
      <x:c r="P71" s="81"/>
      <x:c r="Q71" s="81"/>
      <x:c r="R71" s="81"/>
      <x:c r="S71" s="81"/>
      <x:c r="T71" s="81"/>
      <x:c r="U71" s="81"/>
      <x:c r="V71" s="81"/>
      <x:c r="W71" s="81"/>
      <x:c r="X71" s="81"/>
      <x:c r="Y71" s="81"/>
      <x:c r="Z71" s="81"/>
    </x:row>
    <x:row r="72">
      <x:c r="A72" s="81"/>
      <x:c r="B72" s="81"/>
      <x:c r="C72" s="81"/>
      <x:c r="D72" s="81"/>
      <x:c r="E72" s="81"/>
      <x:c r="F72" s="81"/>
      <x:c r="G72" s="81"/>
      <x:c r="H72" s="81"/>
      <x:c r="I72" s="81"/>
      <x:c r="J72" s="81"/>
      <x:c r="K72" s="81"/>
      <x:c r="L72" s="81"/>
      <x:c r="M72" s="81"/>
      <x:c r="N72" s="81"/>
      <x:c r="O72" s="81"/>
      <x:c r="P72" s="81"/>
      <x:c r="Q72" s="81"/>
      <x:c r="R72" s="81"/>
      <x:c r="S72" s="81"/>
      <x:c r="T72" s="81"/>
      <x:c r="U72" s="81"/>
      <x:c r="V72" s="81"/>
      <x:c r="W72" s="81"/>
      <x:c r="X72" s="81"/>
      <x:c r="Y72" s="81"/>
      <x:c r="Z72" s="81"/>
    </x:row>
    <x:row r="73">
      <x:c r="A73" s="81"/>
      <x:c r="B73" s="81"/>
      <x:c r="C73" s="81"/>
      <x:c r="D73" s="81"/>
      <x:c r="E73" s="81"/>
      <x:c r="F73" s="81"/>
      <x:c r="G73" s="81"/>
      <x:c r="H73" s="81"/>
      <x:c r="I73" s="81"/>
      <x:c r="J73" s="81"/>
      <x:c r="K73" s="81"/>
      <x:c r="L73" s="81"/>
      <x:c r="M73" s="81"/>
      <x:c r="N73" s="81"/>
      <x:c r="O73" s="81"/>
      <x:c r="P73" s="81"/>
      <x:c r="Q73" s="81"/>
      <x:c r="R73" s="81"/>
      <x:c r="S73" s="81"/>
      <x:c r="T73" s="81"/>
      <x:c r="U73" s="81"/>
      <x:c r="V73" s="81"/>
      <x:c r="W73" s="81"/>
      <x:c r="X73" s="81"/>
      <x:c r="Y73" s="81"/>
      <x:c r="Z73" s="81"/>
    </x:row>
    <x:row r="74">
      <x:c r="A74" s="81"/>
      <x:c r="B74" s="81"/>
      <x:c r="C74" s="81"/>
      <x:c r="D74" s="81"/>
      <x:c r="E74" s="81"/>
      <x:c r="F74" s="81"/>
      <x:c r="G74" s="81"/>
      <x:c r="H74" s="81"/>
      <x:c r="I74" s="81"/>
      <x:c r="J74" s="81"/>
      <x:c r="K74" s="81"/>
      <x:c r="L74" s="81"/>
      <x:c r="M74" s="81"/>
      <x:c r="N74" s="81"/>
      <x:c r="O74" s="81"/>
      <x:c r="P74" s="81"/>
      <x:c r="Q74" s="81"/>
      <x:c r="R74" s="81"/>
      <x:c r="S74" s="81"/>
      <x:c r="T74" s="81"/>
      <x:c r="U74" s="81"/>
      <x:c r="V74" s="81"/>
      <x:c r="W74" s="81"/>
      <x:c r="X74" s="81"/>
      <x:c r="Y74" s="81"/>
      <x:c r="Z74" s="81"/>
    </x:row>
    <x:row r="75">
      <x:c r="A75" s="81"/>
      <x:c r="B75" s="81"/>
      <x:c r="C75" s="81"/>
      <x:c r="D75" s="81"/>
      <x:c r="E75" s="81"/>
      <x:c r="F75" s="81"/>
      <x:c r="G75" s="81"/>
      <x:c r="H75" s="81"/>
      <x:c r="I75" s="81"/>
      <x:c r="J75" s="81"/>
      <x:c r="K75" s="81"/>
      <x:c r="L75" s="81"/>
      <x:c r="M75" s="81"/>
      <x:c r="N75" s="81"/>
      <x:c r="O75" s="81"/>
      <x:c r="P75" s="81"/>
      <x:c r="Q75" s="81"/>
      <x:c r="R75" s="81"/>
      <x:c r="S75" s="81"/>
      <x:c r="T75" s="81"/>
      <x:c r="U75" s="81"/>
      <x:c r="V75" s="81"/>
      <x:c r="W75" s="81"/>
      <x:c r="X75" s="81"/>
      <x:c r="Y75" s="81"/>
      <x:c r="Z75" s="81"/>
    </x:row>
    <x:row r="76">
      <x:c r="A76" s="81"/>
      <x:c r="B76" s="81"/>
      <x:c r="C76" s="81"/>
      <x:c r="D76" s="81"/>
      <x:c r="E76" s="81"/>
      <x:c r="F76" s="81"/>
      <x:c r="G76" s="81"/>
      <x:c r="H76" s="81"/>
      <x:c r="I76" s="81"/>
      <x:c r="J76" s="81"/>
      <x:c r="K76" s="81"/>
      <x:c r="L76" s="81"/>
      <x:c r="M76" s="81"/>
      <x:c r="N76" s="81"/>
      <x:c r="O76" s="81"/>
      <x:c r="P76" s="81"/>
      <x:c r="Q76" s="81"/>
      <x:c r="R76" s="81"/>
      <x:c r="S76" s="81"/>
      <x:c r="T76" s="81"/>
      <x:c r="U76" s="81"/>
      <x:c r="V76" s="81"/>
      <x:c r="W76" s="81"/>
      <x:c r="X76" s="81"/>
      <x:c r="Y76" s="81"/>
      <x:c r="Z76" s="81"/>
    </x:row>
    <x:row r="77">
      <x:c r="A77" s="81"/>
      <x:c r="B77" s="81"/>
      <x:c r="C77" s="81"/>
      <x:c r="D77" s="81"/>
      <x:c r="E77" s="81"/>
      <x:c r="F77" s="81"/>
      <x:c r="G77" s="81"/>
      <x:c r="H77" s="81"/>
      <x:c r="I77" s="81"/>
      <x:c r="J77" s="81"/>
      <x:c r="K77" s="81"/>
      <x:c r="L77" s="81"/>
      <x:c r="M77" s="81"/>
      <x:c r="N77" s="81"/>
      <x:c r="O77" s="81"/>
      <x:c r="P77" s="81"/>
      <x:c r="Q77" s="81"/>
      <x:c r="R77" s="81"/>
      <x:c r="S77" s="81"/>
      <x:c r="T77" s="81"/>
      <x:c r="U77" s="81"/>
      <x:c r="V77" s="81"/>
      <x:c r="W77" s="81"/>
      <x:c r="X77" s="81"/>
      <x:c r="Y77" s="81"/>
      <x:c r="Z77" s="81"/>
    </x:row>
    <x:row r="78">
      <x:c r="A78" s="81"/>
      <x:c r="B78" s="81"/>
      <x:c r="C78" s="81"/>
      <x:c r="D78" s="81"/>
      <x:c r="E78" s="81"/>
      <x:c r="F78" s="81"/>
      <x:c r="G78" s="81"/>
      <x:c r="H78" s="81"/>
      <x:c r="I78" s="81"/>
      <x:c r="J78" s="81"/>
      <x:c r="K78" s="81"/>
      <x:c r="L78" s="81"/>
      <x:c r="M78" s="81"/>
      <x:c r="N78" s="81"/>
      <x:c r="O78" s="81"/>
      <x:c r="P78" s="81"/>
      <x:c r="Q78" s="81"/>
      <x:c r="R78" s="81"/>
      <x:c r="S78" s="81"/>
      <x:c r="T78" s="81"/>
      <x:c r="U78" s="81"/>
      <x:c r="V78" s="81"/>
      <x:c r="W78" s="81"/>
      <x:c r="X78" s="81"/>
      <x:c r="Y78" s="81"/>
      <x:c r="Z78" s="81"/>
    </x:row>
    <x:row r="79">
      <x:c r="A79" s="81"/>
      <x:c r="B79" s="81"/>
      <x:c r="C79" s="81"/>
      <x:c r="D79" s="81"/>
      <x:c r="E79" s="81"/>
      <x:c r="F79" s="81"/>
      <x:c r="G79" s="81"/>
      <x:c r="H79" s="81"/>
      <x:c r="I79" s="81"/>
      <x:c r="J79" s="81"/>
      <x:c r="K79" s="81"/>
      <x:c r="L79" s="81"/>
      <x:c r="M79" s="81"/>
      <x:c r="N79" s="81"/>
      <x:c r="O79" s="81"/>
      <x:c r="P79" s="81"/>
      <x:c r="Q79" s="81"/>
      <x:c r="R79" s="81"/>
      <x:c r="S79" s="81"/>
      <x:c r="T79" s="81"/>
      <x:c r="U79" s="81"/>
      <x:c r="V79" s="81"/>
      <x:c r="W79" s="81"/>
      <x:c r="X79" s="81"/>
      <x:c r="Y79" s="81"/>
      <x:c r="Z79" s="81"/>
    </x:row>
    <x:row r="80">
      <x:c r="A80" s="81"/>
      <x:c r="B80" s="81"/>
      <x:c r="C80" s="81"/>
      <x:c r="D80" s="81"/>
      <x:c r="E80" s="81"/>
      <x:c r="F80" s="81"/>
      <x:c r="G80" s="81"/>
      <x:c r="H80" s="81"/>
      <x:c r="I80" s="81"/>
      <x:c r="J80" s="81"/>
      <x:c r="K80" s="81"/>
      <x:c r="L80" s="81"/>
      <x:c r="M80" s="81"/>
      <x:c r="N80" s="81"/>
      <x:c r="O80" s="81"/>
      <x:c r="P80" s="81"/>
      <x:c r="Q80" s="81"/>
      <x:c r="R80" s="81"/>
      <x:c r="S80" s="81"/>
      <x:c r="T80" s="81"/>
      <x:c r="U80" s="81"/>
      <x:c r="V80" s="81"/>
      <x:c r="W80" s="81"/>
      <x:c r="X80" s="81"/>
      <x:c r="Y80" s="81"/>
      <x:c r="Z80" s="81"/>
    </x:row>
    <x:row r="81">
      <x:c r="A81" s="81"/>
      <x:c r="B81" s="81"/>
      <x:c r="C81" s="81"/>
      <x:c r="D81" s="81"/>
      <x:c r="E81" s="81"/>
      <x:c r="F81" s="81"/>
      <x:c r="G81" s="81"/>
      <x:c r="H81" s="81"/>
      <x:c r="I81" s="81"/>
      <x:c r="J81" s="81"/>
      <x:c r="K81" s="81"/>
      <x:c r="L81" s="81"/>
      <x:c r="M81" s="81"/>
      <x:c r="N81" s="81"/>
      <x:c r="O81" s="81"/>
      <x:c r="P81" s="81"/>
      <x:c r="Q81" s="81"/>
      <x:c r="R81" s="81"/>
      <x:c r="S81" s="81"/>
      <x:c r="T81" s="81"/>
      <x:c r="U81" s="81"/>
      <x:c r="V81" s="81"/>
      <x:c r="W81" s="81"/>
      <x:c r="X81" s="81"/>
      <x:c r="Y81" s="81"/>
      <x:c r="Z81" s="81"/>
    </x:row>
    <x:row r="82">
      <x:c r="A82" s="81"/>
      <x:c r="B82" s="81"/>
      <x:c r="C82" s="81"/>
      <x:c r="D82" s="81"/>
      <x:c r="E82" s="81"/>
      <x:c r="F82" s="81"/>
      <x:c r="G82" s="81"/>
      <x:c r="H82" s="81"/>
      <x:c r="I82" s="81"/>
      <x:c r="J82" s="81"/>
      <x:c r="K82" s="81"/>
      <x:c r="L82" s="81"/>
      <x:c r="M82" s="81"/>
      <x:c r="N82" s="81"/>
      <x:c r="O82" s="81"/>
      <x:c r="P82" s="81"/>
      <x:c r="Q82" s="81"/>
      <x:c r="R82" s="81"/>
      <x:c r="S82" s="81"/>
      <x:c r="T82" s="81"/>
      <x:c r="U82" s="81"/>
      <x:c r="V82" s="81"/>
      <x:c r="W82" s="81"/>
      <x:c r="X82" s="81"/>
      <x:c r="Y82" s="81"/>
      <x:c r="Z82" s="81"/>
    </x:row>
    <x:row r="83">
      <x:c r="A83" s="81"/>
      <x:c r="B83" s="81"/>
      <x:c r="C83" s="81"/>
      <x:c r="D83" s="81"/>
      <x:c r="E83" s="81"/>
      <x:c r="F83" s="81"/>
      <x:c r="G83" s="81"/>
      <x:c r="H83" s="81"/>
      <x:c r="I83" s="81"/>
      <x:c r="J83" s="81"/>
      <x:c r="K83" s="81"/>
      <x:c r="L83" s="81"/>
      <x:c r="M83" s="81"/>
      <x:c r="N83" s="81"/>
      <x:c r="O83" s="81"/>
      <x:c r="P83" s="81"/>
      <x:c r="Q83" s="81"/>
      <x:c r="R83" s="81"/>
      <x:c r="S83" s="81"/>
      <x:c r="T83" s="81"/>
      <x:c r="U83" s="81"/>
      <x:c r="V83" s="81"/>
      <x:c r="W83" s="81"/>
      <x:c r="X83" s="81"/>
      <x:c r="Y83" s="81"/>
      <x:c r="Z83" s="81"/>
    </x:row>
    <x:row r="84">
      <x:c r="A84" s="81"/>
      <x:c r="B84" s="81"/>
      <x:c r="C84" s="81"/>
      <x:c r="D84" s="81"/>
      <x:c r="E84" s="81"/>
      <x:c r="F84" s="81"/>
      <x:c r="G84" s="81"/>
      <x:c r="H84" s="81"/>
      <x:c r="I84" s="81"/>
      <x:c r="J84" s="81"/>
      <x:c r="K84" s="81"/>
      <x:c r="L84" s="81"/>
      <x:c r="M84" s="81"/>
      <x:c r="N84" s="81"/>
      <x:c r="O84" s="81"/>
      <x:c r="P84" s="81"/>
      <x:c r="Q84" s="81"/>
      <x:c r="R84" s="81"/>
      <x:c r="S84" s="81"/>
      <x:c r="T84" s="81"/>
      <x:c r="U84" s="81"/>
      <x:c r="V84" s="81"/>
      <x:c r="W84" s="81"/>
      <x:c r="X84" s="81"/>
      <x:c r="Y84" s="81"/>
      <x:c r="Z84" s="81"/>
    </x:row>
    <x:row r="85">
      <x:c r="A85" s="81"/>
      <x:c r="B85" s="81"/>
      <x:c r="C85" s="81"/>
      <x:c r="D85" s="81"/>
      <x:c r="E85" s="81"/>
      <x:c r="F85" s="81"/>
      <x:c r="G85" s="81"/>
      <x:c r="H85" s="81"/>
      <x:c r="I85" s="81"/>
      <x:c r="J85" s="81"/>
      <x:c r="K85" s="81"/>
      <x:c r="L85" s="81"/>
      <x:c r="M85" s="81"/>
      <x:c r="N85" s="81"/>
      <x:c r="O85" s="81"/>
      <x:c r="P85" s="81"/>
      <x:c r="Q85" s="81"/>
      <x:c r="R85" s="81"/>
      <x:c r="S85" s="81"/>
      <x:c r="T85" s="81"/>
      <x:c r="U85" s="81"/>
      <x:c r="V85" s="81"/>
      <x:c r="W85" s="81"/>
      <x:c r="X85" s="81"/>
      <x:c r="Y85" s="81"/>
      <x:c r="Z85" s="81"/>
    </x:row>
    <x:row r="86">
      <x:c r="A86" s="81"/>
      <x:c r="B86" s="81"/>
      <x:c r="C86" s="81"/>
      <x:c r="D86" s="81"/>
      <x:c r="E86" s="81"/>
      <x:c r="F86" s="81"/>
      <x:c r="G86" s="81"/>
      <x:c r="H86" s="81"/>
      <x:c r="I86" s="81"/>
      <x:c r="J86" s="81"/>
      <x:c r="K86" s="81"/>
      <x:c r="L86" s="81"/>
      <x:c r="M86" s="81"/>
      <x:c r="N86" s="81"/>
      <x:c r="O86" s="81"/>
      <x:c r="P86" s="81"/>
      <x:c r="Q86" s="81"/>
      <x:c r="R86" s="81"/>
      <x:c r="S86" s="81"/>
      <x:c r="T86" s="81"/>
      <x:c r="U86" s="81"/>
      <x:c r="V86" s="81"/>
      <x:c r="W86" s="81"/>
      <x:c r="X86" s="81"/>
      <x:c r="Y86" s="81"/>
      <x:c r="Z86" s="81"/>
    </x:row>
    <x:row r="87">
      <x:c r="A87" s="81"/>
      <x:c r="B87" s="81"/>
      <x:c r="C87" s="81"/>
      <x:c r="D87" s="81"/>
      <x:c r="E87" s="81"/>
      <x:c r="F87" s="81"/>
      <x:c r="G87" s="81"/>
      <x:c r="H87" s="81"/>
      <x:c r="I87" s="81"/>
      <x:c r="J87" s="81"/>
      <x:c r="K87" s="81"/>
      <x:c r="L87" s="81"/>
      <x:c r="M87" s="81"/>
      <x:c r="N87" s="81"/>
      <x:c r="O87" s="81"/>
      <x:c r="P87" s="81"/>
      <x:c r="Q87" s="81"/>
      <x:c r="R87" s="81"/>
      <x:c r="S87" s="81"/>
      <x:c r="T87" s="81"/>
      <x:c r="U87" s="81"/>
      <x:c r="V87" s="81"/>
      <x:c r="W87" s="81"/>
      <x:c r="X87" s="81"/>
      <x:c r="Y87" s="81"/>
      <x:c r="Z87" s="81"/>
    </x:row>
    <x:row r="88">
      <x:c r="A88" s="81"/>
      <x:c r="B88" s="81"/>
      <x:c r="C88" s="81"/>
      <x:c r="D88" s="81"/>
      <x:c r="E88" s="81"/>
      <x:c r="F88" s="81"/>
      <x:c r="G88" s="81"/>
      <x:c r="H88" s="81"/>
      <x:c r="I88" s="81"/>
      <x:c r="J88" s="81"/>
      <x:c r="K88" s="81"/>
      <x:c r="L88" s="81"/>
      <x:c r="M88" s="81"/>
      <x:c r="N88" s="81"/>
      <x:c r="O88" s="81"/>
      <x:c r="P88" s="81"/>
      <x:c r="Q88" s="81"/>
      <x:c r="R88" s="81"/>
      <x:c r="S88" s="81"/>
      <x:c r="T88" s="81"/>
      <x:c r="U88" s="81"/>
      <x:c r="V88" s="81"/>
      <x:c r="W88" s="81"/>
      <x:c r="X88" s="81"/>
      <x:c r="Y88" s="81"/>
      <x:c r="Z88" s="81"/>
    </x:row>
    <x:row r="89">
      <x:c r="A89" s="81"/>
      <x:c r="B89" s="81"/>
      <x:c r="C89" s="81"/>
      <x:c r="D89" s="81"/>
      <x:c r="E89" s="81"/>
      <x:c r="F89" s="81"/>
      <x:c r="G89" s="81"/>
      <x:c r="H89" s="81"/>
      <x:c r="I89" s="81"/>
      <x:c r="J89" s="81"/>
      <x:c r="K89" s="81"/>
      <x:c r="L89" s="81"/>
      <x:c r="M89" s="81"/>
      <x:c r="N89" s="81"/>
      <x:c r="O89" s="81"/>
      <x:c r="P89" s="81"/>
      <x:c r="Q89" s="81"/>
      <x:c r="R89" s="81"/>
      <x:c r="S89" s="81"/>
      <x:c r="T89" s="81"/>
      <x:c r="U89" s="81"/>
      <x:c r="V89" s="81"/>
      <x:c r="W89" s="81"/>
      <x:c r="X89" s="81"/>
      <x:c r="Y89" s="81"/>
      <x:c r="Z89" s="81"/>
    </x:row>
    <x:row r="90">
      <x:c r="A90" s="81"/>
      <x:c r="B90" s="81"/>
      <x:c r="C90" s="81"/>
      <x:c r="D90" s="81"/>
      <x:c r="E90" s="81"/>
      <x:c r="F90" s="81"/>
      <x:c r="G90" s="81"/>
      <x:c r="H90" s="81"/>
      <x:c r="I90" s="81"/>
      <x:c r="J90" s="81"/>
      <x:c r="K90" s="81"/>
      <x:c r="L90" s="81"/>
      <x:c r="M90" s="81"/>
      <x:c r="N90" s="81"/>
      <x:c r="O90" s="81"/>
      <x:c r="P90" s="81"/>
      <x:c r="Q90" s="81"/>
      <x:c r="R90" s="81"/>
      <x:c r="S90" s="81"/>
      <x:c r="T90" s="81"/>
      <x:c r="U90" s="81"/>
      <x:c r="V90" s="81"/>
      <x:c r="W90" s="81"/>
      <x:c r="X90" s="81"/>
      <x:c r="Y90" s="81"/>
      <x:c r="Z90" s="81"/>
    </x:row>
    <x:row r="91">
      <x:c r="A91" s="81"/>
      <x:c r="B91" s="81"/>
      <x:c r="C91" s="81"/>
      <x:c r="D91" s="81"/>
      <x:c r="E91" s="81"/>
      <x:c r="F91" s="81"/>
      <x:c r="G91" s="81"/>
      <x:c r="H91" s="81"/>
      <x:c r="I91" s="81"/>
      <x:c r="J91" s="81"/>
      <x:c r="K91" s="81"/>
      <x:c r="L91" s="81"/>
      <x:c r="M91" s="81"/>
      <x:c r="N91" s="81"/>
      <x:c r="O91" s="81"/>
      <x:c r="P91" s="81"/>
      <x:c r="Q91" s="81"/>
      <x:c r="R91" s="81"/>
      <x:c r="S91" s="81"/>
      <x:c r="T91" s="81"/>
      <x:c r="U91" s="81"/>
      <x:c r="V91" s="81"/>
      <x:c r="W91" s="81"/>
      <x:c r="X91" s="81"/>
      <x:c r="Y91" s="81"/>
      <x:c r="Z91" s="81"/>
    </x:row>
    <x:row r="92">
      <x:c r="A92" s="81"/>
      <x:c r="B92" s="81"/>
      <x:c r="C92" s="81"/>
      <x:c r="D92" s="81"/>
      <x:c r="E92" s="81"/>
      <x:c r="F92" s="81"/>
      <x:c r="G92" s="81"/>
      <x:c r="H92" s="81"/>
      <x:c r="I92" s="81"/>
      <x:c r="J92" s="81"/>
      <x:c r="K92" s="81"/>
      <x:c r="L92" s="81"/>
      <x:c r="M92" s="81"/>
      <x:c r="N92" s="81"/>
      <x:c r="O92" s="81"/>
      <x:c r="P92" s="81"/>
      <x:c r="Q92" s="81"/>
      <x:c r="R92" s="81"/>
      <x:c r="S92" s="81"/>
      <x:c r="T92" s="81"/>
      <x:c r="U92" s="81"/>
      <x:c r="V92" s="81"/>
      <x:c r="W92" s="81"/>
      <x:c r="X92" s="81"/>
      <x:c r="Y92" s="81"/>
      <x:c r="Z92" s="81"/>
    </x:row>
    <x:row r="93">
      <x:c r="A93" s="81"/>
      <x:c r="B93" s="81"/>
      <x:c r="C93" s="81"/>
      <x:c r="D93" s="81"/>
      <x:c r="E93" s="81"/>
      <x:c r="F93" s="81"/>
      <x:c r="G93" s="81"/>
      <x:c r="H93" s="81"/>
      <x:c r="I93" s="81"/>
      <x:c r="J93" s="81"/>
      <x:c r="K93" s="81"/>
      <x:c r="L93" s="81"/>
      <x:c r="M93" s="81"/>
      <x:c r="N93" s="81"/>
      <x:c r="O93" s="81"/>
      <x:c r="P93" s="81"/>
      <x:c r="Q93" s="81"/>
      <x:c r="R93" s="81"/>
      <x:c r="S93" s="81"/>
      <x:c r="T93" s="81"/>
      <x:c r="U93" s="81"/>
      <x:c r="V93" s="81"/>
      <x:c r="W93" s="81"/>
      <x:c r="X93" s="81"/>
      <x:c r="Y93" s="81"/>
      <x:c r="Z93" s="81"/>
    </x:row>
    <x:row r="94">
      <x:c r="A94" s="81"/>
      <x:c r="B94" s="81"/>
      <x:c r="C94" s="81"/>
      <x:c r="D94" s="81"/>
      <x:c r="E94" s="81"/>
      <x:c r="F94" s="81"/>
      <x:c r="G94" s="81"/>
      <x:c r="H94" s="81"/>
      <x:c r="I94" s="81"/>
      <x:c r="J94" s="81"/>
      <x:c r="K94" s="81"/>
      <x:c r="L94" s="81"/>
      <x:c r="M94" s="81"/>
      <x:c r="N94" s="81"/>
      <x:c r="O94" s="81"/>
      <x:c r="P94" s="81"/>
      <x:c r="Q94" s="81"/>
      <x:c r="R94" s="81"/>
      <x:c r="S94" s="81"/>
      <x:c r="T94" s="81"/>
      <x:c r="U94" s="81"/>
      <x:c r="V94" s="81"/>
      <x:c r="W94" s="81"/>
      <x:c r="X94" s="81"/>
      <x:c r="Y94" s="81"/>
      <x:c r="Z94" s="81"/>
    </x:row>
    <x:row r="95">
      <x:c r="A95" s="81"/>
      <x:c r="B95" s="81"/>
      <x:c r="C95" s="81"/>
      <x:c r="D95" s="81"/>
      <x:c r="E95" s="81"/>
      <x:c r="F95" s="81"/>
      <x:c r="G95" s="81"/>
      <x:c r="H95" s="81"/>
      <x:c r="I95" s="81"/>
      <x:c r="J95" s="81"/>
      <x:c r="K95" s="81"/>
      <x:c r="L95" s="81"/>
      <x:c r="M95" s="81"/>
      <x:c r="N95" s="81"/>
      <x:c r="O95" s="81"/>
      <x:c r="P95" s="81"/>
      <x:c r="Q95" s="81"/>
      <x:c r="R95" s="81"/>
      <x:c r="S95" s="81"/>
      <x:c r="T95" s="81"/>
      <x:c r="U95" s="81"/>
      <x:c r="V95" s="81"/>
      <x:c r="W95" s="81"/>
      <x:c r="X95" s="81"/>
      <x:c r="Y95" s="81"/>
      <x:c r="Z95" s="81"/>
    </x:row>
    <x:row r="96">
      <x:c r="A96" s="81"/>
      <x:c r="B96" s="81"/>
      <x:c r="C96" s="81"/>
      <x:c r="D96" s="81"/>
      <x:c r="E96" s="81"/>
      <x:c r="F96" s="81"/>
      <x:c r="G96" s="81"/>
      <x:c r="H96" s="81"/>
      <x:c r="I96" s="81"/>
      <x:c r="J96" s="81"/>
      <x:c r="K96" s="81"/>
      <x:c r="L96" s="81"/>
      <x:c r="M96" s="81"/>
      <x:c r="N96" s="81"/>
      <x:c r="O96" s="81"/>
      <x:c r="P96" s="81"/>
      <x:c r="Q96" s="81"/>
      <x:c r="R96" s="81"/>
      <x:c r="S96" s="81"/>
      <x:c r="T96" s="81"/>
      <x:c r="U96" s="81"/>
      <x:c r="V96" s="81"/>
      <x:c r="W96" s="81"/>
      <x:c r="X96" s="81"/>
      <x:c r="Y96" s="81"/>
      <x:c r="Z96" s="81"/>
    </x:row>
    <x:row r="97">
      <x:c r="A97" s="81"/>
      <x:c r="B97" s="81"/>
      <x:c r="C97" s="81"/>
      <x:c r="D97" s="81"/>
      <x:c r="E97" s="81"/>
      <x:c r="F97" s="81"/>
      <x:c r="G97" s="81"/>
      <x:c r="H97" s="81"/>
      <x:c r="I97" s="81"/>
      <x:c r="J97" s="81"/>
      <x:c r="K97" s="81"/>
      <x:c r="L97" s="81"/>
      <x:c r="M97" s="81"/>
      <x:c r="N97" s="81"/>
      <x:c r="O97" s="81"/>
      <x:c r="P97" s="81"/>
      <x:c r="Q97" s="81"/>
      <x:c r="R97" s="81"/>
      <x:c r="S97" s="81"/>
      <x:c r="T97" s="81"/>
      <x:c r="U97" s="81"/>
      <x:c r="V97" s="81"/>
      <x:c r="W97" s="81"/>
      <x:c r="X97" s="81"/>
      <x:c r="Y97" s="81"/>
      <x:c r="Z97" s="81"/>
    </x:row>
    <x:row r="98">
      <x:c r="A98" s="81"/>
      <x:c r="B98" s="81"/>
      <x:c r="C98" s="81"/>
      <x:c r="D98" s="81"/>
      <x:c r="E98" s="81"/>
      <x:c r="F98" s="81"/>
      <x:c r="G98" s="81"/>
      <x:c r="H98" s="81"/>
      <x:c r="I98" s="81"/>
      <x:c r="J98" s="81"/>
      <x:c r="K98" s="81"/>
      <x:c r="L98" s="81"/>
      <x:c r="M98" s="81"/>
      <x:c r="N98" s="81"/>
      <x:c r="O98" s="81"/>
      <x:c r="P98" s="81"/>
      <x:c r="Q98" s="81"/>
      <x:c r="R98" s="81"/>
      <x:c r="S98" s="81"/>
      <x:c r="T98" s="81"/>
      <x:c r="U98" s="81"/>
      <x:c r="V98" s="81"/>
      <x:c r="W98" s="81"/>
      <x:c r="X98" s="81"/>
      <x:c r="Y98" s="81"/>
      <x:c r="Z98" s="81"/>
    </x:row>
    <x:row r="99">
      <x:c r="A99" s="81"/>
      <x:c r="B99" s="81"/>
      <x:c r="C99" s="81"/>
      <x:c r="D99" s="81"/>
      <x:c r="E99" s="81"/>
      <x:c r="F99" s="81"/>
      <x:c r="G99" s="81"/>
      <x:c r="H99" s="81"/>
      <x:c r="I99" s="81"/>
      <x:c r="J99" s="81"/>
      <x:c r="K99" s="81"/>
      <x:c r="L99" s="81"/>
      <x:c r="M99" s="81"/>
      <x:c r="N99" s="81"/>
      <x:c r="O99" s="81"/>
      <x:c r="P99" s="81"/>
      <x:c r="Q99" s="81"/>
      <x:c r="R99" s="81"/>
      <x:c r="S99" s="81"/>
      <x:c r="T99" s="81"/>
      <x:c r="U99" s="81"/>
      <x:c r="V99" s="81"/>
      <x:c r="W99" s="81"/>
      <x:c r="X99" s="81"/>
      <x:c r="Y99" s="81"/>
      <x:c r="Z99" s="81"/>
    </x:row>
    <x:row r="100">
      <x:c r="A100" s="81"/>
      <x:c r="B100" s="81"/>
      <x:c r="C100" s="81"/>
      <x:c r="D100" s="81"/>
      <x:c r="E100" s="81"/>
      <x:c r="F100" s="81"/>
      <x:c r="G100" s="81"/>
      <x:c r="H100" s="81"/>
      <x:c r="I100" s="81"/>
      <x:c r="J100" s="81"/>
      <x:c r="K100" s="81"/>
      <x:c r="L100" s="81"/>
      <x:c r="M100" s="81"/>
      <x:c r="N100" s="81"/>
      <x:c r="O100" s="81"/>
      <x:c r="P100" s="81"/>
      <x:c r="Q100" s="81"/>
      <x:c r="R100" s="81"/>
      <x:c r="S100" s="81"/>
      <x:c r="T100" s="81"/>
      <x:c r="U100" s="81"/>
      <x:c r="V100" s="81"/>
      <x:c r="W100" s="81"/>
      <x:c r="X100" s="81"/>
      <x:c r="Y100" s="81"/>
      <x:c r="Z100" s="81"/>
    </x:row>
    <x:row r="101">
      <x:c r="A101" s="81"/>
      <x:c r="B101" s="81"/>
      <x:c r="C101" s="81"/>
      <x:c r="D101" s="81"/>
      <x:c r="E101" s="81"/>
      <x:c r="F101" s="81"/>
      <x:c r="G101" s="81"/>
      <x:c r="H101" s="81"/>
      <x:c r="I101" s="81"/>
      <x:c r="J101" s="81"/>
      <x:c r="K101" s="81"/>
      <x:c r="L101" s="81"/>
      <x:c r="M101" s="81"/>
      <x:c r="N101" s="81"/>
      <x:c r="O101" s="81"/>
      <x:c r="P101" s="81"/>
      <x:c r="Q101" s="81"/>
      <x:c r="R101" s="81"/>
      <x:c r="S101" s="81"/>
      <x:c r="T101" s="81"/>
      <x:c r="U101" s="81"/>
      <x:c r="V101" s="81"/>
      <x:c r="W101" s="81"/>
      <x:c r="X101" s="81"/>
      <x:c r="Y101" s="81"/>
      <x:c r="Z101" s="81"/>
    </x:row>
    <x:row r="102">
      <x:c r="A102" s="81"/>
      <x:c r="B102" s="81"/>
      <x:c r="C102" s="81"/>
      <x:c r="D102" s="81"/>
      <x:c r="E102" s="81"/>
      <x:c r="F102" s="81"/>
      <x:c r="G102" s="81"/>
      <x:c r="H102" s="81"/>
      <x:c r="I102" s="81"/>
      <x:c r="J102" s="81"/>
      <x:c r="K102" s="81"/>
      <x:c r="L102" s="81"/>
      <x:c r="M102" s="81"/>
      <x:c r="N102" s="81"/>
      <x:c r="O102" s="81"/>
      <x:c r="P102" s="81"/>
      <x:c r="Q102" s="81"/>
      <x:c r="R102" s="81"/>
      <x:c r="S102" s="81"/>
      <x:c r="T102" s="81"/>
      <x:c r="U102" s="81"/>
      <x:c r="V102" s="81"/>
      <x:c r="W102" s="81"/>
      <x:c r="X102" s="81"/>
      <x:c r="Y102" s="81"/>
      <x:c r="Z102" s="81"/>
    </x:row>
    <x:row r="103">
      <x:c r="A103" s="81"/>
      <x:c r="B103" s="81"/>
      <x:c r="C103" s="81"/>
      <x:c r="D103" s="81"/>
      <x:c r="E103" s="81"/>
      <x:c r="F103" s="81"/>
      <x:c r="G103" s="81"/>
      <x:c r="H103" s="81"/>
      <x:c r="I103" s="81"/>
      <x:c r="J103" s="81"/>
      <x:c r="K103" s="81"/>
      <x:c r="L103" s="81"/>
      <x:c r="M103" s="81"/>
      <x:c r="N103" s="81"/>
      <x:c r="O103" s="81"/>
      <x:c r="P103" s="81"/>
      <x:c r="Q103" s="81"/>
      <x:c r="R103" s="81"/>
      <x:c r="S103" s="81"/>
      <x:c r="T103" s="81"/>
      <x:c r="U103" s="81"/>
      <x:c r="V103" s="81"/>
      <x:c r="W103" s="81"/>
      <x:c r="X103" s="81"/>
      <x:c r="Y103" s="81"/>
      <x:c r="Z103" s="81"/>
    </x:row>
    <x:row r="104">
      <x:c r="A104" s="81"/>
      <x:c r="B104" s="81"/>
      <x:c r="C104" s="81"/>
      <x:c r="D104" s="81"/>
      <x:c r="E104" s="81"/>
      <x:c r="F104" s="81"/>
      <x:c r="G104" s="81"/>
      <x:c r="H104" s="81"/>
      <x:c r="I104" s="81"/>
      <x:c r="J104" s="81"/>
      <x:c r="K104" s="81"/>
      <x:c r="L104" s="81"/>
      <x:c r="M104" s="81"/>
      <x:c r="N104" s="81"/>
      <x:c r="O104" s="81"/>
      <x:c r="P104" s="81"/>
      <x:c r="Q104" s="81"/>
      <x:c r="R104" s="81"/>
      <x:c r="S104" s="81"/>
      <x:c r="T104" s="81"/>
      <x:c r="U104" s="81"/>
      <x:c r="V104" s="81"/>
      <x:c r="W104" s="81"/>
      <x:c r="X104" s="81"/>
      <x:c r="Y104" s="81"/>
      <x:c r="Z104" s="81"/>
    </x:row>
    <x:row r="105">
      <x:c r="A105" s="81"/>
      <x:c r="B105" s="81"/>
      <x:c r="C105" s="81"/>
      <x:c r="D105" s="81"/>
      <x:c r="E105" s="81"/>
      <x:c r="F105" s="81"/>
      <x:c r="G105" s="81"/>
      <x:c r="H105" s="81"/>
      <x:c r="I105" s="81"/>
      <x:c r="J105" s="81"/>
      <x:c r="K105" s="81"/>
      <x:c r="L105" s="81"/>
      <x:c r="M105" s="81"/>
      <x:c r="N105" s="81"/>
      <x:c r="O105" s="81"/>
      <x:c r="P105" s="81"/>
      <x:c r="Q105" s="81"/>
      <x:c r="R105" s="81"/>
      <x:c r="S105" s="81"/>
      <x:c r="T105" s="81"/>
      <x:c r="U105" s="81"/>
      <x:c r="V105" s="81"/>
      <x:c r="W105" s="81"/>
      <x:c r="X105" s="81"/>
      <x:c r="Y105" s="81"/>
      <x:c r="Z105" s="81"/>
    </x:row>
    <x:row r="106">
      <x:c r="A106" s="81"/>
      <x:c r="B106" s="81"/>
      <x:c r="C106" s="81"/>
      <x:c r="D106" s="81"/>
      <x:c r="E106" s="81"/>
      <x:c r="F106" s="81"/>
      <x:c r="G106" s="81"/>
      <x:c r="H106" s="81"/>
      <x:c r="I106" s="81"/>
      <x:c r="J106" s="81"/>
      <x:c r="K106" s="81"/>
      <x:c r="L106" s="81"/>
      <x:c r="M106" s="81"/>
      <x:c r="N106" s="81"/>
      <x:c r="O106" s="81"/>
      <x:c r="P106" s="81"/>
      <x:c r="Q106" s="81"/>
      <x:c r="R106" s="81"/>
      <x:c r="S106" s="81"/>
      <x:c r="T106" s="81"/>
      <x:c r="U106" s="81"/>
      <x:c r="V106" s="81"/>
      <x:c r="W106" s="81"/>
      <x:c r="X106" s="81"/>
      <x:c r="Y106" s="81"/>
      <x:c r="Z106" s="81"/>
    </x:row>
    <x:row r="107">
      <x:c r="A107" s="81"/>
      <x:c r="B107" s="81"/>
      <x:c r="C107" s="81"/>
      <x:c r="D107" s="81"/>
      <x:c r="E107" s="81"/>
      <x:c r="F107" s="81"/>
      <x:c r="G107" s="81"/>
      <x:c r="H107" s="81"/>
      <x:c r="I107" s="81"/>
      <x:c r="J107" s="81"/>
      <x:c r="K107" s="81"/>
      <x:c r="L107" s="81"/>
      <x:c r="M107" s="81"/>
      <x:c r="N107" s="81"/>
      <x:c r="O107" s="81"/>
      <x:c r="P107" s="81"/>
      <x:c r="Q107" s="81"/>
      <x:c r="R107" s="81"/>
      <x:c r="S107" s="81"/>
      <x:c r="T107" s="81"/>
      <x:c r="U107" s="81"/>
      <x:c r="V107" s="81"/>
      <x:c r="W107" s="81"/>
      <x:c r="X107" s="81"/>
      <x:c r="Y107" s="81"/>
      <x:c r="Z107" s="81"/>
    </x:row>
    <x:row r="108">
      <x:c r="A108" s="81"/>
      <x:c r="B108" s="81"/>
      <x:c r="C108" s="81"/>
      <x:c r="D108" s="81"/>
      <x:c r="E108" s="81"/>
      <x:c r="F108" s="81"/>
      <x:c r="G108" s="81"/>
      <x:c r="H108" s="81"/>
      <x:c r="I108" s="81"/>
      <x:c r="J108" s="81"/>
      <x:c r="K108" s="81"/>
      <x:c r="L108" s="81"/>
      <x:c r="M108" s="81"/>
      <x:c r="N108" s="81"/>
      <x:c r="O108" s="81"/>
      <x:c r="P108" s="81"/>
      <x:c r="Q108" s="81"/>
      <x:c r="R108" s="81"/>
      <x:c r="S108" s="81"/>
      <x:c r="T108" s="81"/>
      <x:c r="U108" s="81"/>
      <x:c r="V108" s="81"/>
      <x:c r="W108" s="81"/>
      <x:c r="X108" s="81"/>
      <x:c r="Y108" s="81"/>
      <x:c r="Z108" s="81"/>
    </x:row>
    <x:row r="109">
      <x:c r="A109" s="81"/>
      <x:c r="B109" s="81"/>
      <x:c r="C109" s="81"/>
      <x:c r="D109" s="81"/>
      <x:c r="E109" s="81"/>
      <x:c r="F109" s="81"/>
      <x:c r="G109" s="81"/>
      <x:c r="H109" s="81"/>
      <x:c r="I109" s="81"/>
      <x:c r="J109" s="81"/>
      <x:c r="K109" s="81"/>
      <x:c r="L109" s="81"/>
      <x:c r="M109" s="81"/>
      <x:c r="N109" s="81"/>
      <x:c r="O109" s="81"/>
      <x:c r="P109" s="81"/>
      <x:c r="Q109" s="81"/>
      <x:c r="R109" s="81"/>
      <x:c r="S109" s="81"/>
      <x:c r="T109" s="81"/>
      <x:c r="U109" s="81"/>
      <x:c r="V109" s="81"/>
      <x:c r="W109" s="81"/>
      <x:c r="X109" s="81"/>
      <x:c r="Y109" s="81"/>
      <x:c r="Z109" s="81"/>
    </x:row>
    <x:row r="110">
      <x:c r="A110" s="81"/>
      <x:c r="B110" s="81"/>
      <x:c r="C110" s="81"/>
      <x:c r="D110" s="81"/>
      <x:c r="E110" s="81"/>
      <x:c r="F110" s="81"/>
      <x:c r="G110" s="81"/>
      <x:c r="H110" s="81"/>
      <x:c r="I110" s="81"/>
      <x:c r="J110" s="81"/>
      <x:c r="K110" s="81"/>
      <x:c r="L110" s="81"/>
      <x:c r="M110" s="81"/>
      <x:c r="N110" s="81"/>
      <x:c r="O110" s="81"/>
      <x:c r="P110" s="81"/>
      <x:c r="Q110" s="81"/>
      <x:c r="R110" s="81"/>
      <x:c r="S110" s="81"/>
      <x:c r="T110" s="81"/>
      <x:c r="U110" s="81"/>
      <x:c r="V110" s="81"/>
      <x:c r="W110" s="81"/>
      <x:c r="X110" s="81"/>
      <x:c r="Y110" s="81"/>
      <x:c r="Z110" s="81"/>
    </x:row>
    <x:row r="111">
      <x:c r="A111" s="81"/>
      <x:c r="B111" s="81"/>
      <x:c r="C111" s="81"/>
      <x:c r="D111" s="81"/>
      <x:c r="E111" s="81"/>
      <x:c r="F111" s="81"/>
      <x:c r="G111" s="81"/>
      <x:c r="H111" s="81"/>
      <x:c r="I111" s="81"/>
      <x:c r="J111" s="81"/>
      <x:c r="K111" s="81"/>
      <x:c r="L111" s="81"/>
      <x:c r="M111" s="81"/>
      <x:c r="N111" s="81"/>
      <x:c r="O111" s="81"/>
      <x:c r="P111" s="81"/>
      <x:c r="Q111" s="81"/>
      <x:c r="R111" s="81"/>
      <x:c r="S111" s="81"/>
      <x:c r="T111" s="81"/>
      <x:c r="U111" s="81"/>
      <x:c r="V111" s="81"/>
      <x:c r="W111" s="81"/>
      <x:c r="X111" s="81"/>
      <x:c r="Y111" s="81"/>
      <x:c r="Z111" s="81"/>
    </x:row>
    <x:row r="112">
      <x:c r="A112" s="81"/>
      <x:c r="B112" s="81"/>
      <x:c r="C112" s="81"/>
      <x:c r="D112" s="81"/>
      <x:c r="E112" s="81"/>
      <x:c r="F112" s="81"/>
      <x:c r="G112" s="81"/>
      <x:c r="H112" s="81"/>
      <x:c r="I112" s="81"/>
      <x:c r="J112" s="81"/>
      <x:c r="K112" s="81"/>
      <x:c r="L112" s="81"/>
      <x:c r="M112" s="81"/>
      <x:c r="N112" s="81"/>
      <x:c r="O112" s="81"/>
      <x:c r="P112" s="81"/>
      <x:c r="Q112" s="81"/>
      <x:c r="R112" s="81"/>
      <x:c r="S112" s="81"/>
      <x:c r="T112" s="81"/>
      <x:c r="U112" s="81"/>
      <x:c r="V112" s="81"/>
      <x:c r="W112" s="81"/>
      <x:c r="X112" s="81"/>
      <x:c r="Y112" s="81"/>
      <x:c r="Z112" s="81"/>
    </x:row>
    <x:row r="113">
      <x:c r="A113" s="81"/>
      <x:c r="B113" s="81"/>
      <x:c r="C113" s="81"/>
      <x:c r="D113" s="81"/>
      <x:c r="E113" s="81"/>
      <x:c r="F113" s="81"/>
      <x:c r="G113" s="81"/>
      <x:c r="H113" s="81"/>
      <x:c r="I113" s="81"/>
      <x:c r="J113" s="81"/>
      <x:c r="K113" s="81"/>
      <x:c r="L113" s="81"/>
      <x:c r="M113" s="81"/>
      <x:c r="N113" s="81"/>
      <x:c r="O113" s="81"/>
      <x:c r="P113" s="81"/>
      <x:c r="Q113" s="81"/>
      <x:c r="R113" s="81"/>
      <x:c r="S113" s="81"/>
      <x:c r="T113" s="81"/>
      <x:c r="U113" s="81"/>
      <x:c r="V113" s="81"/>
      <x:c r="W113" s="81"/>
      <x:c r="X113" s="81"/>
      <x:c r="Y113" s="81"/>
      <x:c r="Z113" s="81"/>
    </x:row>
    <x:row r="114">
      <x:c r="A114" s="81"/>
      <x:c r="B114" s="81"/>
      <x:c r="C114" s="81"/>
      <x:c r="D114" s="81"/>
      <x:c r="E114" s="81"/>
      <x:c r="F114" s="81"/>
      <x:c r="G114" s="81"/>
      <x:c r="H114" s="81"/>
      <x:c r="I114" s="81"/>
      <x:c r="J114" s="81"/>
      <x:c r="K114" s="81"/>
      <x:c r="L114" s="81"/>
      <x:c r="M114" s="81"/>
      <x:c r="N114" s="81"/>
      <x:c r="O114" s="81"/>
      <x:c r="P114" s="81"/>
      <x:c r="Q114" s="81"/>
      <x:c r="R114" s="81"/>
      <x:c r="S114" s="81"/>
      <x:c r="T114" s="81"/>
      <x:c r="U114" s="81"/>
      <x:c r="V114" s="81"/>
      <x:c r="W114" s="81"/>
      <x:c r="X114" s="81"/>
      <x:c r="Y114" s="81"/>
      <x:c r="Z114" s="81"/>
    </x:row>
    <x:row r="115">
      <x:c r="A115" s="81"/>
      <x:c r="B115" s="81"/>
      <x:c r="C115" s="81"/>
      <x:c r="D115" s="81"/>
      <x:c r="E115" s="81"/>
      <x:c r="F115" s="81"/>
      <x:c r="G115" s="81"/>
      <x:c r="H115" s="81"/>
      <x:c r="I115" s="81"/>
      <x:c r="J115" s="81"/>
      <x:c r="K115" s="81"/>
      <x:c r="L115" s="81"/>
      <x:c r="M115" s="81"/>
      <x:c r="N115" s="81"/>
      <x:c r="O115" s="81"/>
      <x:c r="P115" s="81"/>
      <x:c r="Q115" s="81"/>
      <x:c r="R115" s="81"/>
      <x:c r="S115" s="81"/>
      <x:c r="T115" s="81"/>
      <x:c r="U115" s="81"/>
      <x:c r="V115" s="81"/>
      <x:c r="W115" s="81"/>
      <x:c r="X115" s="81"/>
      <x:c r="Y115" s="81"/>
      <x:c r="Z115" s="81"/>
    </x:row>
    <x:row r="116">
      <x:c r="A116" s="81"/>
      <x:c r="B116" s="81"/>
      <x:c r="C116" s="81"/>
      <x:c r="D116" s="81"/>
      <x:c r="E116" s="81"/>
      <x:c r="F116" s="81"/>
      <x:c r="G116" s="81"/>
      <x:c r="H116" s="81"/>
      <x:c r="I116" s="81"/>
      <x:c r="J116" s="81"/>
      <x:c r="K116" s="81"/>
      <x:c r="L116" s="81"/>
      <x:c r="M116" s="81"/>
      <x:c r="N116" s="81"/>
      <x:c r="O116" s="81"/>
      <x:c r="P116" s="81"/>
      <x:c r="Q116" s="81"/>
      <x:c r="R116" s="81"/>
      <x:c r="S116" s="81"/>
      <x:c r="T116" s="81"/>
      <x:c r="U116" s="81"/>
      <x:c r="V116" s="81"/>
      <x:c r="W116" s="81"/>
      <x:c r="X116" s="81"/>
      <x:c r="Y116" s="81"/>
      <x:c r="Z116" s="81"/>
    </x:row>
    <x:row r="117">
      <x:c r="A117" s="81"/>
      <x:c r="B117" s="81"/>
      <x:c r="C117" s="81"/>
      <x:c r="D117" s="81"/>
      <x:c r="E117" s="81"/>
      <x:c r="F117" s="81"/>
      <x:c r="G117" s="81"/>
      <x:c r="H117" s="81"/>
      <x:c r="I117" s="81"/>
      <x:c r="J117" s="81"/>
      <x:c r="K117" s="81"/>
      <x:c r="L117" s="81"/>
      <x:c r="M117" s="81"/>
      <x:c r="N117" s="81"/>
      <x:c r="O117" s="81"/>
      <x:c r="P117" s="81"/>
      <x:c r="Q117" s="81"/>
      <x:c r="R117" s="81"/>
      <x:c r="S117" s="81"/>
      <x:c r="T117" s="81"/>
      <x:c r="U117" s="81"/>
      <x:c r="V117" s="81"/>
      <x:c r="W117" s="81"/>
      <x:c r="X117" s="81"/>
      <x:c r="Y117" s="81"/>
      <x:c r="Z117" s="81"/>
    </x:row>
    <x:row r="118">
      <x:c r="A118" s="81"/>
      <x:c r="B118" s="81"/>
      <x:c r="C118" s="81"/>
      <x:c r="D118" s="81"/>
      <x:c r="E118" s="81"/>
      <x:c r="F118" s="81"/>
      <x:c r="G118" s="81"/>
      <x:c r="H118" s="81"/>
      <x:c r="I118" s="81"/>
      <x:c r="J118" s="81"/>
      <x:c r="K118" s="81"/>
      <x:c r="L118" s="81"/>
      <x:c r="M118" s="81"/>
      <x:c r="N118" s="81"/>
      <x:c r="O118" s="81"/>
      <x:c r="P118" s="81"/>
      <x:c r="Q118" s="81"/>
      <x:c r="R118" s="81"/>
      <x:c r="S118" s="81"/>
      <x:c r="T118" s="81"/>
      <x:c r="U118" s="81"/>
      <x:c r="V118" s="81"/>
      <x:c r="W118" s="81"/>
      <x:c r="X118" s="81"/>
      <x:c r="Y118" s="81"/>
      <x:c r="Z118" s="81"/>
    </x:row>
    <x:row r="119">
      <x:c r="A119" s="81"/>
      <x:c r="B119" s="81"/>
      <x:c r="C119" s="81"/>
      <x:c r="D119" s="81"/>
      <x:c r="E119" s="81"/>
      <x:c r="F119" s="81"/>
      <x:c r="G119" s="81"/>
      <x:c r="H119" s="81"/>
      <x:c r="I119" s="81"/>
      <x:c r="J119" s="81"/>
      <x:c r="K119" s="81"/>
      <x:c r="L119" s="81"/>
      <x:c r="M119" s="81"/>
      <x:c r="N119" s="81"/>
      <x:c r="O119" s="81"/>
      <x:c r="P119" s="81"/>
      <x:c r="Q119" s="81"/>
      <x:c r="R119" s="81"/>
      <x:c r="S119" s="81"/>
      <x:c r="T119" s="81"/>
      <x:c r="U119" s="81"/>
      <x:c r="V119" s="81"/>
      <x:c r="W119" s="81"/>
      <x:c r="X119" s="81"/>
      <x:c r="Y119" s="81"/>
      <x:c r="Z119" s="81"/>
    </x:row>
    <x:row r="120">
      <x:c r="A120" s="81"/>
      <x:c r="B120" s="81"/>
      <x:c r="C120" s="81"/>
      <x:c r="D120" s="81"/>
      <x:c r="E120" s="81"/>
      <x:c r="F120" s="81"/>
      <x:c r="G120" s="81"/>
      <x:c r="H120" s="81"/>
      <x:c r="I120" s="81"/>
      <x:c r="J120" s="81"/>
      <x:c r="K120" s="81"/>
      <x:c r="L120" s="81"/>
      <x:c r="M120" s="81"/>
      <x:c r="N120" s="81"/>
      <x:c r="O120" s="81"/>
      <x:c r="P120" s="81"/>
      <x:c r="Q120" s="81"/>
      <x:c r="R120" s="81"/>
      <x:c r="S120" s="81"/>
      <x:c r="T120" s="81"/>
      <x:c r="U120" s="81"/>
      <x:c r="V120" s="81"/>
      <x:c r="W120" s="81"/>
      <x:c r="X120" s="81"/>
      <x:c r="Y120" s="81"/>
      <x:c r="Z120" s="81"/>
    </x:row>
    <x:row r="121">
      <x:c r="A121" s="81"/>
      <x:c r="B121" s="81"/>
      <x:c r="C121" s="81"/>
      <x:c r="D121" s="81"/>
      <x:c r="E121" s="81"/>
      <x:c r="F121" s="81"/>
      <x:c r="G121" s="81"/>
      <x:c r="H121" s="81"/>
      <x:c r="I121" s="81"/>
      <x:c r="J121" s="81"/>
      <x:c r="K121" s="81"/>
      <x:c r="L121" s="81"/>
      <x:c r="M121" s="81"/>
      <x:c r="N121" s="81"/>
      <x:c r="O121" s="81"/>
      <x:c r="P121" s="81"/>
      <x:c r="Q121" s="81"/>
      <x:c r="R121" s="81"/>
      <x:c r="S121" s="81"/>
      <x:c r="T121" s="81"/>
      <x:c r="U121" s="81"/>
      <x:c r="V121" s="81"/>
      <x:c r="W121" s="81"/>
      <x:c r="X121" s="81"/>
      <x:c r="Y121" s="81"/>
      <x:c r="Z121" s="81"/>
    </x:row>
    <x:row r="122">
      <x:c r="A122" s="81"/>
      <x:c r="B122" s="81"/>
      <x:c r="C122" s="81"/>
      <x:c r="D122" s="81"/>
      <x:c r="E122" s="81"/>
      <x:c r="F122" s="81"/>
      <x:c r="G122" s="81"/>
      <x:c r="H122" s="81"/>
      <x:c r="I122" s="81"/>
      <x:c r="J122" s="81"/>
      <x:c r="K122" s="81"/>
      <x:c r="L122" s="81"/>
      <x:c r="M122" s="81"/>
      <x:c r="N122" s="81"/>
      <x:c r="O122" s="81"/>
      <x:c r="P122" s="81"/>
      <x:c r="Q122" s="81"/>
      <x:c r="R122" s="81"/>
      <x:c r="S122" s="81"/>
      <x:c r="T122" s="81"/>
      <x:c r="U122" s="81"/>
      <x:c r="V122" s="81"/>
      <x:c r="W122" s="81"/>
      <x:c r="X122" s="81"/>
      <x:c r="Y122" s="81"/>
      <x:c r="Z122" s="81"/>
    </x:row>
    <x:row r="123">
      <x:c r="A123" s="81"/>
      <x:c r="B123" s="81"/>
      <x:c r="C123" s="81"/>
      <x:c r="D123" s="81"/>
      <x:c r="E123" s="81"/>
      <x:c r="F123" s="81"/>
      <x:c r="G123" s="81"/>
      <x:c r="H123" s="81"/>
      <x:c r="I123" s="81"/>
      <x:c r="J123" s="81"/>
      <x:c r="K123" s="81"/>
      <x:c r="L123" s="81"/>
      <x:c r="M123" s="81"/>
      <x:c r="N123" s="81"/>
      <x:c r="O123" s="81"/>
      <x:c r="P123" s="81"/>
      <x:c r="Q123" s="81"/>
      <x:c r="R123" s="81"/>
      <x:c r="S123" s="81"/>
      <x:c r="T123" s="81"/>
      <x:c r="U123" s="81"/>
      <x:c r="V123" s="81"/>
      <x:c r="W123" s="81"/>
      <x:c r="X123" s="81"/>
      <x:c r="Y123" s="81"/>
      <x:c r="Z123" s="81"/>
    </x:row>
    <x:row r="124">
      <x:c r="A124" s="81"/>
      <x:c r="B124" s="81"/>
      <x:c r="C124" s="81"/>
      <x:c r="D124" s="81"/>
      <x:c r="E124" s="81"/>
      <x:c r="F124" s="81"/>
      <x:c r="G124" s="81"/>
      <x:c r="H124" s="81"/>
      <x:c r="I124" s="81"/>
      <x:c r="J124" s="81"/>
      <x:c r="K124" s="81"/>
      <x:c r="L124" s="81"/>
      <x:c r="M124" s="81"/>
      <x:c r="N124" s="81"/>
      <x:c r="O124" s="81"/>
      <x:c r="P124" s="81"/>
      <x:c r="Q124" s="81"/>
      <x:c r="R124" s="81"/>
      <x:c r="S124" s="81"/>
      <x:c r="T124" s="81"/>
      <x:c r="U124" s="81"/>
      <x:c r="V124" s="81"/>
      <x:c r="W124" s="81"/>
      <x:c r="X124" s="81"/>
      <x:c r="Y124" s="81"/>
      <x:c r="Z124" s="81"/>
    </x:row>
    <x:row r="125">
      <x:c r="A125" s="81"/>
      <x:c r="B125" s="81"/>
      <x:c r="C125" s="81"/>
      <x:c r="D125" s="81"/>
      <x:c r="E125" s="81"/>
      <x:c r="F125" s="81"/>
      <x:c r="G125" s="81"/>
      <x:c r="H125" s="81"/>
      <x:c r="I125" s="81"/>
      <x:c r="J125" s="81"/>
      <x:c r="K125" s="81"/>
      <x:c r="L125" s="81"/>
      <x:c r="M125" s="81"/>
      <x:c r="N125" s="81"/>
      <x:c r="O125" s="81"/>
      <x:c r="P125" s="81"/>
      <x:c r="Q125" s="81"/>
      <x:c r="R125" s="81"/>
      <x:c r="S125" s="81"/>
      <x:c r="T125" s="81"/>
      <x:c r="U125" s="81"/>
      <x:c r="V125" s="81"/>
      <x:c r="W125" s="81"/>
      <x:c r="X125" s="81"/>
      <x:c r="Y125" s="81"/>
      <x:c r="Z125" s="81"/>
    </x:row>
    <x:row r="126">
      <x:c r="A126" s="81"/>
      <x:c r="B126" s="81"/>
      <x:c r="C126" s="81"/>
      <x:c r="D126" s="81"/>
      <x:c r="E126" s="81"/>
      <x:c r="F126" s="81"/>
      <x:c r="G126" s="81"/>
      <x:c r="H126" s="81"/>
      <x:c r="I126" s="81"/>
      <x:c r="J126" s="81"/>
      <x:c r="K126" s="81"/>
      <x:c r="L126" s="81"/>
      <x:c r="M126" s="81"/>
      <x:c r="N126" s="81"/>
      <x:c r="O126" s="81"/>
      <x:c r="P126" s="81"/>
      <x:c r="Q126" s="81"/>
      <x:c r="R126" s="81"/>
      <x:c r="S126" s="81"/>
      <x:c r="T126" s="81"/>
      <x:c r="U126" s="81"/>
      <x:c r="V126" s="81"/>
      <x:c r="W126" s="81"/>
      <x:c r="X126" s="81"/>
      <x:c r="Y126" s="81"/>
      <x:c r="Z126" s="81"/>
    </x:row>
    <x:row r="127">
      <x:c r="A127" s="81"/>
      <x:c r="B127" s="81"/>
      <x:c r="C127" s="81"/>
      <x:c r="D127" s="81"/>
      <x:c r="E127" s="81"/>
      <x:c r="F127" s="81"/>
      <x:c r="G127" s="81"/>
      <x:c r="H127" s="81"/>
      <x:c r="I127" s="81"/>
      <x:c r="J127" s="81"/>
      <x:c r="K127" s="81"/>
      <x:c r="L127" s="81"/>
      <x:c r="M127" s="81"/>
      <x:c r="N127" s="81"/>
      <x:c r="O127" s="81"/>
      <x:c r="P127" s="81"/>
      <x:c r="Q127" s="81"/>
      <x:c r="R127" s="81"/>
      <x:c r="S127" s="81"/>
      <x:c r="T127" s="81"/>
      <x:c r="U127" s="81"/>
      <x:c r="V127" s="81"/>
      <x:c r="W127" s="81"/>
      <x:c r="X127" s="81"/>
      <x:c r="Y127" s="81"/>
      <x:c r="Z127" s="81"/>
    </x:row>
    <x:row r="128">
      <x:c r="A128" s="81"/>
      <x:c r="B128" s="81"/>
      <x:c r="C128" s="81"/>
      <x:c r="D128" s="81"/>
      <x:c r="E128" s="81"/>
      <x:c r="F128" s="81"/>
      <x:c r="G128" s="81"/>
      <x:c r="H128" s="81"/>
      <x:c r="I128" s="81"/>
      <x:c r="J128" s="81"/>
      <x:c r="K128" s="81"/>
      <x:c r="L128" s="81"/>
      <x:c r="M128" s="81"/>
      <x:c r="N128" s="81"/>
      <x:c r="O128" s="81"/>
      <x:c r="P128" s="81"/>
      <x:c r="Q128" s="81"/>
      <x:c r="R128" s="81"/>
      <x:c r="S128" s="81"/>
      <x:c r="T128" s="81"/>
      <x:c r="U128" s="81"/>
      <x:c r="V128" s="81"/>
      <x:c r="W128" s="81"/>
      <x:c r="X128" s="81"/>
      <x:c r="Y128" s="81"/>
      <x:c r="Z128" s="81"/>
    </x:row>
    <x:row r="129">
      <x:c r="A129" s="81"/>
      <x:c r="B129" s="81"/>
      <x:c r="C129" s="81"/>
      <x:c r="D129" s="81"/>
      <x:c r="E129" s="81"/>
      <x:c r="F129" s="81"/>
      <x:c r="G129" s="81"/>
      <x:c r="H129" s="81"/>
      <x:c r="I129" s="81"/>
      <x:c r="J129" s="81"/>
      <x:c r="K129" s="81"/>
      <x:c r="L129" s="81"/>
      <x:c r="M129" s="81"/>
      <x:c r="N129" s="81"/>
      <x:c r="O129" s="81"/>
      <x:c r="P129" s="81"/>
      <x:c r="Q129" s="81"/>
      <x:c r="R129" s="81"/>
      <x:c r="S129" s="81"/>
      <x:c r="T129" s="81"/>
      <x:c r="U129" s="81"/>
      <x:c r="V129" s="81"/>
      <x:c r="W129" s="81"/>
      <x:c r="X129" s="81"/>
      <x:c r="Y129" s="81"/>
      <x:c r="Z129" s="81"/>
    </x:row>
    <x:row r="130">
      <x:c r="A130" s="81"/>
      <x:c r="B130" s="81"/>
      <x:c r="C130" s="81"/>
      <x:c r="D130" s="81"/>
      <x:c r="E130" s="81"/>
      <x:c r="F130" s="81"/>
      <x:c r="G130" s="81"/>
      <x:c r="H130" s="81"/>
      <x:c r="I130" s="81"/>
      <x:c r="J130" s="81"/>
      <x:c r="K130" s="81"/>
      <x:c r="L130" s="81"/>
      <x:c r="M130" s="81"/>
      <x:c r="N130" s="81"/>
      <x:c r="O130" s="81"/>
      <x:c r="P130" s="81"/>
      <x:c r="Q130" s="81"/>
      <x:c r="R130" s="81"/>
      <x:c r="S130" s="81"/>
      <x:c r="T130" s="81"/>
      <x:c r="U130" s="81"/>
      <x:c r="V130" s="81"/>
      <x:c r="W130" s="81"/>
      <x:c r="X130" s="81"/>
      <x:c r="Y130" s="81"/>
      <x:c r="Z130" s="81"/>
    </x:row>
    <x:row r="131">
      <x:c r="A131" s="81"/>
      <x:c r="B131" s="81"/>
      <x:c r="C131" s="81"/>
      <x:c r="D131" s="81"/>
      <x:c r="E131" s="81"/>
      <x:c r="F131" s="81"/>
      <x:c r="G131" s="81"/>
      <x:c r="H131" s="81"/>
      <x:c r="I131" s="81"/>
      <x:c r="J131" s="81"/>
      <x:c r="K131" s="81"/>
      <x:c r="L131" s="81"/>
      <x:c r="M131" s="81"/>
      <x:c r="N131" s="81"/>
      <x:c r="O131" s="81"/>
      <x:c r="P131" s="81"/>
      <x:c r="Q131" s="81"/>
      <x:c r="R131" s="81"/>
      <x:c r="S131" s="81"/>
      <x:c r="T131" s="81"/>
      <x:c r="U131" s="81"/>
      <x:c r="V131" s="81"/>
      <x:c r="W131" s="81"/>
      <x:c r="X131" s="81"/>
      <x:c r="Y131" s="81"/>
      <x:c r="Z131" s="81"/>
    </x:row>
    <x:row r="132">
      <x:c r="A132" s="81"/>
      <x:c r="B132" s="81"/>
      <x:c r="C132" s="81"/>
      <x:c r="D132" s="81"/>
      <x:c r="E132" s="81"/>
      <x:c r="F132" s="81"/>
      <x:c r="G132" s="81"/>
      <x:c r="H132" s="81"/>
      <x:c r="I132" s="81"/>
      <x:c r="J132" s="81"/>
      <x:c r="K132" s="81"/>
      <x:c r="L132" s="81"/>
      <x:c r="M132" s="81"/>
      <x:c r="N132" s="81"/>
      <x:c r="O132" s="81"/>
      <x:c r="P132" s="81"/>
      <x:c r="Q132" s="81"/>
      <x:c r="R132" s="81"/>
      <x:c r="S132" s="81"/>
      <x:c r="T132" s="81"/>
      <x:c r="U132" s="81"/>
      <x:c r="V132" s="81"/>
      <x:c r="W132" s="81"/>
      <x:c r="X132" s="81"/>
      <x:c r="Y132" s="81"/>
      <x:c r="Z132" s="81"/>
    </x:row>
    <x:row r="133">
      <x:c r="A133" s="81"/>
      <x:c r="B133" s="81"/>
      <x:c r="C133" s="81"/>
      <x:c r="D133" s="81"/>
      <x:c r="E133" s="81"/>
      <x:c r="F133" s="81"/>
      <x:c r="G133" s="81"/>
      <x:c r="H133" s="81"/>
      <x:c r="I133" s="81"/>
      <x:c r="J133" s="81"/>
      <x:c r="K133" s="81"/>
      <x:c r="L133" s="81"/>
      <x:c r="M133" s="81"/>
      <x:c r="N133" s="81"/>
      <x:c r="O133" s="81"/>
      <x:c r="P133" s="81"/>
      <x:c r="Q133" s="81"/>
      <x:c r="R133" s="81"/>
      <x:c r="S133" s="81"/>
      <x:c r="T133" s="81"/>
      <x:c r="U133" s="81"/>
      <x:c r="V133" s="81"/>
      <x:c r="W133" s="81"/>
      <x:c r="X133" s="81"/>
      <x:c r="Y133" s="81"/>
      <x:c r="Z133" s="81"/>
    </x:row>
    <x:row r="134">
      <x:c r="A134" s="81"/>
      <x:c r="B134" s="81"/>
      <x:c r="C134" s="81"/>
      <x:c r="D134" s="81"/>
      <x:c r="E134" s="81"/>
      <x:c r="F134" s="81"/>
      <x:c r="G134" s="81"/>
      <x:c r="H134" s="81"/>
      <x:c r="I134" s="81"/>
      <x:c r="J134" s="81"/>
      <x:c r="K134" s="81"/>
      <x:c r="L134" s="81"/>
      <x:c r="M134" s="81"/>
      <x:c r="N134" s="81"/>
      <x:c r="O134" s="81"/>
      <x:c r="P134" s="81"/>
      <x:c r="Q134" s="81"/>
      <x:c r="R134" s="81"/>
      <x:c r="S134" s="81"/>
      <x:c r="T134" s="81"/>
      <x:c r="U134" s="81"/>
      <x:c r="V134" s="81"/>
      <x:c r="W134" s="81"/>
      <x:c r="X134" s="81"/>
      <x:c r="Y134" s="81"/>
      <x:c r="Z134" s="81"/>
    </x:row>
    <x:row r="135">
      <x:c r="A135" s="81"/>
      <x:c r="B135" s="81"/>
      <x:c r="C135" s="81"/>
      <x:c r="D135" s="81"/>
      <x:c r="E135" s="81"/>
      <x:c r="F135" s="81"/>
      <x:c r="G135" s="81"/>
      <x:c r="H135" s="81"/>
      <x:c r="I135" s="81"/>
      <x:c r="J135" s="81"/>
      <x:c r="K135" s="81"/>
      <x:c r="L135" s="81"/>
      <x:c r="M135" s="81"/>
      <x:c r="N135" s="81"/>
      <x:c r="O135" s="81"/>
      <x:c r="P135" s="81"/>
      <x:c r="Q135" s="81"/>
      <x:c r="R135" s="81"/>
      <x:c r="S135" s="81"/>
      <x:c r="T135" s="81"/>
      <x:c r="U135" s="81"/>
      <x:c r="V135" s="81"/>
      <x:c r="W135" s="81"/>
      <x:c r="X135" s="81"/>
      <x:c r="Y135" s="81"/>
      <x:c r="Z135" s="81"/>
    </x:row>
    <x:row r="136">
      <x:c r="A136" s="81"/>
      <x:c r="B136" s="81"/>
      <x:c r="C136" s="81"/>
      <x:c r="D136" s="81"/>
      <x:c r="E136" s="81"/>
      <x:c r="F136" s="81"/>
      <x:c r="G136" s="81"/>
      <x:c r="H136" s="81"/>
      <x:c r="I136" s="81"/>
      <x:c r="J136" s="81"/>
      <x:c r="K136" s="81"/>
      <x:c r="L136" s="81"/>
      <x:c r="M136" s="81"/>
      <x:c r="N136" s="81"/>
      <x:c r="O136" s="81"/>
      <x:c r="P136" s="81"/>
      <x:c r="Q136" s="81"/>
      <x:c r="R136" s="81"/>
      <x:c r="S136" s="81"/>
      <x:c r="T136" s="81"/>
      <x:c r="U136" s="81"/>
      <x:c r="V136" s="81"/>
      <x:c r="W136" s="81"/>
      <x:c r="X136" s="81"/>
      <x:c r="Y136" s="81"/>
      <x:c r="Z136" s="81"/>
    </x:row>
    <x:row r="137">
      <x:c r="A137" s="81"/>
      <x:c r="B137" s="81"/>
      <x:c r="C137" s="81"/>
      <x:c r="D137" s="81"/>
      <x:c r="E137" s="81"/>
      <x:c r="F137" s="81"/>
      <x:c r="G137" s="81"/>
      <x:c r="H137" s="81"/>
      <x:c r="I137" s="81"/>
      <x:c r="J137" s="81"/>
      <x:c r="K137" s="81"/>
      <x:c r="L137" s="81"/>
      <x:c r="M137" s="81"/>
      <x:c r="N137" s="81"/>
      <x:c r="O137" s="81"/>
      <x:c r="P137" s="81"/>
      <x:c r="Q137" s="81"/>
      <x:c r="R137" s="81"/>
      <x:c r="S137" s="81"/>
      <x:c r="T137" s="81"/>
      <x:c r="U137" s="81"/>
      <x:c r="V137" s="81"/>
      <x:c r="W137" s="81"/>
      <x:c r="X137" s="81"/>
      <x:c r="Y137" s="81"/>
      <x:c r="Z137" s="81"/>
    </x:row>
    <x:row r="138">
      <x:c r="A138" s="81"/>
      <x:c r="B138" s="81"/>
      <x:c r="C138" s="81"/>
      <x:c r="D138" s="81"/>
      <x:c r="E138" s="81"/>
      <x:c r="F138" s="81"/>
      <x:c r="G138" s="81"/>
      <x:c r="H138" s="81"/>
      <x:c r="I138" s="81"/>
      <x:c r="J138" s="81"/>
      <x:c r="K138" s="81"/>
      <x:c r="L138" s="81"/>
      <x:c r="M138" s="81"/>
      <x:c r="N138" s="81"/>
      <x:c r="O138" s="81"/>
      <x:c r="P138" s="81"/>
      <x:c r="Q138" s="81"/>
      <x:c r="R138" s="81"/>
      <x:c r="S138" s="81"/>
      <x:c r="T138" s="81"/>
      <x:c r="U138" s="81"/>
      <x:c r="V138" s="81"/>
      <x:c r="W138" s="81"/>
      <x:c r="X138" s="81"/>
      <x:c r="Y138" s="81"/>
      <x:c r="Z138" s="81"/>
    </x:row>
    <x:row r="139">
      <x:c r="A139" s="81"/>
      <x:c r="B139" s="81"/>
      <x:c r="C139" s="81"/>
      <x:c r="D139" s="81"/>
      <x:c r="E139" s="81"/>
      <x:c r="F139" s="81"/>
      <x:c r="G139" s="81"/>
      <x:c r="H139" s="81"/>
      <x:c r="I139" s="81"/>
      <x:c r="J139" s="81"/>
      <x:c r="K139" s="81"/>
      <x:c r="L139" s="81"/>
      <x:c r="M139" s="81"/>
      <x:c r="N139" s="81"/>
      <x:c r="O139" s="81"/>
      <x:c r="P139" s="81"/>
      <x:c r="Q139" s="81"/>
      <x:c r="R139" s="81"/>
      <x:c r="S139" s="81"/>
      <x:c r="T139" s="81"/>
      <x:c r="U139" s="81"/>
      <x:c r="V139" s="81"/>
      <x:c r="W139" s="81"/>
      <x:c r="X139" s="81"/>
      <x:c r="Y139" s="81"/>
      <x:c r="Z139" s="81"/>
    </x:row>
    <x:row r="140">
      <x:c r="A140" s="81"/>
      <x:c r="B140" s="81"/>
      <x:c r="C140" s="81"/>
      <x:c r="D140" s="81"/>
      <x:c r="E140" s="81"/>
      <x:c r="F140" s="81"/>
      <x:c r="G140" s="81"/>
      <x:c r="H140" s="81"/>
      <x:c r="I140" s="81"/>
      <x:c r="J140" s="81"/>
      <x:c r="K140" s="81"/>
      <x:c r="L140" s="81"/>
      <x:c r="M140" s="81"/>
      <x:c r="N140" s="81"/>
      <x:c r="O140" s="81"/>
      <x:c r="P140" s="81"/>
      <x:c r="Q140" s="81"/>
      <x:c r="R140" s="81"/>
      <x:c r="S140" s="81"/>
      <x:c r="T140" s="81"/>
      <x:c r="U140" s="81"/>
      <x:c r="V140" s="81"/>
      <x:c r="W140" s="81"/>
      <x:c r="X140" s="81"/>
      <x:c r="Y140" s="81"/>
      <x:c r="Z140" s="81"/>
    </x:row>
    <x:row r="141">
      <x:c r="A141" s="81"/>
      <x:c r="B141" s="81"/>
      <x:c r="C141" s="81"/>
      <x:c r="D141" s="81"/>
      <x:c r="E141" s="81"/>
      <x:c r="F141" s="81"/>
      <x:c r="G141" s="81"/>
      <x:c r="H141" s="81"/>
      <x:c r="I141" s="81"/>
      <x:c r="J141" s="81"/>
      <x:c r="K141" s="81"/>
      <x:c r="L141" s="81"/>
      <x:c r="M141" s="81"/>
      <x:c r="N141" s="81"/>
      <x:c r="O141" s="81"/>
      <x:c r="P141" s="81"/>
      <x:c r="Q141" s="81"/>
      <x:c r="R141" s="81"/>
      <x:c r="S141" s="81"/>
      <x:c r="T141" s="81"/>
      <x:c r="U141" s="81"/>
      <x:c r="V141" s="81"/>
      <x:c r="W141" s="81"/>
      <x:c r="X141" s="81"/>
      <x:c r="Y141" s="81"/>
      <x:c r="Z141" s="81"/>
    </x:row>
    <x:row r="142">
      <x:c r="A142" s="81"/>
      <x:c r="B142" s="81"/>
      <x:c r="C142" s="81"/>
      <x:c r="D142" s="81"/>
      <x:c r="E142" s="81"/>
      <x:c r="F142" s="81"/>
      <x:c r="G142" s="81"/>
      <x:c r="H142" s="81"/>
      <x:c r="I142" s="81"/>
      <x:c r="J142" s="81"/>
      <x:c r="K142" s="81"/>
      <x:c r="L142" s="81"/>
      <x:c r="M142" s="81"/>
      <x:c r="N142" s="81"/>
      <x:c r="O142" s="81"/>
      <x:c r="P142" s="81"/>
      <x:c r="Q142" s="81"/>
      <x:c r="R142" s="81"/>
      <x:c r="S142" s="81"/>
      <x:c r="T142" s="81"/>
      <x:c r="U142" s="81"/>
      <x:c r="V142" s="81"/>
      <x:c r="W142" s="81"/>
      <x:c r="X142" s="81"/>
      <x:c r="Y142" s="81"/>
      <x:c r="Z142" s="81"/>
    </x:row>
    <x:row r="143">
      <x:c r="A143" s="81"/>
      <x:c r="B143" s="81"/>
      <x:c r="C143" s="81"/>
      <x:c r="D143" s="81"/>
      <x:c r="E143" s="81"/>
      <x:c r="F143" s="81"/>
      <x:c r="G143" s="81"/>
      <x:c r="H143" s="81"/>
      <x:c r="I143" s="81"/>
      <x:c r="J143" s="81"/>
      <x:c r="K143" s="81"/>
      <x:c r="L143" s="81"/>
      <x:c r="M143" s="81"/>
      <x:c r="N143" s="81"/>
      <x:c r="O143" s="81"/>
      <x:c r="P143" s="81"/>
      <x:c r="Q143" s="81"/>
      <x:c r="R143" s="81"/>
      <x:c r="S143" s="81"/>
      <x:c r="T143" s="81"/>
      <x:c r="U143" s="81"/>
      <x:c r="V143" s="81"/>
      <x:c r="W143" s="81"/>
      <x:c r="X143" s="81"/>
      <x:c r="Y143" s="81"/>
      <x:c r="Z143" s="81"/>
    </x:row>
    <x:row r="144">
      <x:c r="A144" s="81"/>
      <x:c r="B144" s="81"/>
      <x:c r="C144" s="81"/>
      <x:c r="D144" s="81"/>
      <x:c r="E144" s="81"/>
      <x:c r="F144" s="81"/>
      <x:c r="G144" s="81"/>
      <x:c r="H144" s="81"/>
      <x:c r="I144" s="81"/>
      <x:c r="J144" s="81"/>
      <x:c r="K144" s="81"/>
      <x:c r="L144" s="81"/>
      <x:c r="M144" s="81"/>
      <x:c r="N144" s="81"/>
      <x:c r="O144" s="81"/>
      <x:c r="P144" s="81"/>
      <x:c r="Q144" s="81"/>
      <x:c r="R144" s="81"/>
      <x:c r="S144" s="81"/>
      <x:c r="T144" s="81"/>
      <x:c r="U144" s="81"/>
      <x:c r="V144" s="81"/>
      <x:c r="W144" s="81"/>
      <x:c r="X144" s="81"/>
      <x:c r="Y144" s="81"/>
      <x:c r="Z144" s="81"/>
    </x:row>
    <x:row r="145">
      <x:c r="A145" s="81"/>
      <x:c r="B145" s="81"/>
      <x:c r="C145" s="81"/>
      <x:c r="D145" s="81"/>
      <x:c r="E145" s="81"/>
      <x:c r="F145" s="81"/>
      <x:c r="G145" s="81"/>
      <x:c r="H145" s="81"/>
      <x:c r="I145" s="81"/>
      <x:c r="J145" s="81"/>
      <x:c r="K145" s="81"/>
      <x:c r="L145" s="81"/>
      <x:c r="M145" s="81"/>
      <x:c r="N145" s="81"/>
      <x:c r="O145" s="81"/>
      <x:c r="P145" s="81"/>
      <x:c r="Q145" s="81"/>
      <x:c r="R145" s="81"/>
      <x:c r="S145" s="81"/>
      <x:c r="T145" s="81"/>
      <x:c r="U145" s="81"/>
      <x:c r="V145" s="81"/>
      <x:c r="W145" s="81"/>
      <x:c r="X145" s="81"/>
      <x:c r="Y145" s="81"/>
      <x:c r="Z145" s="81"/>
    </x:row>
    <x:row r="146">
      <x:c r="A146" s="81"/>
      <x:c r="B146" s="81"/>
      <x:c r="C146" s="81"/>
      <x:c r="D146" s="81"/>
      <x:c r="E146" s="81"/>
      <x:c r="F146" s="81"/>
      <x:c r="G146" s="81"/>
      <x:c r="H146" s="81"/>
      <x:c r="I146" s="81"/>
      <x:c r="J146" s="81"/>
      <x:c r="K146" s="81"/>
      <x:c r="L146" s="81"/>
      <x:c r="M146" s="81"/>
      <x:c r="N146" s="81"/>
      <x:c r="O146" s="81"/>
      <x:c r="P146" s="81"/>
      <x:c r="Q146" s="81"/>
      <x:c r="R146" s="81"/>
      <x:c r="S146" s="81"/>
      <x:c r="T146" s="81"/>
      <x:c r="U146" s="81"/>
      <x:c r="V146" s="81"/>
      <x:c r="W146" s="81"/>
      <x:c r="X146" s="81"/>
      <x:c r="Y146" s="81"/>
      <x:c r="Z146" s="81"/>
    </x:row>
    <x:row r="147">
      <x:c r="A147" s="81"/>
      <x:c r="B147" s="81"/>
      <x:c r="C147" s="81"/>
      <x:c r="D147" s="81"/>
      <x:c r="E147" s="81"/>
      <x:c r="F147" s="81"/>
      <x:c r="G147" s="81"/>
      <x:c r="H147" s="81"/>
      <x:c r="I147" s="81"/>
      <x:c r="J147" s="81"/>
      <x:c r="K147" s="81"/>
      <x:c r="L147" s="81"/>
      <x:c r="M147" s="81"/>
      <x:c r="N147" s="81"/>
      <x:c r="O147" s="81"/>
      <x:c r="P147" s="81"/>
      <x:c r="Q147" s="81"/>
      <x:c r="R147" s="81"/>
      <x:c r="S147" s="81"/>
      <x:c r="T147" s="81"/>
      <x:c r="U147" s="81"/>
      <x:c r="V147" s="81"/>
      <x:c r="W147" s="81"/>
      <x:c r="X147" s="81"/>
      <x:c r="Y147" s="81"/>
      <x:c r="Z147" s="81"/>
    </x:row>
    <x:row r="148">
      <x:c r="A148" s="81"/>
      <x:c r="B148" s="81"/>
      <x:c r="C148" s="81"/>
      <x:c r="D148" s="81"/>
      <x:c r="E148" s="81"/>
      <x:c r="F148" s="81"/>
      <x:c r="G148" s="81"/>
      <x:c r="H148" s="81"/>
      <x:c r="I148" s="81"/>
      <x:c r="J148" s="81"/>
      <x:c r="K148" s="81"/>
      <x:c r="L148" s="81"/>
      <x:c r="M148" s="81"/>
      <x:c r="N148" s="81"/>
      <x:c r="O148" s="81"/>
      <x:c r="P148" s="81"/>
      <x:c r="Q148" s="81"/>
      <x:c r="R148" s="81"/>
      <x:c r="S148" s="81"/>
      <x:c r="T148" s="81"/>
      <x:c r="U148" s="81"/>
      <x:c r="V148" s="81"/>
      <x:c r="W148" s="81"/>
      <x:c r="X148" s="81"/>
      <x:c r="Y148" s="81"/>
      <x:c r="Z148" s="81"/>
    </x:row>
    <x:row r="149">
      <x:c r="A149" s="81"/>
      <x:c r="B149" s="81"/>
      <x:c r="C149" s="81"/>
      <x:c r="D149" s="81"/>
      <x:c r="E149" s="81"/>
      <x:c r="F149" s="81"/>
      <x:c r="G149" s="81"/>
      <x:c r="H149" s="81"/>
      <x:c r="I149" s="81"/>
      <x:c r="J149" s="81"/>
      <x:c r="K149" s="81"/>
      <x:c r="L149" s="81"/>
      <x:c r="M149" s="81"/>
      <x:c r="N149" s="81"/>
      <x:c r="O149" s="81"/>
      <x:c r="P149" s="81"/>
      <x:c r="Q149" s="81"/>
      <x:c r="R149" s="81"/>
      <x:c r="S149" s="81"/>
      <x:c r="T149" s="81"/>
      <x:c r="U149" s="81"/>
      <x:c r="V149" s="81"/>
      <x:c r="W149" s="81"/>
      <x:c r="X149" s="81"/>
      <x:c r="Y149" s="81"/>
      <x:c r="Z149" s="81"/>
    </x:row>
    <x:row r="150">
      <x:c r="A150" s="81"/>
      <x:c r="B150" s="81"/>
      <x:c r="C150" s="81"/>
      <x:c r="D150" s="81"/>
      <x:c r="E150" s="81"/>
      <x:c r="F150" s="81"/>
      <x:c r="G150" s="81"/>
      <x:c r="H150" s="81"/>
      <x:c r="I150" s="81"/>
      <x:c r="J150" s="81"/>
      <x:c r="K150" s="81"/>
      <x:c r="L150" s="81"/>
      <x:c r="M150" s="81"/>
      <x:c r="N150" s="81"/>
      <x:c r="O150" s="81"/>
      <x:c r="P150" s="81"/>
      <x:c r="Q150" s="81"/>
      <x:c r="R150" s="81"/>
      <x:c r="S150" s="81"/>
      <x:c r="T150" s="81"/>
      <x:c r="U150" s="81"/>
      <x:c r="V150" s="81"/>
      <x:c r="W150" s="81"/>
      <x:c r="X150" s="81"/>
      <x:c r="Y150" s="81"/>
      <x:c r="Z150" s="81"/>
    </x:row>
    <x:row r="151">
      <x:c r="A151" s="81"/>
      <x:c r="B151" s="81"/>
      <x:c r="C151" s="81"/>
      <x:c r="D151" s="81"/>
      <x:c r="E151" s="81"/>
      <x:c r="F151" s="81"/>
      <x:c r="G151" s="81"/>
      <x:c r="H151" s="81"/>
      <x:c r="I151" s="81"/>
      <x:c r="J151" s="81"/>
      <x:c r="K151" s="81"/>
      <x:c r="L151" s="81"/>
      <x:c r="M151" s="81"/>
      <x:c r="N151" s="81"/>
      <x:c r="O151" s="81"/>
      <x:c r="P151" s="81"/>
      <x:c r="Q151" s="81"/>
      <x:c r="R151" s="81"/>
      <x:c r="S151" s="81"/>
      <x:c r="T151" s="81"/>
      <x:c r="U151" s="81"/>
      <x:c r="V151" s="81"/>
      <x:c r="W151" s="81"/>
      <x:c r="X151" s="81"/>
      <x:c r="Y151" s="81"/>
      <x:c r="Z151" s="81"/>
    </x:row>
    <x:row r="152">
      <x:c r="A152" s="81"/>
      <x:c r="B152" s="81"/>
      <x:c r="C152" s="81"/>
      <x:c r="D152" s="81"/>
      <x:c r="E152" s="81"/>
      <x:c r="F152" s="81"/>
      <x:c r="G152" s="81"/>
      <x:c r="H152" s="81"/>
      <x:c r="I152" s="81"/>
      <x:c r="J152" s="81"/>
      <x:c r="K152" s="81"/>
      <x:c r="L152" s="81"/>
      <x:c r="M152" s="81"/>
      <x:c r="N152" s="81"/>
      <x:c r="O152" s="81"/>
      <x:c r="P152" s="81"/>
      <x:c r="Q152" s="81"/>
      <x:c r="R152" s="81"/>
      <x:c r="S152" s="81"/>
      <x:c r="T152" s="81"/>
      <x:c r="U152" s="81"/>
      <x:c r="V152" s="81"/>
      <x:c r="W152" s="81"/>
      <x:c r="X152" s="81"/>
      <x:c r="Y152" s="81"/>
      <x:c r="Z152" s="81"/>
    </x:row>
    <x:row r="153">
      <x:c r="A153" s="81"/>
      <x:c r="B153" s="81"/>
      <x:c r="C153" s="81"/>
      <x:c r="D153" s="81"/>
      <x:c r="E153" s="81"/>
      <x:c r="F153" s="81"/>
      <x:c r="G153" s="81"/>
      <x:c r="H153" s="81"/>
      <x:c r="I153" s="81"/>
      <x:c r="J153" s="81"/>
      <x:c r="K153" s="81"/>
      <x:c r="L153" s="81"/>
      <x:c r="M153" s="81"/>
      <x:c r="N153" s="81"/>
      <x:c r="O153" s="81"/>
      <x:c r="P153" s="81"/>
      <x:c r="Q153" s="81"/>
      <x:c r="R153" s="81"/>
      <x:c r="S153" s="81"/>
      <x:c r="T153" s="81"/>
      <x:c r="U153" s="81"/>
      <x:c r="V153" s="81"/>
      <x:c r="W153" s="81"/>
      <x:c r="X153" s="81"/>
      <x:c r="Y153" s="81"/>
      <x:c r="Z153" s="81"/>
    </x:row>
    <x:row r="154">
      <x:c r="A154" s="81"/>
      <x:c r="B154" s="81"/>
      <x:c r="C154" s="81"/>
      <x:c r="D154" s="81"/>
      <x:c r="E154" s="81"/>
      <x:c r="F154" s="81"/>
      <x:c r="G154" s="81"/>
      <x:c r="H154" s="81"/>
      <x:c r="I154" s="81"/>
      <x:c r="J154" s="81"/>
      <x:c r="K154" s="81"/>
      <x:c r="L154" s="81"/>
      <x:c r="M154" s="81"/>
      <x:c r="N154" s="81"/>
      <x:c r="O154" s="81"/>
      <x:c r="P154" s="81"/>
      <x:c r="Q154" s="81"/>
      <x:c r="R154" s="81"/>
      <x:c r="S154" s="81"/>
      <x:c r="T154" s="81"/>
      <x:c r="U154" s="81"/>
      <x:c r="V154" s="81"/>
      <x:c r="W154" s="81"/>
      <x:c r="X154" s="81"/>
      <x:c r="Y154" s="81"/>
      <x:c r="Z154" s="81"/>
    </x:row>
    <x:row r="155">
      <x:c r="A155" s="81"/>
      <x:c r="B155" s="81"/>
      <x:c r="C155" s="81"/>
      <x:c r="D155" s="81"/>
      <x:c r="E155" s="81"/>
      <x:c r="F155" s="81"/>
      <x:c r="G155" s="81"/>
      <x:c r="H155" s="81"/>
      <x:c r="I155" s="81"/>
      <x:c r="J155" s="81"/>
      <x:c r="K155" s="81"/>
      <x:c r="L155" s="81"/>
      <x:c r="M155" s="81"/>
      <x:c r="N155" s="81"/>
      <x:c r="O155" s="81"/>
      <x:c r="P155" s="81"/>
      <x:c r="Q155" s="81"/>
      <x:c r="R155" s="81"/>
      <x:c r="S155" s="81"/>
      <x:c r="T155" s="81"/>
      <x:c r="U155" s="81"/>
      <x:c r="V155" s="81"/>
      <x:c r="W155" s="81"/>
      <x:c r="X155" s="81"/>
      <x:c r="Y155" s="81"/>
      <x:c r="Z155" s="81"/>
    </x:row>
    <x:row r="156">
      <x:c r="A156" s="81"/>
      <x:c r="B156" s="81"/>
      <x:c r="C156" s="81"/>
      <x:c r="D156" s="81"/>
      <x:c r="E156" s="81"/>
      <x:c r="F156" s="81"/>
      <x:c r="G156" s="81"/>
      <x:c r="H156" s="81"/>
      <x:c r="I156" s="81"/>
      <x:c r="J156" s="81"/>
      <x:c r="K156" s="81"/>
      <x:c r="L156" s="81"/>
      <x:c r="M156" s="81"/>
      <x:c r="N156" s="81"/>
      <x:c r="O156" s="81"/>
      <x:c r="P156" s="81"/>
      <x:c r="Q156" s="81"/>
      <x:c r="R156" s="81"/>
      <x:c r="S156" s="81"/>
      <x:c r="T156" s="81"/>
      <x:c r="U156" s="81"/>
      <x:c r="V156" s="81"/>
      <x:c r="W156" s="81"/>
      <x:c r="X156" s="81"/>
      <x:c r="Y156" s="81"/>
      <x:c r="Z156" s="81"/>
    </x:row>
    <x:row r="157">
      <x:c r="A157" s="81"/>
      <x:c r="B157" s="81"/>
      <x:c r="C157" s="81"/>
      <x:c r="D157" s="81"/>
      <x:c r="E157" s="81"/>
      <x:c r="F157" s="81"/>
      <x:c r="G157" s="81"/>
      <x:c r="H157" s="81"/>
      <x:c r="I157" s="81"/>
      <x:c r="J157" s="81"/>
      <x:c r="K157" s="81"/>
      <x:c r="L157" s="81"/>
      <x:c r="M157" s="81"/>
      <x:c r="N157" s="81"/>
      <x:c r="O157" s="81"/>
      <x:c r="P157" s="81"/>
      <x:c r="Q157" s="81"/>
      <x:c r="R157" s="81"/>
      <x:c r="S157" s="81"/>
      <x:c r="T157" s="81"/>
      <x:c r="U157" s="81"/>
      <x:c r="V157" s="81"/>
      <x:c r="W157" s="81"/>
      <x:c r="X157" s="81"/>
      <x:c r="Y157" s="81"/>
      <x:c r="Z157" s="81"/>
    </x:row>
    <x:row r="158">
      <x:c r="A158" s="81"/>
      <x:c r="B158" s="81"/>
      <x:c r="C158" s="81"/>
      <x:c r="D158" s="81"/>
      <x:c r="E158" s="81"/>
      <x:c r="F158" s="81"/>
      <x:c r="G158" s="81"/>
      <x:c r="H158" s="81"/>
      <x:c r="I158" s="81"/>
      <x:c r="J158" s="81"/>
      <x:c r="K158" s="81"/>
      <x:c r="L158" s="81"/>
      <x:c r="M158" s="81"/>
      <x:c r="N158" s="81"/>
      <x:c r="O158" s="81"/>
      <x:c r="P158" s="81"/>
      <x:c r="Q158" s="81"/>
      <x:c r="R158" s="81"/>
      <x:c r="S158" s="81"/>
      <x:c r="T158" s="81"/>
      <x:c r="U158" s="81"/>
      <x:c r="V158" s="81"/>
      <x:c r="W158" s="81"/>
      <x:c r="X158" s="81"/>
      <x:c r="Y158" s="81"/>
      <x:c r="Z158" s="81"/>
    </x:row>
    <x:row r="159">
      <x:c r="A159" s="81"/>
      <x:c r="B159" s="81"/>
      <x:c r="C159" s="81"/>
      <x:c r="D159" s="81"/>
      <x:c r="E159" s="81"/>
      <x:c r="F159" s="81"/>
      <x:c r="G159" s="81"/>
      <x:c r="H159" s="81"/>
      <x:c r="I159" s="81"/>
      <x:c r="J159" s="81"/>
      <x:c r="K159" s="81"/>
      <x:c r="L159" s="81"/>
      <x:c r="M159" s="81"/>
      <x:c r="N159" s="81"/>
      <x:c r="O159" s="81"/>
      <x:c r="P159" s="81"/>
      <x:c r="Q159" s="81"/>
      <x:c r="R159" s="81"/>
      <x:c r="S159" s="81"/>
      <x:c r="T159" s="81"/>
      <x:c r="U159" s="81"/>
      <x:c r="V159" s="81"/>
      <x:c r="W159" s="81"/>
      <x:c r="X159" s="81"/>
      <x:c r="Y159" s="81"/>
      <x:c r="Z159" s="81"/>
    </x:row>
    <x:row r="160">
      <x:c r="A160" s="81"/>
      <x:c r="B160" s="81"/>
      <x:c r="C160" s="81"/>
      <x:c r="D160" s="81"/>
      <x:c r="E160" s="81"/>
      <x:c r="F160" s="81"/>
      <x:c r="G160" s="81"/>
      <x:c r="H160" s="81"/>
      <x:c r="I160" s="81"/>
      <x:c r="J160" s="81"/>
      <x:c r="K160" s="81"/>
      <x:c r="L160" s="81"/>
      <x:c r="M160" s="81"/>
      <x:c r="N160" s="81"/>
      <x:c r="O160" s="81"/>
      <x:c r="P160" s="81"/>
      <x:c r="Q160" s="81"/>
      <x:c r="R160" s="81"/>
      <x:c r="S160" s="81"/>
      <x:c r="T160" s="81"/>
      <x:c r="U160" s="81"/>
      <x:c r="V160" s="81"/>
      <x:c r="W160" s="81"/>
      <x:c r="X160" s="81"/>
      <x:c r="Y160" s="81"/>
      <x:c r="Z160" s="81"/>
    </x:row>
    <x:row r="161">
      <x:c r="A161" s="81"/>
      <x:c r="B161" s="81"/>
      <x:c r="C161" s="81"/>
      <x:c r="D161" s="81"/>
      <x:c r="E161" s="81"/>
      <x:c r="F161" s="81"/>
      <x:c r="G161" s="81"/>
      <x:c r="H161" s="81"/>
      <x:c r="I161" s="81"/>
      <x:c r="J161" s="81"/>
      <x:c r="K161" s="81"/>
      <x:c r="L161" s="81"/>
      <x:c r="M161" s="81"/>
      <x:c r="N161" s="81"/>
      <x:c r="O161" s="81"/>
      <x:c r="P161" s="81"/>
      <x:c r="Q161" s="81"/>
      <x:c r="R161" s="81"/>
      <x:c r="S161" s="81"/>
      <x:c r="T161" s="81"/>
      <x:c r="U161" s="81"/>
      <x:c r="V161" s="81"/>
      <x:c r="W161" s="81"/>
      <x:c r="X161" s="81"/>
      <x:c r="Y161" s="81"/>
      <x:c r="Z161" s="81"/>
    </x:row>
    <x:row r="162">
      <x:c r="A162" s="81"/>
      <x:c r="B162" s="81"/>
      <x:c r="C162" s="81"/>
      <x:c r="D162" s="81"/>
      <x:c r="E162" s="81"/>
      <x:c r="F162" s="81"/>
      <x:c r="G162" s="81"/>
      <x:c r="H162" s="81"/>
      <x:c r="I162" s="81"/>
      <x:c r="J162" s="81"/>
      <x:c r="K162" s="81"/>
      <x:c r="L162" s="81"/>
      <x:c r="M162" s="81"/>
      <x:c r="N162" s="81"/>
      <x:c r="O162" s="81"/>
      <x:c r="P162" s="81"/>
      <x:c r="Q162" s="81"/>
      <x:c r="R162" s="81"/>
      <x:c r="S162" s="81"/>
      <x:c r="T162" s="81"/>
      <x:c r="U162" s="81"/>
      <x:c r="V162" s="81"/>
      <x:c r="W162" s="81"/>
      <x:c r="X162" s="81"/>
      <x:c r="Y162" s="81"/>
      <x:c r="Z162" s="81"/>
    </x:row>
    <x:row r="163">
      <x:c r="A163" s="81"/>
      <x:c r="B163" s="81"/>
      <x:c r="C163" s="81"/>
      <x:c r="D163" s="81"/>
      <x:c r="E163" s="81"/>
      <x:c r="F163" s="81"/>
      <x:c r="G163" s="81"/>
      <x:c r="H163" s="81"/>
      <x:c r="I163" s="81"/>
      <x:c r="J163" s="81"/>
      <x:c r="K163" s="81"/>
      <x:c r="L163" s="81"/>
      <x:c r="M163" s="81"/>
      <x:c r="N163" s="81"/>
      <x:c r="O163" s="81"/>
      <x:c r="P163" s="81"/>
      <x:c r="Q163" s="81"/>
      <x:c r="R163" s="81"/>
      <x:c r="S163" s="81"/>
      <x:c r="T163" s="81"/>
      <x:c r="U163" s="81"/>
      <x:c r="V163" s="81"/>
      <x:c r="W163" s="81"/>
      <x:c r="X163" s="81"/>
      <x:c r="Y163" s="81"/>
      <x:c r="Z163" s="81"/>
    </x:row>
    <x:row r="164">
      <x:c r="A164" s="81"/>
      <x:c r="B164" s="81"/>
      <x:c r="C164" s="81"/>
      <x:c r="D164" s="81"/>
      <x:c r="E164" s="81"/>
      <x:c r="F164" s="81"/>
      <x:c r="G164" s="81"/>
      <x:c r="H164" s="81"/>
      <x:c r="I164" s="81"/>
      <x:c r="J164" s="81"/>
      <x:c r="K164" s="81"/>
      <x:c r="L164" s="81"/>
      <x:c r="M164" s="81"/>
      <x:c r="N164" s="81"/>
      <x:c r="O164" s="81"/>
      <x:c r="P164" s="81"/>
      <x:c r="Q164" s="81"/>
      <x:c r="R164" s="81"/>
      <x:c r="S164" s="81"/>
      <x:c r="T164" s="81"/>
      <x:c r="U164" s="81"/>
      <x:c r="V164" s="81"/>
      <x:c r="W164" s="81"/>
      <x:c r="X164" s="81"/>
      <x:c r="Y164" s="81"/>
      <x:c r="Z164" s="81"/>
    </x:row>
    <x:row r="165">
      <x:c r="A165" s="81"/>
      <x:c r="B165" s="81"/>
      <x:c r="C165" s="81"/>
      <x:c r="D165" s="81"/>
      <x:c r="E165" s="81"/>
      <x:c r="F165" s="81"/>
      <x:c r="G165" s="81"/>
      <x:c r="H165" s="81"/>
      <x:c r="I165" s="81"/>
      <x:c r="J165" s="81"/>
      <x:c r="K165" s="81"/>
      <x:c r="L165" s="81"/>
      <x:c r="M165" s="81"/>
      <x:c r="N165" s="81"/>
      <x:c r="O165" s="81"/>
      <x:c r="P165" s="81"/>
      <x:c r="Q165" s="81"/>
      <x:c r="R165" s="81"/>
      <x:c r="S165" s="81"/>
      <x:c r="T165" s="81"/>
      <x:c r="U165" s="81"/>
      <x:c r="V165" s="81"/>
      <x:c r="W165" s="81"/>
      <x:c r="X165" s="81"/>
      <x:c r="Y165" s="81"/>
      <x:c r="Z165" s="81"/>
    </x:row>
    <x:row r="166">
      <x:c r="A166" s="81"/>
      <x:c r="B166" s="81"/>
      <x:c r="C166" s="81"/>
      <x:c r="D166" s="81"/>
      <x:c r="E166" s="81"/>
      <x:c r="F166" s="81"/>
      <x:c r="G166" s="81"/>
      <x:c r="H166" s="81"/>
      <x:c r="I166" s="81"/>
      <x:c r="J166" s="81"/>
      <x:c r="K166" s="81"/>
      <x:c r="L166" s="81"/>
      <x:c r="M166" s="81"/>
      <x:c r="N166" s="81"/>
      <x:c r="O166" s="81"/>
      <x:c r="P166" s="81"/>
      <x:c r="Q166" s="81"/>
      <x:c r="R166" s="81"/>
      <x:c r="S166" s="81"/>
      <x:c r="T166" s="81"/>
      <x:c r="U166" s="81"/>
      <x:c r="V166" s="81"/>
      <x:c r="W166" s="81"/>
      <x:c r="X166" s="81"/>
      <x:c r="Y166" s="81"/>
      <x:c r="Z166" s="81"/>
    </x:row>
    <x:row r="167">
      <x:c r="A167" s="81"/>
      <x:c r="B167" s="81"/>
      <x:c r="C167" s="81"/>
      <x:c r="D167" s="81"/>
      <x:c r="E167" s="81"/>
      <x:c r="F167" s="81"/>
      <x:c r="G167" s="81"/>
      <x:c r="H167" s="81"/>
      <x:c r="I167" s="81"/>
      <x:c r="J167" s="81"/>
      <x:c r="K167" s="81"/>
      <x:c r="L167" s="81"/>
      <x:c r="M167" s="81"/>
      <x:c r="N167" s="81"/>
      <x:c r="O167" s="81"/>
      <x:c r="P167" s="81"/>
      <x:c r="Q167" s="81"/>
      <x:c r="R167" s="81"/>
      <x:c r="S167" s="81"/>
      <x:c r="T167" s="81"/>
      <x:c r="U167" s="81"/>
      <x:c r="V167" s="81"/>
      <x:c r="W167" s="81"/>
      <x:c r="X167" s="81"/>
      <x:c r="Y167" s="81"/>
      <x:c r="Z167" s="81"/>
    </x:row>
    <x:row r="168">
      <x:c r="A168" s="81"/>
      <x:c r="B168" s="81"/>
      <x:c r="C168" s="81"/>
      <x:c r="D168" s="81"/>
      <x:c r="E168" s="81"/>
      <x:c r="F168" s="81"/>
      <x:c r="G168" s="81"/>
      <x:c r="H168" s="81"/>
      <x:c r="I168" s="81"/>
      <x:c r="J168" s="81"/>
      <x:c r="K168" s="81"/>
      <x:c r="L168" s="81"/>
      <x:c r="M168" s="81"/>
      <x:c r="N168" s="81"/>
      <x:c r="O168" s="81"/>
      <x:c r="P168" s="81"/>
      <x:c r="Q168" s="81"/>
      <x:c r="R168" s="81"/>
      <x:c r="S168" s="81"/>
      <x:c r="T168" s="81"/>
      <x:c r="U168" s="81"/>
      <x:c r="V168" s="81"/>
      <x:c r="W168" s="81"/>
      <x:c r="X168" s="81"/>
      <x:c r="Y168" s="81"/>
      <x:c r="Z168" s="81"/>
    </x:row>
    <x:row r="169">
      <x:c r="A169" s="81"/>
      <x:c r="B169" s="81"/>
      <x:c r="C169" s="81"/>
      <x:c r="D169" s="81"/>
      <x:c r="E169" s="81"/>
      <x:c r="F169" s="81"/>
      <x:c r="G169" s="81"/>
      <x:c r="H169" s="81"/>
      <x:c r="I169" s="81"/>
      <x:c r="J169" s="81"/>
      <x:c r="K169" s="81"/>
      <x:c r="L169" s="81"/>
      <x:c r="M169" s="81"/>
      <x:c r="N169" s="81"/>
      <x:c r="O169" s="81"/>
      <x:c r="P169" s="81"/>
      <x:c r="Q169" s="81"/>
      <x:c r="R169" s="81"/>
      <x:c r="S169" s="81"/>
      <x:c r="T169" s="81"/>
      <x:c r="U169" s="81"/>
      <x:c r="V169" s="81"/>
      <x:c r="W169" s="81"/>
      <x:c r="X169" s="81"/>
      <x:c r="Y169" s="81"/>
      <x:c r="Z169" s="81"/>
    </x:row>
    <x:row r="170">
      <x:c r="A170" s="81"/>
      <x:c r="B170" s="81"/>
      <x:c r="C170" s="81"/>
      <x:c r="D170" s="81"/>
      <x:c r="E170" s="81"/>
      <x:c r="F170" s="81"/>
      <x:c r="G170" s="81"/>
      <x:c r="H170" s="81"/>
      <x:c r="I170" s="81"/>
      <x:c r="J170" s="81"/>
      <x:c r="K170" s="81"/>
      <x:c r="L170" s="81"/>
      <x:c r="M170" s="81"/>
      <x:c r="N170" s="81"/>
      <x:c r="O170" s="81"/>
      <x:c r="P170" s="81"/>
      <x:c r="Q170" s="81"/>
      <x:c r="R170" s="81"/>
      <x:c r="S170" s="81"/>
      <x:c r="T170" s="81"/>
      <x:c r="U170" s="81"/>
      <x:c r="V170" s="81"/>
      <x:c r="W170" s="81"/>
      <x:c r="X170" s="81"/>
      <x:c r="Y170" s="81"/>
      <x:c r="Z170" s="81"/>
    </x:row>
    <x:row r="171">
      <x:c r="A171" s="81"/>
      <x:c r="B171" s="81"/>
      <x:c r="C171" s="81"/>
      <x:c r="D171" s="81"/>
      <x:c r="E171" s="81"/>
      <x:c r="F171" s="81"/>
      <x:c r="G171" s="81"/>
      <x:c r="H171" s="81"/>
      <x:c r="I171" s="81"/>
      <x:c r="J171" s="81"/>
      <x:c r="K171" s="81"/>
      <x:c r="L171" s="81"/>
      <x:c r="M171" s="81"/>
      <x:c r="N171" s="81"/>
      <x:c r="O171" s="81"/>
      <x:c r="P171" s="81"/>
      <x:c r="Q171" s="81"/>
      <x:c r="R171" s="81"/>
      <x:c r="S171" s="81"/>
      <x:c r="T171" s="81"/>
      <x:c r="U171" s="81"/>
      <x:c r="V171" s="81"/>
      <x:c r="W171" s="81"/>
      <x:c r="X171" s="81"/>
      <x:c r="Y171" s="81"/>
      <x:c r="Z171" s="81"/>
    </x:row>
    <x:row r="172">
      <x:c r="A172" s="81"/>
      <x:c r="B172" s="81"/>
      <x:c r="C172" s="81"/>
      <x:c r="D172" s="81"/>
      <x:c r="E172" s="81"/>
      <x:c r="F172" s="81"/>
      <x:c r="G172" s="81"/>
      <x:c r="H172" s="81"/>
      <x:c r="I172" s="81"/>
      <x:c r="J172" s="81"/>
      <x:c r="K172" s="81"/>
      <x:c r="L172" s="81"/>
      <x:c r="M172" s="81"/>
      <x:c r="N172" s="81"/>
      <x:c r="O172" s="81"/>
      <x:c r="P172" s="81"/>
      <x:c r="Q172" s="81"/>
      <x:c r="R172" s="81"/>
      <x:c r="S172" s="81"/>
      <x:c r="T172" s="81"/>
      <x:c r="U172" s="81"/>
      <x:c r="V172" s="81"/>
      <x:c r="W172" s="81"/>
      <x:c r="X172" s="81"/>
      <x:c r="Y172" s="81"/>
      <x:c r="Z172" s="81"/>
    </x:row>
    <x:row r="173">
      <x:c r="A173" s="81"/>
      <x:c r="B173" s="81"/>
      <x:c r="C173" s="81"/>
      <x:c r="D173" s="81"/>
      <x:c r="E173" s="81"/>
      <x:c r="F173" s="81"/>
      <x:c r="G173" s="81"/>
      <x:c r="H173" s="81"/>
      <x:c r="I173" s="81"/>
      <x:c r="J173" s="81"/>
      <x:c r="K173" s="81"/>
      <x:c r="L173" s="81"/>
      <x:c r="M173" s="81"/>
      <x:c r="N173" s="81"/>
      <x:c r="O173" s="81"/>
      <x:c r="P173" s="81"/>
      <x:c r="Q173" s="81"/>
      <x:c r="R173" s="81"/>
      <x:c r="S173" s="81"/>
      <x:c r="T173" s="81"/>
      <x:c r="U173" s="81"/>
      <x:c r="V173" s="81"/>
      <x:c r="W173" s="81"/>
      <x:c r="X173" s="81"/>
      <x:c r="Y173" s="81"/>
      <x:c r="Z173" s="81"/>
    </x:row>
    <x:row r="174">
      <x:c r="A174" s="81"/>
      <x:c r="B174" s="81"/>
      <x:c r="C174" s="81"/>
      <x:c r="D174" s="81"/>
      <x:c r="E174" s="81"/>
      <x:c r="F174" s="81"/>
      <x:c r="G174" s="81"/>
      <x:c r="H174" s="81"/>
      <x:c r="I174" s="81"/>
      <x:c r="J174" s="81"/>
      <x:c r="K174" s="81"/>
      <x:c r="L174" s="81"/>
      <x:c r="M174" s="81"/>
      <x:c r="N174" s="81"/>
      <x:c r="O174" s="81"/>
      <x:c r="P174" s="81"/>
      <x:c r="Q174" s="81"/>
      <x:c r="R174" s="81"/>
      <x:c r="S174" s="81"/>
      <x:c r="T174" s="81"/>
      <x:c r="U174" s="81"/>
      <x:c r="V174" s="81"/>
      <x:c r="W174" s="81"/>
      <x:c r="X174" s="81"/>
      <x:c r="Y174" s="81"/>
      <x:c r="Z174" s="81"/>
    </x:row>
    <x:row r="175">
      <x:c r="A175" s="81"/>
      <x:c r="B175" s="81"/>
      <x:c r="C175" s="81"/>
      <x:c r="D175" s="81"/>
      <x:c r="E175" s="81"/>
      <x:c r="F175" s="81"/>
      <x:c r="G175" s="81"/>
      <x:c r="H175" s="81"/>
      <x:c r="I175" s="81"/>
      <x:c r="J175" s="81"/>
      <x:c r="K175" s="81"/>
      <x:c r="L175" s="81"/>
      <x:c r="M175" s="81"/>
      <x:c r="N175" s="81"/>
      <x:c r="O175" s="81"/>
      <x:c r="P175" s="81"/>
      <x:c r="Q175" s="81"/>
      <x:c r="R175" s="81"/>
      <x:c r="S175" s="81"/>
      <x:c r="T175" s="81"/>
      <x:c r="U175" s="81"/>
      <x:c r="V175" s="81"/>
      <x:c r="W175" s="81"/>
      <x:c r="X175" s="81"/>
      <x:c r="Y175" s="81"/>
      <x:c r="Z175" s="81"/>
    </x:row>
    <x:row r="176">
      <x:c r="A176" s="81"/>
      <x:c r="B176" s="81"/>
      <x:c r="C176" s="81"/>
      <x:c r="D176" s="81"/>
      <x:c r="E176" s="81"/>
      <x:c r="F176" s="81"/>
      <x:c r="G176" s="81"/>
      <x:c r="H176" s="81"/>
      <x:c r="I176" s="81"/>
      <x:c r="J176" s="81"/>
      <x:c r="K176" s="81"/>
      <x:c r="L176" s="81"/>
      <x:c r="M176" s="81"/>
      <x:c r="N176" s="81"/>
      <x:c r="O176" s="81"/>
      <x:c r="P176" s="81"/>
      <x:c r="Q176" s="81"/>
      <x:c r="R176" s="81"/>
      <x:c r="S176" s="81"/>
      <x:c r="T176" s="81"/>
      <x:c r="U176" s="81"/>
      <x:c r="V176" s="81"/>
      <x:c r="W176" s="81"/>
      <x:c r="X176" s="81"/>
      <x:c r="Y176" s="81"/>
      <x:c r="Z176" s="81"/>
    </x:row>
    <x:row r="177">
      <x:c r="A177" s="81"/>
      <x:c r="B177" s="81"/>
      <x:c r="C177" s="81"/>
      <x:c r="D177" s="81"/>
      <x:c r="E177" s="81"/>
      <x:c r="F177" s="81"/>
      <x:c r="G177" s="81"/>
      <x:c r="H177" s="81"/>
      <x:c r="I177" s="81"/>
      <x:c r="J177" s="81"/>
      <x:c r="K177" s="81"/>
      <x:c r="L177" s="81"/>
      <x:c r="M177" s="81"/>
      <x:c r="N177" s="81"/>
      <x:c r="O177" s="81"/>
      <x:c r="P177" s="81"/>
      <x:c r="Q177" s="81"/>
      <x:c r="R177" s="81"/>
      <x:c r="S177" s="81"/>
      <x:c r="T177" s="81"/>
      <x:c r="U177" s="81"/>
      <x:c r="V177" s="81"/>
      <x:c r="W177" s="81"/>
      <x:c r="X177" s="81"/>
      <x:c r="Y177" s="81"/>
      <x:c r="Z177" s="81"/>
    </x:row>
    <x:row r="178">
      <x:c r="A178" s="81"/>
      <x:c r="B178" s="81"/>
      <x:c r="C178" s="81"/>
      <x:c r="D178" s="81"/>
      <x:c r="E178" s="81"/>
      <x:c r="F178" s="81"/>
      <x:c r="G178" s="81"/>
      <x:c r="H178" s="81"/>
      <x:c r="I178" s="81"/>
      <x:c r="J178" s="81"/>
      <x:c r="K178" s="81"/>
      <x:c r="L178" s="81"/>
      <x:c r="M178" s="81"/>
      <x:c r="N178" s="81"/>
      <x:c r="O178" s="81"/>
      <x:c r="P178" s="81"/>
      <x:c r="Q178" s="81"/>
      <x:c r="R178" s="81"/>
      <x:c r="S178" s="81"/>
      <x:c r="T178" s="81"/>
      <x:c r="U178" s="81"/>
      <x:c r="V178" s="81"/>
      <x:c r="W178" s="81"/>
      <x:c r="X178" s="81"/>
      <x:c r="Y178" s="81"/>
      <x:c r="Z178" s="81"/>
    </x:row>
    <x:row r="179">
      <x:c r="A179" s="81"/>
      <x:c r="B179" s="81"/>
      <x:c r="C179" s="81"/>
      <x:c r="D179" s="81"/>
      <x:c r="E179" s="81"/>
      <x:c r="F179" s="81"/>
      <x:c r="G179" s="81"/>
      <x:c r="H179" s="81"/>
      <x:c r="I179" s="81"/>
      <x:c r="J179" s="81"/>
      <x:c r="K179" s="81"/>
      <x:c r="L179" s="81"/>
      <x:c r="M179" s="81"/>
      <x:c r="N179" s="81"/>
      <x:c r="O179" s="81"/>
      <x:c r="P179" s="81"/>
      <x:c r="Q179" s="81"/>
      <x:c r="R179" s="81"/>
      <x:c r="S179" s="81"/>
      <x:c r="T179" s="81"/>
      <x:c r="U179" s="81"/>
      <x:c r="V179" s="81"/>
      <x:c r="W179" s="81"/>
      <x:c r="X179" s="81"/>
      <x:c r="Y179" s="81"/>
      <x:c r="Z179" s="81"/>
    </x:row>
    <x:row r="180">
      <x:c r="A180" s="81"/>
      <x:c r="B180" s="81"/>
      <x:c r="C180" s="81"/>
      <x:c r="D180" s="81"/>
      <x:c r="E180" s="81"/>
      <x:c r="F180" s="81"/>
      <x:c r="G180" s="81"/>
      <x:c r="H180" s="81"/>
      <x:c r="I180" s="81"/>
      <x:c r="J180" s="81"/>
      <x:c r="K180" s="81"/>
      <x:c r="L180" s="81"/>
      <x:c r="M180" s="81"/>
      <x:c r="N180" s="81"/>
      <x:c r="O180" s="81"/>
      <x:c r="P180" s="81"/>
      <x:c r="Q180" s="81"/>
      <x:c r="R180" s="81"/>
      <x:c r="S180" s="81"/>
      <x:c r="T180" s="81"/>
      <x:c r="U180" s="81"/>
      <x:c r="V180" s="81"/>
      <x:c r="W180" s="81"/>
      <x:c r="X180" s="81"/>
      <x:c r="Y180" s="81"/>
      <x:c r="Z180" s="81"/>
    </x:row>
    <x:row r="181">
      <x:c r="A181" s="81"/>
      <x:c r="B181" s="81"/>
      <x:c r="C181" s="81"/>
      <x:c r="D181" s="81"/>
      <x:c r="E181" s="81"/>
      <x:c r="F181" s="81"/>
      <x:c r="G181" s="81"/>
      <x:c r="H181" s="81"/>
      <x:c r="I181" s="81"/>
      <x:c r="J181" s="81"/>
      <x:c r="K181" s="81"/>
      <x:c r="L181" s="81"/>
      <x:c r="M181" s="81"/>
      <x:c r="N181" s="81"/>
      <x:c r="O181" s="81"/>
      <x:c r="P181" s="81"/>
      <x:c r="Q181" s="81"/>
      <x:c r="R181" s="81"/>
      <x:c r="S181" s="81"/>
      <x:c r="T181" s="81"/>
      <x:c r="U181" s="81"/>
      <x:c r="V181" s="81"/>
      <x:c r="W181" s="81"/>
      <x:c r="X181" s="81"/>
      <x:c r="Y181" s="81"/>
      <x:c r="Z181" s="81"/>
    </x:row>
    <x:row r="182">
      <x:c r="A182" s="81"/>
      <x:c r="B182" s="81"/>
      <x:c r="C182" s="81"/>
      <x:c r="D182" s="81"/>
      <x:c r="E182" s="81"/>
      <x:c r="F182" s="81"/>
      <x:c r="G182" s="81"/>
      <x:c r="H182" s="81"/>
      <x:c r="I182" s="81"/>
      <x:c r="J182" s="81"/>
      <x:c r="K182" s="81"/>
      <x:c r="L182" s="81"/>
      <x:c r="M182" s="81"/>
      <x:c r="N182" s="81"/>
      <x:c r="O182" s="81"/>
      <x:c r="P182" s="81"/>
      <x:c r="Q182" s="81"/>
      <x:c r="R182" s="81"/>
      <x:c r="S182" s="81"/>
      <x:c r="T182" s="81"/>
      <x:c r="U182" s="81"/>
      <x:c r="V182" s="81"/>
      <x:c r="W182" s="81"/>
      <x:c r="X182" s="81"/>
      <x:c r="Y182" s="81"/>
      <x:c r="Z182" s="81"/>
    </x:row>
    <x:row r="183">
      <x:c r="A183" s="81"/>
      <x:c r="B183" s="81"/>
      <x:c r="C183" s="81"/>
      <x:c r="D183" s="81"/>
      <x:c r="E183" s="81"/>
      <x:c r="F183" s="81"/>
      <x:c r="G183" s="81"/>
      <x:c r="H183" s="81"/>
      <x:c r="I183" s="81"/>
      <x:c r="J183" s="81"/>
      <x:c r="K183" s="81"/>
      <x:c r="L183" s="81"/>
      <x:c r="M183" s="81"/>
      <x:c r="N183" s="81"/>
      <x:c r="O183" s="81"/>
      <x:c r="P183" s="81"/>
      <x:c r="Q183" s="81"/>
      <x:c r="R183" s="81"/>
      <x:c r="S183" s="81"/>
      <x:c r="T183" s="81"/>
      <x:c r="U183" s="81"/>
      <x:c r="V183" s="81"/>
      <x:c r="W183" s="81"/>
      <x:c r="X183" s="81"/>
      <x:c r="Y183" s="81"/>
      <x:c r="Z183" s="81"/>
    </x:row>
    <x:row r="184">
      <x:c r="A184" s="81"/>
      <x:c r="B184" s="81"/>
      <x:c r="C184" s="81"/>
      <x:c r="D184" s="81"/>
      <x:c r="E184" s="81"/>
      <x:c r="F184" s="81"/>
      <x:c r="G184" s="81"/>
      <x:c r="H184" s="81"/>
      <x:c r="I184" s="81"/>
      <x:c r="J184" s="81"/>
      <x:c r="K184" s="81"/>
      <x:c r="L184" s="81"/>
      <x:c r="M184" s="81"/>
      <x:c r="N184" s="81"/>
      <x:c r="O184" s="81"/>
      <x:c r="P184" s="81"/>
      <x:c r="Q184" s="81"/>
      <x:c r="R184" s="81"/>
      <x:c r="S184" s="81"/>
      <x:c r="T184" s="81"/>
      <x:c r="U184" s="81"/>
      <x:c r="V184" s="81"/>
      <x:c r="W184" s="81"/>
      <x:c r="X184" s="81"/>
      <x:c r="Y184" s="81"/>
      <x:c r="Z184" s="81"/>
    </x:row>
    <x:row r="185">
      <x:c r="A185" s="81"/>
      <x:c r="B185" s="81"/>
      <x:c r="C185" s="81"/>
      <x:c r="D185" s="81"/>
      <x:c r="E185" s="81"/>
      <x:c r="F185" s="81"/>
      <x:c r="G185" s="81"/>
      <x:c r="H185" s="81"/>
      <x:c r="I185" s="81"/>
      <x:c r="J185" s="81"/>
      <x:c r="K185" s="81"/>
      <x:c r="L185" s="81"/>
      <x:c r="M185" s="81"/>
      <x:c r="N185" s="81"/>
      <x:c r="O185" s="81"/>
      <x:c r="P185" s="81"/>
      <x:c r="Q185" s="81"/>
      <x:c r="R185" s="81"/>
      <x:c r="S185" s="81"/>
      <x:c r="T185" s="81"/>
      <x:c r="U185" s="81"/>
      <x:c r="V185" s="81"/>
      <x:c r="W185" s="81"/>
      <x:c r="X185" s="81"/>
      <x:c r="Y185" s="81"/>
      <x:c r="Z185" s="81"/>
    </x:row>
    <x:row r="186">
      <x:c r="A186" s="81"/>
      <x:c r="B186" s="81"/>
      <x:c r="C186" s="81"/>
      <x:c r="D186" s="81"/>
      <x:c r="E186" s="81"/>
      <x:c r="F186" s="81"/>
      <x:c r="G186" s="81"/>
      <x:c r="H186" s="81"/>
      <x:c r="I186" s="81"/>
      <x:c r="J186" s="81"/>
      <x:c r="K186" s="81"/>
      <x:c r="L186" s="81"/>
      <x:c r="M186" s="81"/>
      <x:c r="N186" s="81"/>
      <x:c r="O186" s="81"/>
      <x:c r="P186" s="81"/>
      <x:c r="Q186" s="81"/>
      <x:c r="R186" s="81"/>
      <x:c r="S186" s="81"/>
      <x:c r="T186" s="81"/>
      <x:c r="U186" s="81"/>
      <x:c r="V186" s="81"/>
      <x:c r="W186" s="81"/>
      <x:c r="X186" s="81"/>
      <x:c r="Y186" s="81"/>
      <x:c r="Z186" s="81"/>
    </x:row>
    <x:row r="187">
      <x:c r="A187" s="81"/>
      <x:c r="B187" s="81"/>
      <x:c r="C187" s="81"/>
      <x:c r="D187" s="81"/>
      <x:c r="E187" s="81"/>
      <x:c r="F187" s="81"/>
      <x:c r="G187" s="81"/>
      <x:c r="H187" s="81"/>
      <x:c r="I187" s="81"/>
      <x:c r="J187" s="81"/>
      <x:c r="K187" s="81"/>
      <x:c r="L187" s="81"/>
      <x:c r="M187" s="81"/>
      <x:c r="N187" s="81"/>
      <x:c r="O187" s="81"/>
      <x:c r="P187" s="81"/>
      <x:c r="Q187" s="81"/>
      <x:c r="R187" s="81"/>
      <x:c r="S187" s="81"/>
      <x:c r="T187" s="81"/>
      <x:c r="U187" s="81"/>
      <x:c r="V187" s="81"/>
      <x:c r="W187" s="81"/>
      <x:c r="X187" s="81"/>
      <x:c r="Y187" s="81"/>
      <x:c r="Z187" s="81"/>
    </x:row>
    <x:row r="188">
      <x:c r="A188" s="81"/>
      <x:c r="B188" s="81"/>
      <x:c r="C188" s="81"/>
      <x:c r="D188" s="81"/>
      <x:c r="E188" s="81"/>
      <x:c r="F188" s="81"/>
      <x:c r="G188" s="81"/>
      <x:c r="H188" s="81"/>
      <x:c r="I188" s="81"/>
      <x:c r="J188" s="81"/>
      <x:c r="K188" s="81"/>
      <x:c r="L188" s="81"/>
      <x:c r="M188" s="81"/>
      <x:c r="N188" s="81"/>
      <x:c r="O188" s="81"/>
      <x:c r="P188" s="81"/>
      <x:c r="Q188" s="81"/>
      <x:c r="R188" s="81"/>
      <x:c r="S188" s="81"/>
      <x:c r="T188" s="81"/>
      <x:c r="U188" s="81"/>
      <x:c r="V188" s="81"/>
      <x:c r="W188" s="81"/>
      <x:c r="X188" s="81"/>
      <x:c r="Y188" s="81"/>
      <x:c r="Z188" s="81"/>
    </x:row>
    <x:row r="189">
      <x:c r="A189" s="81"/>
      <x:c r="B189" s="81"/>
      <x:c r="C189" s="81"/>
      <x:c r="D189" s="81"/>
      <x:c r="E189" s="81"/>
      <x:c r="F189" s="81"/>
      <x:c r="G189" s="81"/>
      <x:c r="H189" s="81"/>
      <x:c r="I189" s="81"/>
      <x:c r="J189" s="81"/>
      <x:c r="K189" s="81"/>
      <x:c r="L189" s="81"/>
      <x:c r="M189" s="81"/>
      <x:c r="N189" s="81"/>
      <x:c r="O189" s="81"/>
      <x:c r="P189" s="81"/>
      <x:c r="Q189" s="81"/>
      <x:c r="R189" s="81"/>
      <x:c r="S189" s="81"/>
      <x:c r="T189" s="81"/>
      <x:c r="U189" s="81"/>
      <x:c r="V189" s="81"/>
      <x:c r="W189" s="81"/>
      <x:c r="X189" s="81"/>
      <x:c r="Y189" s="81"/>
      <x:c r="Z189" s="81"/>
    </x:row>
    <x:row r="190">
      <x:c r="A190" s="81"/>
      <x:c r="B190" s="81"/>
      <x:c r="C190" s="81"/>
      <x:c r="D190" s="81"/>
      <x:c r="E190" s="81"/>
      <x:c r="F190" s="81"/>
      <x:c r="G190" s="81"/>
      <x:c r="H190" s="81"/>
      <x:c r="I190" s="81"/>
      <x:c r="J190" s="81"/>
      <x:c r="K190" s="81"/>
      <x:c r="L190" s="81"/>
      <x:c r="M190" s="81"/>
      <x:c r="N190" s="81"/>
      <x:c r="O190" s="81"/>
      <x:c r="P190" s="81"/>
      <x:c r="Q190" s="81"/>
      <x:c r="R190" s="81"/>
      <x:c r="S190" s="81"/>
      <x:c r="T190" s="81"/>
      <x:c r="U190" s="81"/>
      <x:c r="V190" s="81"/>
      <x:c r="W190" s="81"/>
      <x:c r="X190" s="81"/>
      <x:c r="Y190" s="81"/>
      <x:c r="Z190" s="81"/>
    </x:row>
    <x:row r="191">
      <x:c r="A191" s="81"/>
      <x:c r="B191" s="81"/>
      <x:c r="C191" s="81"/>
      <x:c r="D191" s="81"/>
      <x:c r="E191" s="81"/>
      <x:c r="F191" s="81"/>
      <x:c r="G191" s="81"/>
      <x:c r="H191" s="81"/>
      <x:c r="I191" s="81"/>
      <x:c r="J191" s="81"/>
      <x:c r="K191" s="81"/>
      <x:c r="L191" s="81"/>
      <x:c r="M191" s="81"/>
      <x:c r="N191" s="81"/>
      <x:c r="O191" s="81"/>
      <x:c r="P191" s="81"/>
      <x:c r="Q191" s="81"/>
      <x:c r="R191" s="81"/>
      <x:c r="S191" s="81"/>
      <x:c r="T191" s="81"/>
      <x:c r="U191" s="81"/>
      <x:c r="V191" s="81"/>
      <x:c r="W191" s="81"/>
      <x:c r="X191" s="81"/>
      <x:c r="Y191" s="81"/>
      <x:c r="Z191" s="81"/>
    </x:row>
    <x:row r="192">
      <x:c r="A192" s="81"/>
      <x:c r="B192" s="81"/>
      <x:c r="C192" s="81"/>
      <x:c r="D192" s="81"/>
      <x:c r="E192" s="81"/>
      <x:c r="F192" s="81"/>
      <x:c r="G192" s="81"/>
      <x:c r="H192" s="81"/>
      <x:c r="I192" s="81"/>
      <x:c r="J192" s="81"/>
      <x:c r="K192" s="81"/>
      <x:c r="L192" s="81"/>
      <x:c r="M192" s="81"/>
      <x:c r="N192" s="81"/>
      <x:c r="O192" s="81"/>
      <x:c r="P192" s="81"/>
      <x:c r="Q192" s="81"/>
      <x:c r="R192" s="81"/>
      <x:c r="S192" s="81"/>
      <x:c r="T192" s="81"/>
      <x:c r="U192" s="81"/>
      <x:c r="V192" s="81"/>
      <x:c r="W192" s="81"/>
      <x:c r="X192" s="81"/>
      <x:c r="Y192" s="81"/>
      <x:c r="Z192" s="81"/>
    </x:row>
    <x:row r="193">
      <x:c r="A193" s="81"/>
      <x:c r="B193" s="81"/>
      <x:c r="C193" s="81"/>
      <x:c r="D193" s="81"/>
      <x:c r="E193" s="81"/>
      <x:c r="F193" s="81"/>
      <x:c r="G193" s="81"/>
      <x:c r="H193" s="81"/>
      <x:c r="I193" s="81"/>
      <x:c r="J193" s="81"/>
      <x:c r="K193" s="81"/>
      <x:c r="L193" s="81"/>
      <x:c r="M193" s="81"/>
      <x:c r="N193" s="81"/>
      <x:c r="O193" s="81"/>
      <x:c r="P193" s="81"/>
      <x:c r="Q193" s="81"/>
      <x:c r="R193" s="81"/>
      <x:c r="S193" s="81"/>
      <x:c r="T193" s="81"/>
      <x:c r="U193" s="81"/>
      <x:c r="V193" s="81"/>
      <x:c r="W193" s="81"/>
      <x:c r="X193" s="81"/>
      <x:c r="Y193" s="81"/>
      <x:c r="Z193" s="81"/>
    </x:row>
    <x:row r="194">
      <x:c r="A194" s="81"/>
      <x:c r="B194" s="81"/>
      <x:c r="C194" s="81"/>
      <x:c r="D194" s="81"/>
      <x:c r="E194" s="81"/>
      <x:c r="F194" s="81"/>
      <x:c r="G194" s="81"/>
      <x:c r="H194" s="81"/>
      <x:c r="I194" s="81"/>
      <x:c r="J194" s="81"/>
      <x:c r="K194" s="81"/>
      <x:c r="L194" s="81"/>
      <x:c r="M194" s="81"/>
      <x:c r="N194" s="81"/>
      <x:c r="O194" s="81"/>
      <x:c r="P194" s="81"/>
      <x:c r="Q194" s="81"/>
      <x:c r="R194" s="81"/>
      <x:c r="S194" s="81"/>
      <x:c r="T194" s="81"/>
      <x:c r="U194" s="81"/>
      <x:c r="V194" s="81"/>
      <x:c r="W194" s="81"/>
      <x:c r="X194" s="81"/>
      <x:c r="Y194" s="81"/>
      <x:c r="Z194" s="81"/>
    </x:row>
    <x:row r="195">
      <x:c r="A195" s="81"/>
      <x:c r="B195" s="81"/>
      <x:c r="C195" s="81"/>
      <x:c r="D195" s="81"/>
      <x:c r="E195" s="81"/>
      <x:c r="F195" s="81"/>
      <x:c r="G195" s="81"/>
      <x:c r="H195" s="81"/>
      <x:c r="I195" s="81"/>
      <x:c r="J195" s="81"/>
      <x:c r="K195" s="81"/>
      <x:c r="L195" s="81"/>
      <x:c r="M195" s="81"/>
      <x:c r="N195" s="81"/>
      <x:c r="O195" s="81"/>
      <x:c r="P195" s="81"/>
      <x:c r="Q195" s="81"/>
      <x:c r="R195" s="81"/>
      <x:c r="S195" s="81"/>
      <x:c r="T195" s="81"/>
      <x:c r="U195" s="81"/>
      <x:c r="V195" s="81"/>
      <x:c r="W195" s="81"/>
      <x:c r="X195" s="81"/>
      <x:c r="Y195" s="81"/>
      <x:c r="Z195" s="81"/>
    </x:row>
    <x:row r="196">
      <x:c r="A196" s="81"/>
      <x:c r="B196" s="81"/>
      <x:c r="C196" s="81"/>
      <x:c r="D196" s="81"/>
      <x:c r="E196" s="81"/>
      <x:c r="F196" s="81"/>
      <x:c r="G196" s="81"/>
      <x:c r="H196" s="81"/>
      <x:c r="I196" s="81"/>
      <x:c r="J196" s="81"/>
      <x:c r="K196" s="81"/>
      <x:c r="L196" s="81"/>
      <x:c r="M196" s="81"/>
      <x:c r="N196" s="81"/>
      <x:c r="O196" s="81"/>
      <x:c r="P196" s="81"/>
      <x:c r="Q196" s="81"/>
      <x:c r="R196" s="81"/>
      <x:c r="S196" s="81"/>
      <x:c r="T196" s="81"/>
      <x:c r="U196" s="81"/>
      <x:c r="V196" s="81"/>
      <x:c r="W196" s="81"/>
      <x:c r="X196" s="81"/>
      <x:c r="Y196" s="81"/>
      <x:c r="Z196" s="81"/>
    </x:row>
    <x:row r="197">
      <x:c r="A197" s="81"/>
      <x:c r="B197" s="81"/>
      <x:c r="C197" s="81"/>
      <x:c r="D197" s="81"/>
      <x:c r="E197" s="81"/>
      <x:c r="F197" s="81"/>
      <x:c r="G197" s="81"/>
      <x:c r="H197" s="81"/>
      <x:c r="I197" s="81"/>
      <x:c r="J197" s="81"/>
      <x:c r="K197" s="81"/>
      <x:c r="L197" s="81"/>
      <x:c r="M197" s="81"/>
      <x:c r="N197" s="81"/>
      <x:c r="O197" s="81"/>
      <x:c r="P197" s="81"/>
      <x:c r="Q197" s="81"/>
      <x:c r="R197" s="81"/>
      <x:c r="S197" s="81"/>
      <x:c r="T197" s="81"/>
      <x:c r="U197" s="81"/>
      <x:c r="V197" s="81"/>
      <x:c r="W197" s="81"/>
      <x:c r="X197" s="81"/>
      <x:c r="Y197" s="81"/>
      <x:c r="Z197" s="81"/>
    </x:row>
    <x:row r="198">
      <x:c r="A198" s="81"/>
      <x:c r="B198" s="81"/>
      <x:c r="C198" s="81"/>
      <x:c r="D198" s="81"/>
      <x:c r="E198" s="81"/>
      <x:c r="F198" s="81"/>
      <x:c r="G198" s="81"/>
      <x:c r="H198" s="81"/>
      <x:c r="I198" s="81"/>
      <x:c r="J198" s="81"/>
      <x:c r="K198" s="81"/>
      <x:c r="L198" s="81"/>
      <x:c r="M198" s="81"/>
      <x:c r="N198" s="81"/>
      <x:c r="O198" s="81"/>
      <x:c r="P198" s="81"/>
      <x:c r="Q198" s="81"/>
      <x:c r="R198" s="81"/>
      <x:c r="S198" s="81"/>
      <x:c r="T198" s="81"/>
      <x:c r="U198" s="81"/>
      <x:c r="V198" s="81"/>
      <x:c r="W198" s="81"/>
      <x:c r="X198" s="81"/>
      <x:c r="Y198" s="81"/>
      <x:c r="Z198" s="81"/>
    </x:row>
    <x:row r="199">
      <x:c r="A199" s="81"/>
      <x:c r="B199" s="81"/>
      <x:c r="C199" s="81"/>
      <x:c r="D199" s="81"/>
      <x:c r="E199" s="81"/>
      <x:c r="F199" s="81"/>
      <x:c r="G199" s="81"/>
      <x:c r="H199" s="81"/>
      <x:c r="I199" s="81"/>
      <x:c r="J199" s="81"/>
      <x:c r="K199" s="81"/>
      <x:c r="L199" s="81"/>
      <x:c r="M199" s="81"/>
      <x:c r="N199" s="81"/>
      <x:c r="O199" s="81"/>
      <x:c r="P199" s="81"/>
      <x:c r="Q199" s="81"/>
      <x:c r="R199" s="81"/>
      <x:c r="S199" s="81"/>
      <x:c r="T199" s="81"/>
      <x:c r="U199" s="81"/>
      <x:c r="V199" s="81"/>
      <x:c r="W199" s="81"/>
      <x:c r="X199" s="81"/>
      <x:c r="Y199" s="81"/>
      <x:c r="Z199" s="81"/>
    </x:row>
    <x:row r="200">
      <x:c r="A200" s="81"/>
      <x:c r="B200" s="81"/>
      <x:c r="C200" s="81"/>
      <x:c r="D200" s="81"/>
      <x:c r="E200" s="81"/>
      <x:c r="F200" s="81"/>
      <x:c r="G200" s="81"/>
      <x:c r="H200" s="81"/>
      <x:c r="I200" s="81"/>
      <x:c r="J200" s="81"/>
      <x:c r="K200" s="81"/>
      <x:c r="L200" s="81"/>
      <x:c r="M200" s="81"/>
      <x:c r="N200" s="81"/>
      <x:c r="O200" s="81"/>
      <x:c r="P200" s="81"/>
      <x:c r="Q200" s="81"/>
      <x:c r="R200" s="81"/>
      <x:c r="S200" s="81"/>
      <x:c r="T200" s="81"/>
      <x:c r="U200" s="81"/>
      <x:c r="V200" s="81"/>
      <x:c r="W200" s="81"/>
      <x:c r="X200" s="81"/>
      <x:c r="Y200" s="81"/>
      <x:c r="Z200" s="81"/>
    </x:row>
    <x:row r="201">
      <x:c r="A201" s="81"/>
      <x:c r="B201" s="81"/>
      <x:c r="C201" s="81"/>
      <x:c r="D201" s="81"/>
      <x:c r="E201" s="81"/>
      <x:c r="F201" s="81"/>
      <x:c r="G201" s="81"/>
      <x:c r="H201" s="81"/>
      <x:c r="I201" s="81"/>
      <x:c r="J201" s="81"/>
      <x:c r="K201" s="81"/>
      <x:c r="L201" s="81"/>
      <x:c r="M201" s="81"/>
      <x:c r="N201" s="81"/>
      <x:c r="O201" s="81"/>
      <x:c r="P201" s="81"/>
      <x:c r="Q201" s="81"/>
      <x:c r="R201" s="81"/>
      <x:c r="S201" s="81"/>
      <x:c r="T201" s="81"/>
      <x:c r="U201" s="81"/>
      <x:c r="V201" s="81"/>
      <x:c r="W201" s="81"/>
      <x:c r="X201" s="81"/>
      <x:c r="Y201" s="81"/>
      <x:c r="Z201" s="81"/>
    </x:row>
    <x:row r="202">
      <x:c r="A202" s="81"/>
      <x:c r="B202" s="81"/>
      <x:c r="C202" s="81"/>
      <x:c r="D202" s="81"/>
      <x:c r="E202" s="81"/>
      <x:c r="F202" s="81"/>
      <x:c r="G202" s="81"/>
      <x:c r="H202" s="81"/>
      <x:c r="I202" s="81"/>
      <x:c r="J202" s="81"/>
      <x:c r="K202" s="81"/>
      <x:c r="L202" s="81"/>
      <x:c r="M202" s="81"/>
      <x:c r="N202" s="81"/>
      <x:c r="O202" s="81"/>
      <x:c r="P202" s="81"/>
      <x:c r="Q202" s="81"/>
      <x:c r="R202" s="81"/>
      <x:c r="S202" s="81"/>
      <x:c r="T202" s="81"/>
      <x:c r="U202" s="81"/>
      <x:c r="V202" s="81"/>
      <x:c r="W202" s="81"/>
      <x:c r="X202" s="81"/>
      <x:c r="Y202" s="81"/>
      <x:c r="Z202" s="81"/>
    </x:row>
    <x:row r="203">
      <x:c r="A203" s="81"/>
      <x:c r="B203" s="81"/>
      <x:c r="C203" s="81"/>
      <x:c r="D203" s="81"/>
      <x:c r="E203" s="81"/>
      <x:c r="F203" s="81"/>
      <x:c r="G203" s="81"/>
      <x:c r="H203" s="81"/>
      <x:c r="I203" s="81"/>
      <x:c r="J203" s="81"/>
      <x:c r="K203" s="81"/>
      <x:c r="L203" s="81"/>
      <x:c r="M203" s="81"/>
      <x:c r="N203" s="81"/>
      <x:c r="O203" s="81"/>
      <x:c r="P203" s="81"/>
      <x:c r="Q203" s="81"/>
      <x:c r="R203" s="81"/>
      <x:c r="S203" s="81"/>
      <x:c r="T203" s="81"/>
      <x:c r="U203" s="81"/>
      <x:c r="V203" s="81"/>
      <x:c r="W203" s="81"/>
      <x:c r="X203" s="81"/>
      <x:c r="Y203" s="81"/>
      <x:c r="Z203" s="81"/>
    </x:row>
    <x:row r="204">
      <x:c r="A204" s="81"/>
      <x:c r="B204" s="81"/>
      <x:c r="C204" s="81"/>
      <x:c r="D204" s="81"/>
      <x:c r="E204" s="81"/>
      <x:c r="F204" s="81"/>
      <x:c r="G204" s="81"/>
      <x:c r="H204" s="81"/>
      <x:c r="I204" s="81"/>
      <x:c r="J204" s="81"/>
      <x:c r="K204" s="81"/>
      <x:c r="L204" s="81"/>
      <x:c r="M204" s="81"/>
      <x:c r="N204" s="81"/>
      <x:c r="O204" s="81"/>
      <x:c r="P204" s="81"/>
      <x:c r="Q204" s="81"/>
      <x:c r="R204" s="81"/>
      <x:c r="S204" s="81"/>
      <x:c r="T204" s="81"/>
      <x:c r="U204" s="81"/>
      <x:c r="V204" s="81"/>
      <x:c r="W204" s="81"/>
      <x:c r="X204" s="81"/>
      <x:c r="Y204" s="81"/>
      <x:c r="Z204" s="81"/>
    </x:row>
    <x:row r="205">
      <x:c r="A205" s="81"/>
      <x:c r="B205" s="81"/>
      <x:c r="C205" s="81"/>
      <x:c r="D205" s="81"/>
      <x:c r="E205" s="81"/>
      <x:c r="F205" s="81"/>
      <x:c r="G205" s="81"/>
      <x:c r="H205" s="81"/>
      <x:c r="I205" s="81"/>
      <x:c r="J205" s="81"/>
      <x:c r="K205" s="81"/>
      <x:c r="L205" s="81"/>
      <x:c r="M205" s="81"/>
      <x:c r="N205" s="81"/>
      <x:c r="O205" s="81"/>
      <x:c r="P205" s="81"/>
      <x:c r="Q205" s="81"/>
      <x:c r="R205" s="81"/>
      <x:c r="S205" s="81"/>
      <x:c r="T205" s="81"/>
      <x:c r="U205" s="81"/>
      <x:c r="V205" s="81"/>
      <x:c r="W205" s="81"/>
      <x:c r="X205" s="81"/>
      <x:c r="Y205" s="81"/>
      <x:c r="Z205" s="81"/>
    </x:row>
    <x:row r="206">
      <x:c r="A206" s="81"/>
      <x:c r="B206" s="81"/>
      <x:c r="C206" s="81"/>
      <x:c r="D206" s="81"/>
      <x:c r="E206" s="81"/>
      <x:c r="F206" s="81"/>
      <x:c r="G206" s="81"/>
      <x:c r="H206" s="81"/>
      <x:c r="I206" s="81"/>
      <x:c r="J206" s="81"/>
      <x:c r="K206" s="81"/>
      <x:c r="L206" s="81"/>
      <x:c r="M206" s="81"/>
      <x:c r="N206" s="81"/>
      <x:c r="O206" s="81"/>
      <x:c r="P206" s="81"/>
      <x:c r="Q206" s="81"/>
      <x:c r="R206" s="81"/>
      <x:c r="S206" s="81"/>
      <x:c r="T206" s="81"/>
      <x:c r="U206" s="81"/>
      <x:c r="V206" s="81"/>
      <x:c r="W206" s="81"/>
      <x:c r="X206" s="81"/>
      <x:c r="Y206" s="81"/>
      <x:c r="Z206" s="81"/>
    </x:row>
    <x:row r="207">
      <x:c r="A207" s="81"/>
      <x:c r="B207" s="81"/>
      <x:c r="C207" s="81"/>
      <x:c r="D207" s="81"/>
      <x:c r="E207" s="81"/>
      <x:c r="F207" s="81"/>
      <x:c r="G207" s="81"/>
      <x:c r="H207" s="81"/>
      <x:c r="I207" s="81"/>
      <x:c r="J207" s="81"/>
      <x:c r="K207" s="81"/>
      <x:c r="L207" s="81"/>
      <x:c r="M207" s="81"/>
      <x:c r="N207" s="81"/>
      <x:c r="O207" s="81"/>
      <x:c r="P207" s="81"/>
      <x:c r="Q207" s="81"/>
      <x:c r="R207" s="81"/>
      <x:c r="S207" s="81"/>
      <x:c r="T207" s="81"/>
      <x:c r="U207" s="81"/>
      <x:c r="V207" s="81"/>
      <x:c r="W207" s="81"/>
      <x:c r="X207" s="81"/>
      <x:c r="Y207" s="81"/>
      <x:c r="Z207" s="81"/>
    </x:row>
    <x:row r="208">
      <x:c r="A208" s="81"/>
      <x:c r="B208" s="81"/>
      <x:c r="C208" s="81"/>
      <x:c r="D208" s="81"/>
      <x:c r="E208" s="81"/>
      <x:c r="F208" s="81"/>
      <x:c r="G208" s="81"/>
      <x:c r="H208" s="81"/>
      <x:c r="I208" s="81"/>
      <x:c r="J208" s="81"/>
      <x:c r="K208" s="81"/>
      <x:c r="L208" s="81"/>
      <x:c r="M208" s="81"/>
      <x:c r="N208" s="81"/>
      <x:c r="O208" s="81"/>
      <x:c r="P208" s="81"/>
      <x:c r="Q208" s="81"/>
      <x:c r="R208" s="81"/>
      <x:c r="S208" s="81"/>
      <x:c r="T208" s="81"/>
      <x:c r="U208" s="81"/>
      <x:c r="V208" s="81"/>
      <x:c r="W208" s="81"/>
      <x:c r="X208" s="81"/>
      <x:c r="Y208" s="81"/>
      <x:c r="Z208" s="81"/>
    </x:row>
    <x:row r="209">
      <x:c r="A209" s="81"/>
      <x:c r="B209" s="81"/>
      <x:c r="C209" s="81"/>
      <x:c r="D209" s="81"/>
      <x:c r="E209" s="81"/>
      <x:c r="F209" s="81"/>
      <x:c r="G209" s="81"/>
      <x:c r="H209" s="81"/>
      <x:c r="I209" s="81"/>
      <x:c r="J209" s="81"/>
      <x:c r="K209" s="81"/>
      <x:c r="L209" s="81"/>
      <x:c r="M209" s="81"/>
      <x:c r="N209" s="81"/>
      <x:c r="O209" s="81"/>
      <x:c r="P209" s="81"/>
      <x:c r="Q209" s="81"/>
      <x:c r="R209" s="81"/>
      <x:c r="S209" s="81"/>
      <x:c r="T209" s="81"/>
      <x:c r="U209" s="81"/>
      <x:c r="V209" s="81"/>
      <x:c r="W209" s="81"/>
      <x:c r="X209" s="81"/>
      <x:c r="Y209" s="81"/>
      <x:c r="Z209" s="81"/>
    </x:row>
    <x:row r="210">
      <x:c r="A210" s="81"/>
      <x:c r="B210" s="81"/>
      <x:c r="C210" s="81"/>
      <x:c r="D210" s="81"/>
      <x:c r="E210" s="81"/>
      <x:c r="F210" s="81"/>
      <x:c r="G210" s="81"/>
      <x:c r="H210" s="81"/>
      <x:c r="I210" s="81"/>
      <x:c r="J210" s="81"/>
      <x:c r="K210" s="81"/>
      <x:c r="L210" s="81"/>
      <x:c r="M210" s="81"/>
      <x:c r="N210" s="81"/>
      <x:c r="O210" s="81"/>
      <x:c r="P210" s="81"/>
      <x:c r="Q210" s="81"/>
      <x:c r="R210" s="81"/>
      <x:c r="S210" s="81"/>
      <x:c r="T210" s="81"/>
      <x:c r="U210" s="81"/>
      <x:c r="V210" s="81"/>
      <x:c r="W210" s="81"/>
      <x:c r="X210" s="81"/>
      <x:c r="Y210" s="81"/>
      <x:c r="Z210" s="81"/>
    </x:row>
    <x:row r="211">
      <x:c r="A211" s="81"/>
      <x:c r="B211" s="81"/>
      <x:c r="C211" s="81"/>
      <x:c r="D211" s="81"/>
      <x:c r="E211" s="81"/>
      <x:c r="F211" s="81"/>
      <x:c r="G211" s="81"/>
      <x:c r="H211" s="81"/>
      <x:c r="I211" s="81"/>
      <x:c r="J211" s="81"/>
      <x:c r="K211" s="81"/>
      <x:c r="L211" s="81"/>
      <x:c r="M211" s="81"/>
      <x:c r="N211" s="81"/>
      <x:c r="O211" s="81"/>
      <x:c r="P211" s="81"/>
      <x:c r="Q211" s="81"/>
      <x:c r="R211" s="81"/>
      <x:c r="S211" s="81"/>
      <x:c r="T211" s="81"/>
      <x:c r="U211" s="81"/>
      <x:c r="V211" s="81"/>
      <x:c r="W211" s="81"/>
      <x:c r="X211" s="81"/>
      <x:c r="Y211" s="81"/>
      <x:c r="Z211" s="81"/>
    </x:row>
    <x:row r="212">
      <x:c r="A212" s="81"/>
      <x:c r="B212" s="81"/>
      <x:c r="C212" s="81"/>
      <x:c r="D212" s="81"/>
      <x:c r="E212" s="81"/>
      <x:c r="F212" s="81"/>
      <x:c r="G212" s="81"/>
      <x:c r="H212" s="81"/>
      <x:c r="I212" s="81"/>
      <x:c r="J212" s="81"/>
      <x:c r="K212" s="81"/>
      <x:c r="L212" s="81"/>
      <x:c r="M212" s="81"/>
      <x:c r="N212" s="81"/>
      <x:c r="O212" s="81"/>
      <x:c r="P212" s="81"/>
      <x:c r="Q212" s="81"/>
      <x:c r="R212" s="81"/>
      <x:c r="S212" s="81"/>
      <x:c r="T212" s="81"/>
      <x:c r="U212" s="81"/>
      <x:c r="V212" s="81"/>
      <x:c r="W212" s="81"/>
      <x:c r="X212" s="81"/>
      <x:c r="Y212" s="81"/>
      <x:c r="Z212" s="81"/>
    </x:row>
    <x:row r="213">
      <x:c r="A213" s="81"/>
      <x:c r="B213" s="81"/>
      <x:c r="C213" s="81"/>
      <x:c r="D213" s="81"/>
      <x:c r="E213" s="81"/>
      <x:c r="F213" s="81"/>
      <x:c r="G213" s="81"/>
      <x:c r="H213" s="81"/>
      <x:c r="I213" s="81"/>
      <x:c r="J213" s="81"/>
      <x:c r="K213" s="81"/>
      <x:c r="L213" s="81"/>
      <x:c r="M213" s="81"/>
      <x:c r="N213" s="81"/>
      <x:c r="O213" s="81"/>
      <x:c r="P213" s="81"/>
      <x:c r="Q213" s="81"/>
      <x:c r="R213" s="81"/>
      <x:c r="S213" s="81"/>
      <x:c r="T213" s="81"/>
      <x:c r="U213" s="81"/>
      <x:c r="V213" s="81"/>
      <x:c r="W213" s="81"/>
      <x:c r="X213" s="81"/>
      <x:c r="Y213" s="81"/>
      <x:c r="Z213" s="81"/>
    </x:row>
    <x:row r="214">
      <x:c r="A214" s="81"/>
      <x:c r="B214" s="81"/>
      <x:c r="C214" s="81"/>
      <x:c r="D214" s="81"/>
      <x:c r="E214" s="81"/>
      <x:c r="F214" s="81"/>
      <x:c r="G214" s="81"/>
      <x:c r="H214" s="81"/>
      <x:c r="I214" s="81"/>
      <x:c r="J214" s="81"/>
      <x:c r="K214" s="81"/>
      <x:c r="L214" s="81"/>
      <x:c r="M214" s="81"/>
      <x:c r="N214" s="81"/>
      <x:c r="O214" s="81"/>
      <x:c r="P214" s="81"/>
      <x:c r="Q214" s="81"/>
      <x:c r="R214" s="81"/>
      <x:c r="S214" s="81"/>
      <x:c r="T214" s="81"/>
      <x:c r="U214" s="81"/>
      <x:c r="V214" s="81"/>
      <x:c r="W214" s="81"/>
      <x:c r="X214" s="81"/>
      <x:c r="Y214" s="81"/>
      <x:c r="Z214" s="81"/>
    </x:row>
    <x:row r="215">
      <x:c r="A215" s="81"/>
      <x:c r="B215" s="81"/>
      <x:c r="C215" s="81"/>
      <x:c r="D215" s="81"/>
      <x:c r="E215" s="81"/>
      <x:c r="F215" s="81"/>
      <x:c r="G215" s="81"/>
      <x:c r="H215" s="81"/>
      <x:c r="I215" s="81"/>
      <x:c r="J215" s="81"/>
      <x:c r="K215" s="81"/>
      <x:c r="L215" s="81"/>
      <x:c r="M215" s="81"/>
      <x:c r="N215" s="81"/>
      <x:c r="O215" s="81"/>
      <x:c r="P215" s="81"/>
      <x:c r="Q215" s="81"/>
      <x:c r="R215" s="81"/>
      <x:c r="S215" s="81"/>
      <x:c r="T215" s="81"/>
      <x:c r="U215" s="81"/>
      <x:c r="V215" s="81"/>
      <x:c r="W215" s="81"/>
      <x:c r="X215" s="81"/>
      <x:c r="Y215" s="81"/>
      <x:c r="Z215" s="81"/>
    </x:row>
    <x:row r="216">
      <x:c r="A216" s="81"/>
      <x:c r="B216" s="81"/>
      <x:c r="C216" s="81"/>
      <x:c r="D216" s="81"/>
      <x:c r="E216" s="81"/>
      <x:c r="F216" s="81"/>
      <x:c r="G216" s="81"/>
      <x:c r="H216" s="81"/>
      <x:c r="I216" s="81"/>
      <x:c r="J216" s="81"/>
      <x:c r="K216" s="81"/>
      <x:c r="L216" s="81"/>
      <x:c r="M216" s="81"/>
      <x:c r="N216" s="81"/>
      <x:c r="O216" s="81"/>
      <x:c r="P216" s="81"/>
      <x:c r="Q216" s="81"/>
      <x:c r="R216" s="81"/>
      <x:c r="S216" s="81"/>
      <x:c r="T216" s="81"/>
      <x:c r="U216" s="81"/>
      <x:c r="V216" s="81"/>
      <x:c r="W216" s="81"/>
      <x:c r="X216" s="81"/>
      <x:c r="Y216" s="81"/>
      <x:c r="Z216" s="81"/>
    </x:row>
    <x:row r="217">
      <x:c r="A217" s="81"/>
      <x:c r="B217" s="81"/>
      <x:c r="C217" s="81"/>
      <x:c r="D217" s="81"/>
      <x:c r="E217" s="81"/>
      <x:c r="F217" s="81"/>
      <x:c r="G217" s="81"/>
      <x:c r="H217" s="81"/>
      <x:c r="I217" s="81"/>
      <x:c r="J217" s="81"/>
      <x:c r="K217" s="81"/>
      <x:c r="L217" s="81"/>
      <x:c r="M217" s="81"/>
      <x:c r="N217" s="81"/>
      <x:c r="O217" s="81"/>
      <x:c r="P217" s="81"/>
      <x:c r="Q217" s="81"/>
      <x:c r="R217" s="81"/>
      <x:c r="S217" s="81"/>
      <x:c r="T217" s="81"/>
      <x:c r="U217" s="81"/>
      <x:c r="V217" s="81"/>
      <x:c r="W217" s="81"/>
      <x:c r="X217" s="81"/>
      <x:c r="Y217" s="81"/>
      <x:c r="Z217" s="81"/>
    </x:row>
    <x:row r="218">
      <x:c r="A218" s="81"/>
      <x:c r="B218" s="81"/>
      <x:c r="C218" s="81"/>
      <x:c r="D218" s="81"/>
      <x:c r="E218" s="81"/>
      <x:c r="F218" s="81"/>
      <x:c r="G218" s="81"/>
      <x:c r="H218" s="81"/>
      <x:c r="I218" s="81"/>
      <x:c r="J218" s="81"/>
      <x:c r="K218" s="81"/>
      <x:c r="L218" s="81"/>
      <x:c r="M218" s="81"/>
      <x:c r="N218" s="81"/>
      <x:c r="O218" s="81"/>
      <x:c r="P218" s="81"/>
      <x:c r="Q218" s="81"/>
      <x:c r="R218" s="81"/>
      <x:c r="S218" s="81"/>
      <x:c r="T218" s="81"/>
      <x:c r="U218" s="81"/>
      <x:c r="V218" s="81"/>
      <x:c r="W218" s="81"/>
      <x:c r="X218" s="81"/>
      <x:c r="Y218" s="81"/>
      <x:c r="Z218" s="81"/>
    </x:row>
    <x:row r="219">
      <x:c r="A219" s="81"/>
      <x:c r="B219" s="81"/>
      <x:c r="C219" s="81"/>
      <x:c r="D219" s="81"/>
      <x:c r="E219" s="81"/>
      <x:c r="F219" s="81"/>
      <x:c r="G219" s="81"/>
      <x:c r="H219" s="81"/>
      <x:c r="I219" s="81"/>
      <x:c r="J219" s="81"/>
      <x:c r="K219" s="81"/>
      <x:c r="L219" s="81"/>
      <x:c r="M219" s="81"/>
      <x:c r="N219" s="81"/>
      <x:c r="O219" s="81"/>
      <x:c r="P219" s="81"/>
      <x:c r="Q219" s="81"/>
      <x:c r="R219" s="81"/>
      <x:c r="S219" s="81"/>
      <x:c r="T219" s="81"/>
      <x:c r="U219" s="81"/>
      <x:c r="V219" s="81"/>
      <x:c r="W219" s="81"/>
      <x:c r="X219" s="81"/>
      <x:c r="Y219" s="81"/>
      <x:c r="Z219" s="81"/>
    </x:row>
    <x:row r="220">
      <x:c r="A220" s="81"/>
      <x:c r="B220" s="81"/>
      <x:c r="C220" s="81"/>
      <x:c r="D220" s="81"/>
      <x:c r="E220" s="81"/>
      <x:c r="F220" s="81"/>
      <x:c r="G220" s="81"/>
      <x:c r="H220" s="81"/>
      <x:c r="I220" s="81"/>
      <x:c r="J220" s="81"/>
      <x:c r="K220" s="81"/>
      <x:c r="L220" s="81"/>
      <x:c r="M220" s="81"/>
      <x:c r="N220" s="81"/>
      <x:c r="O220" s="81"/>
      <x:c r="P220" s="81"/>
      <x:c r="Q220" s="81"/>
      <x:c r="R220" s="81"/>
      <x:c r="S220" s="81"/>
      <x:c r="T220" s="81"/>
      <x:c r="U220" s="81"/>
      <x:c r="V220" s="81"/>
      <x:c r="W220" s="81"/>
      <x:c r="X220" s="81"/>
      <x:c r="Y220" s="81"/>
      <x:c r="Z220" s="81"/>
    </x:row>
    <x:row r="221">
      <x:c r="A221" s="81"/>
      <x:c r="B221" s="81"/>
      <x:c r="C221" s="81"/>
      <x:c r="D221" s="81"/>
      <x:c r="E221" s="81"/>
      <x:c r="F221" s="81"/>
      <x:c r="G221" s="81"/>
      <x:c r="H221" s="81"/>
      <x:c r="I221" s="81"/>
      <x:c r="J221" s="81"/>
      <x:c r="K221" s="81"/>
      <x:c r="L221" s="81"/>
      <x:c r="M221" s="81"/>
      <x:c r="N221" s="81"/>
      <x:c r="O221" s="81"/>
      <x:c r="P221" s="81"/>
      <x:c r="Q221" s="81"/>
      <x:c r="R221" s="81"/>
      <x:c r="S221" s="81"/>
      <x:c r="T221" s="81"/>
      <x:c r="U221" s="81"/>
      <x:c r="V221" s="81"/>
      <x:c r="W221" s="81"/>
      <x:c r="X221" s="81"/>
      <x:c r="Y221" s="81"/>
      <x:c r="Z221" s="81"/>
    </x:row>
    <x:row r="222">
      <x:c r="A222" s="81"/>
      <x:c r="B222" s="81"/>
      <x:c r="C222" s="81"/>
      <x:c r="D222" s="81"/>
      <x:c r="E222" s="81"/>
      <x:c r="F222" s="81"/>
      <x:c r="G222" s="81"/>
      <x:c r="H222" s="81"/>
      <x:c r="I222" s="81"/>
      <x:c r="J222" s="81"/>
      <x:c r="K222" s="81"/>
      <x:c r="L222" s="81"/>
      <x:c r="M222" s="81"/>
      <x:c r="N222" s="81"/>
      <x:c r="O222" s="81"/>
      <x:c r="P222" s="81"/>
      <x:c r="Q222" s="81"/>
      <x:c r="R222" s="81"/>
      <x:c r="S222" s="81"/>
      <x:c r="T222" s="81"/>
      <x:c r="U222" s="81"/>
      <x:c r="V222" s="81"/>
      <x:c r="W222" s="81"/>
      <x:c r="X222" s="81"/>
      <x:c r="Y222" s="81"/>
      <x:c r="Z222" s="81"/>
    </x:row>
    <x:row r="223">
      <x:c r="A223" s="81"/>
      <x:c r="B223" s="81"/>
      <x:c r="C223" s="81"/>
      <x:c r="D223" s="81"/>
      <x:c r="E223" s="81"/>
      <x:c r="F223" s="81"/>
      <x:c r="G223" s="81"/>
      <x:c r="H223" s="81"/>
      <x:c r="I223" s="81"/>
      <x:c r="J223" s="81"/>
      <x:c r="K223" s="81"/>
      <x:c r="L223" s="81"/>
      <x:c r="M223" s="81"/>
      <x:c r="N223" s="81"/>
      <x:c r="O223" s="81"/>
      <x:c r="P223" s="81"/>
      <x:c r="Q223" s="81"/>
      <x:c r="R223" s="81"/>
      <x:c r="S223" s="81"/>
      <x:c r="T223" s="81"/>
      <x:c r="U223" s="81"/>
      <x:c r="V223" s="81"/>
      <x:c r="W223" s="81"/>
      <x:c r="X223" s="81"/>
      <x:c r="Y223" s="81"/>
      <x:c r="Z223" s="81"/>
    </x:row>
    <x:row r="224">
      <x:c r="A224" s="81"/>
      <x:c r="B224" s="81"/>
      <x:c r="C224" s="81"/>
      <x:c r="D224" s="81"/>
      <x:c r="E224" s="81"/>
      <x:c r="F224" s="81"/>
      <x:c r="G224" s="81"/>
      <x:c r="H224" s="81"/>
      <x:c r="I224" s="81"/>
      <x:c r="J224" s="81"/>
      <x:c r="K224" s="81"/>
      <x:c r="L224" s="81"/>
      <x:c r="M224" s="81"/>
      <x:c r="N224" s="81"/>
      <x:c r="O224" s="81"/>
      <x:c r="P224" s="81"/>
      <x:c r="Q224" s="81"/>
      <x:c r="R224" s="81"/>
      <x:c r="S224" s="81"/>
      <x:c r="T224" s="81"/>
      <x:c r="U224" s="81"/>
      <x:c r="V224" s="81"/>
      <x:c r="W224" s="81"/>
      <x:c r="X224" s="81"/>
      <x:c r="Y224" s="81"/>
      <x:c r="Z224" s="81"/>
    </x:row>
    <x:row r="225">
      <x:c r="A225" s="81"/>
      <x:c r="B225" s="81"/>
      <x:c r="C225" s="81"/>
      <x:c r="D225" s="81"/>
      <x:c r="E225" s="81"/>
      <x:c r="F225" s="81"/>
      <x:c r="G225" s="81"/>
      <x:c r="H225" s="81"/>
      <x:c r="I225" s="81"/>
      <x:c r="J225" s="81"/>
      <x:c r="K225" s="81"/>
      <x:c r="L225" s="81"/>
      <x:c r="M225" s="81"/>
      <x:c r="N225" s="81"/>
      <x:c r="O225" s="81"/>
      <x:c r="P225" s="81"/>
      <x:c r="Q225" s="81"/>
      <x:c r="R225" s="81"/>
      <x:c r="S225" s="81"/>
      <x:c r="T225" s="81"/>
      <x:c r="U225" s="81"/>
      <x:c r="V225" s="81"/>
      <x:c r="W225" s="81"/>
      <x:c r="X225" s="81"/>
      <x:c r="Y225" s="81"/>
      <x:c r="Z225" s="81"/>
    </x:row>
    <x:row r="226">
      <x:c r="A226" s="81"/>
      <x:c r="B226" s="81"/>
      <x:c r="C226" s="81"/>
      <x:c r="D226" s="81"/>
      <x:c r="E226" s="81"/>
      <x:c r="F226" s="81"/>
      <x:c r="G226" s="81"/>
      <x:c r="H226" s="81"/>
      <x:c r="I226" s="81"/>
      <x:c r="J226" s="81"/>
      <x:c r="K226" s="81"/>
      <x:c r="L226" s="81"/>
      <x:c r="M226" s="81"/>
      <x:c r="N226" s="81"/>
      <x:c r="O226" s="81"/>
      <x:c r="P226" s="81"/>
      <x:c r="Q226" s="81"/>
      <x:c r="R226" s="81"/>
      <x:c r="S226" s="81"/>
      <x:c r="T226" s="81"/>
      <x:c r="U226" s="81"/>
      <x:c r="V226" s="81"/>
      <x:c r="W226" s="81"/>
      <x:c r="X226" s="81"/>
      <x:c r="Y226" s="81"/>
      <x:c r="Z226" s="81"/>
    </x:row>
    <x:row r="227">
      <x:c r="A227" s="81"/>
      <x:c r="B227" s="81"/>
      <x:c r="C227" s="81"/>
      <x:c r="D227" s="81"/>
      <x:c r="E227" s="81"/>
      <x:c r="F227" s="81"/>
      <x:c r="G227" s="81"/>
      <x:c r="H227" s="81"/>
      <x:c r="I227" s="81"/>
      <x:c r="J227" s="81"/>
      <x:c r="K227" s="81"/>
      <x:c r="L227" s="81"/>
      <x:c r="M227" s="81"/>
      <x:c r="N227" s="81"/>
      <x:c r="O227" s="81"/>
      <x:c r="P227" s="81"/>
      <x:c r="Q227" s="81"/>
      <x:c r="R227" s="81"/>
      <x:c r="S227" s="81"/>
      <x:c r="T227" s="81"/>
      <x:c r="U227" s="81"/>
      <x:c r="V227" s="81"/>
      <x:c r="W227" s="81"/>
      <x:c r="X227" s="81"/>
      <x:c r="Y227" s="81"/>
      <x:c r="Z227" s="81"/>
    </x:row>
    <x:row r="228">
      <x:c r="A228" s="81"/>
      <x:c r="B228" s="81"/>
      <x:c r="C228" s="81"/>
      <x:c r="D228" s="81"/>
      <x:c r="E228" s="81"/>
      <x:c r="F228" s="81"/>
      <x:c r="G228" s="81"/>
      <x:c r="H228" s="81"/>
      <x:c r="I228" s="81"/>
      <x:c r="J228" s="81"/>
      <x:c r="K228" s="81"/>
      <x:c r="L228" s="81"/>
      <x:c r="M228" s="81"/>
      <x:c r="N228" s="81"/>
      <x:c r="O228" s="81"/>
      <x:c r="P228" s="81"/>
      <x:c r="Q228" s="81"/>
      <x:c r="R228" s="81"/>
      <x:c r="S228" s="81"/>
      <x:c r="T228" s="81"/>
      <x:c r="U228" s="81"/>
      <x:c r="V228" s="81"/>
      <x:c r="W228" s="81"/>
      <x:c r="X228" s="81"/>
      <x:c r="Y228" s="81"/>
      <x:c r="Z228" s="81"/>
    </x:row>
    <x:row r="229">
      <x:c r="A229" s="81"/>
      <x:c r="B229" s="81"/>
      <x:c r="C229" s="81"/>
      <x:c r="D229" s="81"/>
      <x:c r="E229" s="81"/>
      <x:c r="F229" s="81"/>
      <x:c r="G229" s="81"/>
      <x:c r="H229" s="81"/>
      <x:c r="I229" s="81"/>
      <x:c r="J229" s="81"/>
      <x:c r="K229" s="81"/>
      <x:c r="L229" s="81"/>
      <x:c r="M229" s="81"/>
      <x:c r="N229" s="81"/>
      <x:c r="O229" s="81"/>
      <x:c r="P229" s="81"/>
      <x:c r="Q229" s="81"/>
      <x:c r="R229" s="81"/>
      <x:c r="S229" s="81"/>
      <x:c r="T229" s="81"/>
      <x:c r="U229" s="81"/>
      <x:c r="V229" s="81"/>
      <x:c r="W229" s="81"/>
      <x:c r="X229" s="81"/>
      <x:c r="Y229" s="81"/>
      <x:c r="Z229" s="81"/>
    </x:row>
    <x:row r="230">
      <x:c r="A230" s="81"/>
      <x:c r="B230" s="81"/>
      <x:c r="C230" s="81"/>
      <x:c r="D230" s="81"/>
      <x:c r="E230" s="81"/>
      <x:c r="F230" s="81"/>
      <x:c r="G230" s="81"/>
      <x:c r="H230" s="81"/>
      <x:c r="I230" s="81"/>
      <x:c r="J230" s="81"/>
      <x:c r="K230" s="81"/>
      <x:c r="L230" s="81"/>
      <x:c r="M230" s="81"/>
      <x:c r="N230" s="81"/>
      <x:c r="O230" s="81"/>
      <x:c r="P230" s="81"/>
      <x:c r="Q230" s="81"/>
      <x:c r="R230" s="81"/>
      <x:c r="S230" s="81"/>
      <x:c r="T230" s="81"/>
      <x:c r="U230" s="81"/>
      <x:c r="V230" s="81"/>
      <x:c r="W230" s="81"/>
      <x:c r="X230" s="81"/>
      <x:c r="Y230" s="81"/>
      <x:c r="Z230" s="81"/>
    </x:row>
    <x:row r="231">
      <x:c r="A231" s="81"/>
      <x:c r="B231" s="81"/>
      <x:c r="C231" s="81"/>
      <x:c r="D231" s="81"/>
      <x:c r="E231" s="81"/>
      <x:c r="F231" s="81"/>
      <x:c r="G231" s="81"/>
      <x:c r="H231" s="81"/>
      <x:c r="I231" s="81"/>
      <x:c r="J231" s="81"/>
      <x:c r="K231" s="81"/>
      <x:c r="L231" s="81"/>
      <x:c r="M231" s="81"/>
      <x:c r="N231" s="81"/>
      <x:c r="O231" s="81"/>
      <x:c r="P231" s="81"/>
      <x:c r="Q231" s="81"/>
      <x:c r="R231" s="81"/>
      <x:c r="S231" s="81"/>
      <x:c r="T231" s="81"/>
      <x:c r="U231" s="81"/>
      <x:c r="V231" s="81"/>
      <x:c r="W231" s="81"/>
      <x:c r="X231" s="81"/>
      <x:c r="Y231" s="81"/>
      <x:c r="Z231" s="81"/>
    </x:row>
    <x:row r="232">
      <x:c r="A232" s="81"/>
      <x:c r="B232" s="81"/>
      <x:c r="C232" s="81"/>
      <x:c r="D232" s="81"/>
      <x:c r="E232" s="81"/>
      <x:c r="F232" s="81"/>
      <x:c r="G232" s="81"/>
      <x:c r="H232" s="81"/>
      <x:c r="I232" s="81"/>
      <x:c r="J232" s="81"/>
      <x:c r="K232" s="81"/>
      <x:c r="L232" s="81"/>
      <x:c r="M232" s="81"/>
      <x:c r="N232" s="81"/>
      <x:c r="O232" s="81"/>
      <x:c r="P232" s="81"/>
      <x:c r="Q232" s="81"/>
      <x:c r="R232" s="81"/>
      <x:c r="S232" s="81"/>
      <x:c r="T232" s="81"/>
      <x:c r="U232" s="81"/>
      <x:c r="V232" s="81"/>
      <x:c r="W232" s="81"/>
      <x:c r="X232" s="81"/>
      <x:c r="Y232" s="81"/>
      <x:c r="Z232" s="81"/>
    </x:row>
    <x:row r="233">
      <x:c r="A233" s="81"/>
      <x:c r="B233" s="81"/>
      <x:c r="C233" s="81"/>
      <x:c r="D233" s="81"/>
      <x:c r="E233" s="81"/>
      <x:c r="F233" s="81"/>
      <x:c r="G233" s="81"/>
      <x:c r="H233" s="81"/>
      <x:c r="I233" s="81"/>
      <x:c r="J233" s="81"/>
      <x:c r="K233" s="81"/>
      <x:c r="L233" s="81"/>
      <x:c r="M233" s="81"/>
      <x:c r="N233" s="81"/>
      <x:c r="O233" s="81"/>
      <x:c r="P233" s="81"/>
      <x:c r="Q233" s="81"/>
      <x:c r="R233" s="81"/>
      <x:c r="S233" s="81"/>
      <x:c r="T233" s="81"/>
      <x:c r="U233" s="81"/>
      <x:c r="V233" s="81"/>
      <x:c r="W233" s="81"/>
      <x:c r="X233" s="81"/>
      <x:c r="Y233" s="81"/>
      <x:c r="Z233" s="81"/>
    </x:row>
    <x:row r="234">
      <x:c r="A234" s="81"/>
      <x:c r="B234" s="81"/>
      <x:c r="C234" s="81"/>
      <x:c r="D234" s="81"/>
      <x:c r="E234" s="81"/>
      <x:c r="F234" s="81"/>
      <x:c r="G234" s="81"/>
      <x:c r="H234" s="81"/>
      <x:c r="I234" s="81"/>
      <x:c r="J234" s="81"/>
      <x:c r="K234" s="81"/>
      <x:c r="L234" s="81"/>
      <x:c r="M234" s="81"/>
      <x:c r="N234" s="81"/>
      <x:c r="O234" s="81"/>
      <x:c r="P234" s="81"/>
      <x:c r="Q234" s="81"/>
      <x:c r="R234" s="81"/>
      <x:c r="S234" s="81"/>
      <x:c r="T234" s="81"/>
      <x:c r="U234" s="81"/>
      <x:c r="V234" s="81"/>
      <x:c r="W234" s="81"/>
      <x:c r="X234" s="81"/>
      <x:c r="Y234" s="81"/>
      <x:c r="Z234" s="81"/>
    </x:row>
    <x:row r="235">
      <x:c r="A235" s="81"/>
      <x:c r="B235" s="81"/>
      <x:c r="C235" s="81"/>
      <x:c r="D235" s="81"/>
      <x:c r="E235" s="81"/>
      <x:c r="F235" s="81"/>
      <x:c r="G235" s="81"/>
      <x:c r="H235" s="81"/>
      <x:c r="I235" s="81"/>
      <x:c r="J235" s="81"/>
      <x:c r="K235" s="81"/>
      <x:c r="L235" s="81"/>
      <x:c r="M235" s="81"/>
      <x:c r="N235" s="81"/>
      <x:c r="O235" s="81"/>
      <x:c r="P235" s="81"/>
      <x:c r="Q235" s="81"/>
      <x:c r="R235" s="81"/>
      <x:c r="S235" s="81"/>
      <x:c r="T235" s="81"/>
      <x:c r="U235" s="81"/>
      <x:c r="V235" s="81"/>
      <x:c r="W235" s="81"/>
      <x:c r="X235" s="81"/>
      <x:c r="Y235" s="81"/>
      <x:c r="Z235" s="81"/>
    </x:row>
    <x:row r="236">
      <x:c r="A236" s="81"/>
      <x:c r="B236" s="81"/>
      <x:c r="C236" s="81"/>
      <x:c r="D236" s="81"/>
      <x:c r="E236" s="81"/>
      <x:c r="F236" s="81"/>
      <x:c r="G236" s="81"/>
      <x:c r="H236" s="81"/>
      <x:c r="I236" s="81"/>
      <x:c r="J236" s="81"/>
      <x:c r="K236" s="81"/>
      <x:c r="L236" s="81"/>
      <x:c r="M236" s="81"/>
      <x:c r="N236" s="81"/>
      <x:c r="O236" s="81"/>
      <x:c r="P236" s="81"/>
      <x:c r="Q236" s="81"/>
      <x:c r="R236" s="81"/>
      <x:c r="S236" s="81"/>
      <x:c r="T236" s="81"/>
      <x:c r="U236" s="81"/>
      <x:c r="V236" s="81"/>
      <x:c r="W236" s="81"/>
      <x:c r="X236" s="81"/>
      <x:c r="Y236" s="81"/>
      <x:c r="Z236" s="81"/>
    </x:row>
    <x:row r="237">
      <x:c r="A237" s="81"/>
      <x:c r="B237" s="81"/>
      <x:c r="C237" s="81"/>
      <x:c r="D237" s="81"/>
      <x:c r="E237" s="81"/>
      <x:c r="F237" s="81"/>
      <x:c r="G237" s="81"/>
      <x:c r="H237" s="81"/>
      <x:c r="I237" s="81"/>
      <x:c r="J237" s="81"/>
      <x:c r="K237" s="81"/>
      <x:c r="L237" s="81"/>
      <x:c r="M237" s="81"/>
      <x:c r="N237" s="81"/>
      <x:c r="O237" s="81"/>
      <x:c r="P237" s="81"/>
      <x:c r="Q237" s="81"/>
      <x:c r="R237" s="81"/>
      <x:c r="S237" s="81"/>
      <x:c r="T237" s="81"/>
      <x:c r="U237" s="81"/>
      <x:c r="V237" s="81"/>
      <x:c r="W237" s="81"/>
      <x:c r="X237" s="81"/>
      <x:c r="Y237" s="81"/>
      <x:c r="Z237" s="81"/>
    </x:row>
    <x:row r="238">
      <x:c r="A238" s="81"/>
      <x:c r="B238" s="81"/>
      <x:c r="C238" s="81"/>
      <x:c r="D238" s="81"/>
      <x:c r="E238" s="81"/>
      <x:c r="F238" s="81"/>
      <x:c r="G238" s="81"/>
      <x:c r="H238" s="81"/>
      <x:c r="I238" s="81"/>
      <x:c r="J238" s="81"/>
      <x:c r="K238" s="81"/>
      <x:c r="L238" s="81"/>
      <x:c r="M238" s="81"/>
      <x:c r="N238" s="81"/>
      <x:c r="O238" s="81"/>
      <x:c r="P238" s="81"/>
      <x:c r="Q238" s="81"/>
      <x:c r="R238" s="81"/>
      <x:c r="S238" s="81"/>
      <x:c r="T238" s="81"/>
      <x:c r="U238" s="81"/>
      <x:c r="V238" s="81"/>
      <x:c r="W238" s="81"/>
      <x:c r="X238" s="81"/>
      <x:c r="Y238" s="81"/>
      <x:c r="Z238" s="81"/>
    </x:row>
    <x:row r="239">
      <x:c r="A239" s="81"/>
      <x:c r="B239" s="81"/>
      <x:c r="C239" s="81"/>
      <x:c r="D239" s="81"/>
      <x:c r="E239" s="81"/>
      <x:c r="F239" s="81"/>
      <x:c r="G239" s="81"/>
      <x:c r="H239" s="81"/>
      <x:c r="I239" s="81"/>
      <x:c r="J239" s="81"/>
      <x:c r="K239" s="81"/>
      <x:c r="L239" s="81"/>
      <x:c r="M239" s="81"/>
      <x:c r="N239" s="81"/>
      <x:c r="O239" s="81"/>
      <x:c r="P239" s="81"/>
      <x:c r="Q239" s="81"/>
      <x:c r="R239" s="81"/>
      <x:c r="S239" s="81"/>
      <x:c r="T239" s="81"/>
      <x:c r="U239" s="81"/>
      <x:c r="V239" s="81"/>
      <x:c r="W239" s="81"/>
      <x:c r="X239" s="81"/>
      <x:c r="Y239" s="81"/>
      <x:c r="Z239" s="81"/>
    </x:row>
    <x:row r="240">
      <x:c r="A240" s="81"/>
      <x:c r="B240" s="81"/>
      <x:c r="C240" s="81"/>
      <x:c r="D240" s="81"/>
      <x:c r="E240" s="81"/>
      <x:c r="F240" s="81"/>
      <x:c r="G240" s="81"/>
      <x:c r="H240" s="81"/>
      <x:c r="I240" s="81"/>
      <x:c r="J240" s="81"/>
      <x:c r="K240" s="81"/>
      <x:c r="L240" s="81"/>
      <x:c r="M240" s="81"/>
      <x:c r="N240" s="81"/>
      <x:c r="O240" s="81"/>
      <x:c r="P240" s="81"/>
      <x:c r="Q240" s="81"/>
      <x:c r="R240" s="81"/>
      <x:c r="S240" s="81"/>
      <x:c r="T240" s="81"/>
      <x:c r="U240" s="81"/>
      <x:c r="V240" s="81"/>
      <x:c r="W240" s="81"/>
      <x:c r="X240" s="81"/>
      <x:c r="Y240" s="81"/>
      <x:c r="Z240" s="81"/>
    </x:row>
    <x:row r="241">
      <x:c r="A241" s="81"/>
      <x:c r="B241" s="81"/>
      <x:c r="C241" s="81"/>
      <x:c r="D241" s="81"/>
      <x:c r="E241" s="81"/>
      <x:c r="F241" s="81"/>
      <x:c r="G241" s="81"/>
      <x:c r="H241" s="81"/>
      <x:c r="I241" s="81"/>
      <x:c r="J241" s="81"/>
      <x:c r="K241" s="81"/>
      <x:c r="L241" s="81"/>
      <x:c r="M241" s="81"/>
      <x:c r="N241" s="81"/>
      <x:c r="O241" s="81"/>
      <x:c r="P241" s="81"/>
      <x:c r="Q241" s="81"/>
      <x:c r="R241" s="81"/>
      <x:c r="S241" s="81"/>
      <x:c r="T241" s="81"/>
      <x:c r="U241" s="81"/>
      <x:c r="V241" s="81"/>
      <x:c r="W241" s="81"/>
      <x:c r="X241" s="81"/>
      <x:c r="Y241" s="81"/>
      <x:c r="Z241" s="81"/>
    </x:row>
    <x:row r="242">
      <x:c r="A242" s="81"/>
      <x:c r="B242" s="81"/>
      <x:c r="C242" s="81"/>
      <x:c r="D242" s="81"/>
      <x:c r="E242" s="81"/>
      <x:c r="F242" s="81"/>
      <x:c r="G242" s="81"/>
      <x:c r="H242" s="81"/>
      <x:c r="I242" s="81"/>
      <x:c r="J242" s="81"/>
      <x:c r="K242" s="81"/>
      <x:c r="L242" s="81"/>
      <x:c r="M242" s="81"/>
      <x:c r="N242" s="81"/>
      <x:c r="O242" s="81"/>
      <x:c r="P242" s="81"/>
      <x:c r="Q242" s="81"/>
      <x:c r="R242" s="81"/>
      <x:c r="S242" s="81"/>
      <x:c r="T242" s="81"/>
      <x:c r="U242" s="81"/>
      <x:c r="V242" s="81"/>
      <x:c r="W242" s="81"/>
      <x:c r="X242" s="81"/>
      <x:c r="Y242" s="81"/>
      <x:c r="Z242" s="81"/>
    </x:row>
    <x:row r="243">
      <x:c r="A243" s="81"/>
      <x:c r="B243" s="81"/>
      <x:c r="C243" s="81"/>
      <x:c r="D243" s="81"/>
      <x:c r="E243" s="81"/>
      <x:c r="F243" s="81"/>
      <x:c r="G243" s="81"/>
      <x:c r="H243" s="81"/>
      <x:c r="I243" s="81"/>
      <x:c r="J243" s="81"/>
      <x:c r="K243" s="81"/>
      <x:c r="L243" s="81"/>
      <x:c r="M243" s="81"/>
      <x:c r="N243" s="81"/>
      <x:c r="O243" s="81"/>
      <x:c r="P243" s="81"/>
      <x:c r="Q243" s="81"/>
      <x:c r="R243" s="81"/>
      <x:c r="S243" s="81"/>
      <x:c r="T243" s="81"/>
      <x:c r="U243" s="81"/>
      <x:c r="V243" s="81"/>
      <x:c r="W243" s="81"/>
      <x:c r="X243" s="81"/>
      <x:c r="Y243" s="81"/>
      <x:c r="Z243" s="81"/>
    </x:row>
    <x:row r="244">
      <x:c r="A244" s="81"/>
      <x:c r="B244" s="81"/>
      <x:c r="C244" s="81"/>
      <x:c r="D244" s="81"/>
      <x:c r="E244" s="81"/>
      <x:c r="F244" s="81"/>
      <x:c r="G244" s="81"/>
      <x:c r="H244" s="81"/>
      <x:c r="I244" s="81"/>
      <x:c r="J244" s="81"/>
      <x:c r="K244" s="81"/>
      <x:c r="L244" s="81"/>
      <x:c r="M244" s="81"/>
      <x:c r="N244" s="81"/>
      <x:c r="O244" s="81"/>
      <x:c r="P244" s="81"/>
      <x:c r="Q244" s="81"/>
      <x:c r="R244" s="81"/>
      <x:c r="S244" s="81"/>
      <x:c r="T244" s="81"/>
      <x:c r="U244" s="81"/>
      <x:c r="V244" s="81"/>
      <x:c r="W244" s="81"/>
      <x:c r="X244" s="81"/>
      <x:c r="Y244" s="81"/>
      <x:c r="Z244" s="81"/>
    </x:row>
    <x:row r="245">
      <x:c r="A245" s="81"/>
      <x:c r="B245" s="81"/>
      <x:c r="C245" s="81"/>
      <x:c r="D245" s="81"/>
      <x:c r="E245" s="81"/>
      <x:c r="F245" s="81"/>
      <x:c r="G245" s="81"/>
      <x:c r="H245" s="81"/>
      <x:c r="I245" s="81"/>
      <x:c r="J245" s="81"/>
      <x:c r="K245" s="81"/>
      <x:c r="L245" s="81"/>
      <x:c r="M245" s="81"/>
      <x:c r="N245" s="81"/>
      <x:c r="O245" s="81"/>
      <x:c r="P245" s="81"/>
      <x:c r="Q245" s="81"/>
      <x:c r="R245" s="81"/>
      <x:c r="S245" s="81"/>
      <x:c r="T245" s="81"/>
      <x:c r="U245" s="81"/>
      <x:c r="V245" s="81"/>
      <x:c r="W245" s="81"/>
      <x:c r="X245" s="81"/>
      <x:c r="Y245" s="81"/>
      <x:c r="Z245" s="81"/>
    </x:row>
    <x:row r="246">
      <x:c r="A246" s="81"/>
      <x:c r="B246" s="81"/>
      <x:c r="C246" s="81"/>
      <x:c r="D246" s="81"/>
      <x:c r="E246" s="81"/>
      <x:c r="F246" s="81"/>
      <x:c r="G246" s="81"/>
      <x:c r="H246" s="81"/>
      <x:c r="I246" s="81"/>
      <x:c r="J246" s="81"/>
      <x:c r="K246" s="81"/>
      <x:c r="L246" s="81"/>
      <x:c r="M246" s="81"/>
      <x:c r="N246" s="81"/>
      <x:c r="O246" s="81"/>
      <x:c r="P246" s="81"/>
      <x:c r="Q246" s="81"/>
      <x:c r="R246" s="81"/>
      <x:c r="S246" s="81"/>
      <x:c r="T246" s="81"/>
      <x:c r="U246" s="81"/>
      <x:c r="V246" s="81"/>
      <x:c r="W246" s="81"/>
      <x:c r="X246" s="81"/>
      <x:c r="Y246" s="81"/>
      <x:c r="Z246" s="81"/>
    </x:row>
    <x:row r="247">
      <x:c r="A247" s="81"/>
      <x:c r="B247" s="81"/>
      <x:c r="C247" s="81"/>
      <x:c r="D247" s="81"/>
      <x:c r="E247" s="81"/>
      <x:c r="F247" s="81"/>
      <x:c r="G247" s="81"/>
      <x:c r="H247" s="81"/>
      <x:c r="I247" s="81"/>
      <x:c r="J247" s="81"/>
      <x:c r="K247" s="81"/>
      <x:c r="L247" s="81"/>
      <x:c r="M247" s="81"/>
      <x:c r="N247" s="81"/>
      <x:c r="O247" s="81"/>
      <x:c r="P247" s="81"/>
      <x:c r="Q247" s="81"/>
      <x:c r="R247" s="81"/>
      <x:c r="S247" s="81"/>
      <x:c r="T247" s="81"/>
      <x:c r="U247" s="81"/>
      <x:c r="V247" s="81"/>
      <x:c r="W247" s="81"/>
      <x:c r="X247" s="81"/>
      <x:c r="Y247" s="81"/>
      <x:c r="Z247" s="81"/>
    </x:row>
    <x:row r="248">
      <x:c r="A248" s="81"/>
      <x:c r="B248" s="81"/>
      <x:c r="C248" s="81"/>
      <x:c r="D248" s="81"/>
      <x:c r="E248" s="81"/>
      <x:c r="F248" s="81"/>
      <x:c r="G248" s="81"/>
      <x:c r="H248" s="81"/>
      <x:c r="I248" s="81"/>
      <x:c r="J248" s="81"/>
      <x:c r="K248" s="81"/>
      <x:c r="L248" s="81"/>
      <x:c r="M248" s="81"/>
      <x:c r="N248" s="81"/>
      <x:c r="O248" s="81"/>
      <x:c r="P248" s="81"/>
      <x:c r="Q248" s="81"/>
      <x:c r="R248" s="81"/>
      <x:c r="S248" s="81"/>
      <x:c r="T248" s="81"/>
      <x:c r="U248" s="81"/>
      <x:c r="V248" s="81"/>
      <x:c r="W248" s="81"/>
      <x:c r="X248" s="81"/>
      <x:c r="Y248" s="81"/>
      <x:c r="Z248" s="81"/>
    </x:row>
    <x:row r="249">
      <x:c r="A249" s="81"/>
      <x:c r="B249" s="81"/>
      <x:c r="C249" s="81"/>
      <x:c r="D249" s="81"/>
      <x:c r="E249" s="81"/>
      <x:c r="F249" s="81"/>
      <x:c r="G249" s="81"/>
      <x:c r="H249" s="81"/>
      <x:c r="I249" s="81"/>
      <x:c r="J249" s="81"/>
      <x:c r="K249" s="81"/>
      <x:c r="L249" s="81"/>
      <x:c r="M249" s="81"/>
      <x:c r="N249" s="81"/>
      <x:c r="O249" s="81"/>
      <x:c r="P249" s="81"/>
      <x:c r="Q249" s="81"/>
      <x:c r="R249" s="81"/>
      <x:c r="S249" s="81"/>
      <x:c r="T249" s="81"/>
      <x:c r="U249" s="81"/>
      <x:c r="V249" s="81"/>
      <x:c r="W249" s="81"/>
      <x:c r="X249" s="81"/>
      <x:c r="Y249" s="81"/>
      <x:c r="Z249" s="81"/>
    </x:row>
    <x:row r="250">
      <x:c r="A250" s="81"/>
      <x:c r="B250" s="81"/>
      <x:c r="C250" s="81"/>
      <x:c r="D250" s="81"/>
      <x:c r="E250" s="81"/>
      <x:c r="F250" s="81"/>
      <x:c r="G250" s="81"/>
      <x:c r="H250" s="81"/>
      <x:c r="I250" s="81"/>
      <x:c r="J250" s="81"/>
      <x:c r="K250" s="81"/>
      <x:c r="L250" s="81"/>
      <x:c r="M250" s="81"/>
      <x:c r="N250" s="81"/>
      <x:c r="O250" s="81"/>
      <x:c r="P250" s="81"/>
      <x:c r="Q250" s="81"/>
      <x:c r="R250" s="81"/>
      <x:c r="S250" s="81"/>
      <x:c r="T250" s="81"/>
      <x:c r="U250" s="81"/>
      <x:c r="V250" s="81"/>
      <x:c r="W250" s="81"/>
      <x:c r="X250" s="81"/>
      <x:c r="Y250" s="81"/>
      <x:c r="Z250" s="81"/>
    </x:row>
    <x:row r="251">
      <x:c r="A251" s="81"/>
      <x:c r="B251" s="81"/>
      <x:c r="C251" s="81"/>
      <x:c r="D251" s="81"/>
      <x:c r="E251" s="81"/>
      <x:c r="F251" s="81"/>
      <x:c r="G251" s="81"/>
      <x:c r="H251" s="81"/>
      <x:c r="I251" s="81"/>
      <x:c r="J251" s="81"/>
      <x:c r="K251" s="81"/>
      <x:c r="L251" s="81"/>
      <x:c r="M251" s="81"/>
      <x:c r="N251" s="81"/>
      <x:c r="O251" s="81"/>
      <x:c r="P251" s="81"/>
      <x:c r="Q251" s="81"/>
      <x:c r="R251" s="81"/>
      <x:c r="S251" s="81"/>
      <x:c r="T251" s="81"/>
      <x:c r="U251" s="81"/>
      <x:c r="V251" s="81"/>
      <x:c r="W251" s="81"/>
      <x:c r="X251" s="81"/>
      <x:c r="Y251" s="81"/>
      <x:c r="Z251" s="81"/>
    </x:row>
    <x:row r="252">
      <x:c r="A252" s="81"/>
      <x:c r="B252" s="81"/>
      <x:c r="C252" s="81"/>
      <x:c r="D252" s="81"/>
      <x:c r="E252" s="81"/>
      <x:c r="F252" s="81"/>
      <x:c r="G252" s="81"/>
      <x:c r="H252" s="81"/>
      <x:c r="I252" s="81"/>
      <x:c r="J252" s="81"/>
      <x:c r="K252" s="81"/>
      <x:c r="L252" s="81"/>
      <x:c r="M252" s="81"/>
      <x:c r="N252" s="81"/>
      <x:c r="O252" s="81"/>
      <x:c r="P252" s="81"/>
      <x:c r="Q252" s="81"/>
      <x:c r="R252" s="81"/>
      <x:c r="S252" s="81"/>
      <x:c r="T252" s="81"/>
      <x:c r="U252" s="81"/>
      <x:c r="V252" s="81"/>
      <x:c r="W252" s="81"/>
      <x:c r="X252" s="81"/>
      <x:c r="Y252" s="81"/>
      <x:c r="Z252" s="81"/>
    </x:row>
    <x:row r="253">
      <x:c r="A253" s="81"/>
      <x:c r="B253" s="81"/>
      <x:c r="C253" s="81"/>
      <x:c r="D253" s="81"/>
      <x:c r="E253" s="81"/>
      <x:c r="F253" s="81"/>
      <x:c r="G253" s="81"/>
      <x:c r="H253" s="81"/>
      <x:c r="I253" s="81"/>
      <x:c r="J253" s="81"/>
      <x:c r="K253" s="81"/>
      <x:c r="L253" s="81"/>
      <x:c r="M253" s="81"/>
      <x:c r="N253" s="81"/>
      <x:c r="O253" s="81"/>
      <x:c r="P253" s="81"/>
      <x:c r="Q253" s="81"/>
      <x:c r="R253" s="81"/>
      <x:c r="S253" s="81"/>
      <x:c r="T253" s="81"/>
      <x:c r="U253" s="81"/>
      <x:c r="V253" s="81"/>
      <x:c r="W253" s="81"/>
      <x:c r="X253" s="81"/>
      <x:c r="Y253" s="81"/>
      <x:c r="Z253" s="81"/>
    </x:row>
    <x:row r="254">
      <x:c r="A254" s="81"/>
      <x:c r="B254" s="81"/>
      <x:c r="C254" s="81"/>
      <x:c r="D254" s="81"/>
      <x:c r="E254" s="81"/>
      <x:c r="F254" s="81"/>
      <x:c r="G254" s="81"/>
      <x:c r="H254" s="81"/>
      <x:c r="I254" s="81"/>
      <x:c r="J254" s="81"/>
      <x:c r="K254" s="81"/>
      <x:c r="L254" s="81"/>
      <x:c r="M254" s="81"/>
      <x:c r="N254" s="81"/>
      <x:c r="O254" s="81"/>
      <x:c r="P254" s="81"/>
      <x:c r="Q254" s="81"/>
      <x:c r="R254" s="81"/>
      <x:c r="S254" s="81"/>
      <x:c r="T254" s="81"/>
      <x:c r="U254" s="81"/>
      <x:c r="V254" s="81"/>
      <x:c r="W254" s="81"/>
      <x:c r="X254" s="81"/>
      <x:c r="Y254" s="81"/>
      <x:c r="Z254" s="81"/>
    </x:row>
    <x:row r="255">
      <x:c r="A255" s="81"/>
      <x:c r="B255" s="81"/>
      <x:c r="C255" s="81"/>
      <x:c r="D255" s="81"/>
      <x:c r="E255" s="81"/>
      <x:c r="F255" s="81"/>
      <x:c r="G255" s="81"/>
      <x:c r="H255" s="81"/>
      <x:c r="I255" s="81"/>
      <x:c r="J255" s="81"/>
      <x:c r="K255" s="81"/>
      <x:c r="L255" s="81"/>
      <x:c r="M255" s="81"/>
      <x:c r="N255" s="81"/>
      <x:c r="O255" s="81"/>
      <x:c r="P255" s="81"/>
      <x:c r="Q255" s="81"/>
      <x:c r="R255" s="81"/>
      <x:c r="S255" s="81"/>
      <x:c r="T255" s="81"/>
      <x:c r="U255" s="81"/>
      <x:c r="V255" s="81"/>
      <x:c r="W255" s="81"/>
      <x:c r="X255" s="81"/>
      <x:c r="Y255" s="81"/>
      <x:c r="Z255" s="81"/>
    </x:row>
    <x:row r="256">
      <x:c r="A256" s="81"/>
      <x:c r="B256" s="81"/>
      <x:c r="C256" s="81"/>
      <x:c r="D256" s="81"/>
      <x:c r="E256" s="81"/>
      <x:c r="F256" s="81"/>
      <x:c r="G256" s="81"/>
      <x:c r="H256" s="81"/>
      <x:c r="I256" s="81"/>
      <x:c r="J256" s="81"/>
      <x:c r="K256" s="81"/>
      <x:c r="L256" s="81"/>
      <x:c r="M256" s="81"/>
      <x:c r="N256" s="81"/>
      <x:c r="O256" s="81"/>
      <x:c r="P256" s="81"/>
      <x:c r="Q256" s="81"/>
      <x:c r="R256" s="81"/>
      <x:c r="S256" s="81"/>
      <x:c r="T256" s="81"/>
      <x:c r="U256" s="81"/>
      <x:c r="V256" s="81"/>
      <x:c r="W256" s="81"/>
      <x:c r="X256" s="81"/>
      <x:c r="Y256" s="81"/>
      <x:c r="Z256" s="81"/>
    </x:row>
    <x:row r="257">
      <x:c r="A257" s="81"/>
      <x:c r="B257" s="81"/>
      <x:c r="C257" s="81"/>
      <x:c r="D257" s="81"/>
      <x:c r="E257" s="81"/>
      <x:c r="F257" s="81"/>
      <x:c r="G257" s="81"/>
      <x:c r="H257" s="81"/>
      <x:c r="I257" s="81"/>
      <x:c r="J257" s="81"/>
      <x:c r="K257" s="81"/>
      <x:c r="L257" s="81"/>
      <x:c r="M257" s="81"/>
      <x:c r="N257" s="81"/>
      <x:c r="O257" s="81"/>
      <x:c r="P257" s="81"/>
      <x:c r="Q257" s="81"/>
      <x:c r="R257" s="81"/>
      <x:c r="S257" s="81"/>
      <x:c r="T257" s="81"/>
      <x:c r="U257" s="81"/>
      <x:c r="V257" s="81"/>
      <x:c r="W257" s="81"/>
      <x:c r="X257" s="81"/>
      <x:c r="Y257" s="81"/>
      <x:c r="Z257" s="81"/>
    </x:row>
    <x:row r="258">
      <x:c r="A258" s="81"/>
      <x:c r="B258" s="81"/>
      <x:c r="C258" s="81"/>
      <x:c r="D258" s="81"/>
      <x:c r="E258" s="81"/>
      <x:c r="F258" s="81"/>
      <x:c r="G258" s="81"/>
      <x:c r="H258" s="81"/>
      <x:c r="I258" s="81"/>
      <x:c r="J258" s="81"/>
      <x:c r="K258" s="81"/>
      <x:c r="L258" s="81"/>
      <x:c r="M258" s="81"/>
      <x:c r="N258" s="81"/>
      <x:c r="O258" s="81"/>
      <x:c r="P258" s="81"/>
      <x:c r="Q258" s="81"/>
      <x:c r="R258" s="81"/>
      <x:c r="S258" s="81"/>
      <x:c r="T258" s="81"/>
      <x:c r="U258" s="81"/>
      <x:c r="V258" s="81"/>
      <x:c r="W258" s="81"/>
      <x:c r="X258" s="81"/>
      <x:c r="Y258" s="81"/>
      <x:c r="Z258" s="81"/>
    </x:row>
    <x:row r="259">
      <x:c r="A259" s="81"/>
      <x:c r="B259" s="81"/>
      <x:c r="C259" s="81"/>
      <x:c r="D259" s="81"/>
      <x:c r="E259" s="81"/>
      <x:c r="F259" s="81"/>
      <x:c r="G259" s="81"/>
      <x:c r="H259" s="81"/>
      <x:c r="I259" s="81"/>
      <x:c r="J259" s="81"/>
      <x:c r="K259" s="81"/>
      <x:c r="L259" s="81"/>
      <x:c r="M259" s="81"/>
      <x:c r="N259" s="81"/>
      <x:c r="O259" s="81"/>
      <x:c r="P259" s="81"/>
      <x:c r="Q259" s="81"/>
      <x:c r="R259" s="81"/>
      <x:c r="S259" s="81"/>
      <x:c r="T259" s="81"/>
      <x:c r="U259" s="81"/>
      <x:c r="V259" s="81"/>
      <x:c r="W259" s="81"/>
      <x:c r="X259" s="81"/>
      <x:c r="Y259" s="81"/>
      <x:c r="Z259" s="81"/>
    </x:row>
    <x:row r="260">
      <x:c r="A260" s="81"/>
      <x:c r="B260" s="81"/>
      <x:c r="C260" s="81"/>
      <x:c r="D260" s="81"/>
      <x:c r="E260" s="81"/>
      <x:c r="F260" s="81"/>
      <x:c r="G260" s="81"/>
      <x:c r="H260" s="81"/>
      <x:c r="I260" s="81"/>
      <x:c r="J260" s="81"/>
      <x:c r="K260" s="81"/>
      <x:c r="L260" s="81"/>
      <x:c r="M260" s="81"/>
      <x:c r="N260" s="81"/>
      <x:c r="O260" s="81"/>
      <x:c r="P260" s="81"/>
      <x:c r="Q260" s="81"/>
      <x:c r="R260" s="81"/>
      <x:c r="S260" s="81"/>
      <x:c r="T260" s="81"/>
      <x:c r="U260" s="81"/>
      <x:c r="V260" s="81"/>
      <x:c r="W260" s="81"/>
      <x:c r="X260" s="81"/>
      <x:c r="Y260" s="81"/>
      <x:c r="Z260" s="81"/>
    </x:row>
    <x:row r="261">
      <x:c r="A261" s="81"/>
      <x:c r="B261" s="81"/>
      <x:c r="C261" s="81"/>
      <x:c r="D261" s="81"/>
      <x:c r="E261" s="81"/>
      <x:c r="F261" s="81"/>
      <x:c r="G261" s="81"/>
      <x:c r="H261" s="81"/>
      <x:c r="I261" s="81"/>
      <x:c r="J261" s="81"/>
      <x:c r="K261" s="81"/>
      <x:c r="L261" s="81"/>
      <x:c r="M261" s="81"/>
      <x:c r="N261" s="81"/>
      <x:c r="O261" s="81"/>
      <x:c r="P261" s="81"/>
      <x:c r="Q261" s="81"/>
      <x:c r="R261" s="81"/>
      <x:c r="S261" s="81"/>
      <x:c r="T261" s="81"/>
      <x:c r="U261" s="81"/>
      <x:c r="V261" s="81"/>
      <x:c r="W261" s="81"/>
      <x:c r="X261" s="81"/>
      <x:c r="Y261" s="81"/>
      <x:c r="Z261" s="81"/>
    </x:row>
    <x:row r="262">
      <x:c r="A262" s="81"/>
      <x:c r="B262" s="81"/>
      <x:c r="C262" s="81"/>
      <x:c r="D262" s="81"/>
      <x:c r="E262" s="81"/>
      <x:c r="F262" s="81"/>
      <x:c r="G262" s="81"/>
      <x:c r="H262" s="81"/>
      <x:c r="I262" s="81"/>
      <x:c r="J262" s="81"/>
      <x:c r="K262" s="81"/>
      <x:c r="L262" s="81"/>
      <x:c r="M262" s="81"/>
      <x:c r="N262" s="81"/>
      <x:c r="O262" s="81"/>
      <x:c r="P262" s="81"/>
      <x:c r="Q262" s="81"/>
      <x:c r="R262" s="81"/>
      <x:c r="S262" s="81"/>
      <x:c r="T262" s="81"/>
      <x:c r="U262" s="81"/>
      <x:c r="V262" s="81"/>
      <x:c r="W262" s="81"/>
      <x:c r="X262" s="81"/>
      <x:c r="Y262" s="81"/>
      <x:c r="Z262" s="81"/>
    </x:row>
    <x:row r="263">
      <x:c r="A263" s="81"/>
      <x:c r="B263" s="81"/>
      <x:c r="C263" s="81"/>
      <x:c r="D263" s="81"/>
      <x:c r="E263" s="81"/>
      <x:c r="F263" s="81"/>
      <x:c r="G263" s="81"/>
      <x:c r="H263" s="81"/>
      <x:c r="I263" s="81"/>
      <x:c r="J263" s="81"/>
      <x:c r="K263" s="81"/>
      <x:c r="L263" s="81"/>
      <x:c r="M263" s="81"/>
      <x:c r="N263" s="81"/>
      <x:c r="O263" s="81"/>
      <x:c r="P263" s="81"/>
      <x:c r="Q263" s="81"/>
      <x:c r="R263" s="81"/>
      <x:c r="S263" s="81"/>
      <x:c r="T263" s="81"/>
      <x:c r="U263" s="81"/>
      <x:c r="V263" s="81"/>
      <x:c r="W263" s="81"/>
      <x:c r="X263" s="81"/>
      <x:c r="Y263" s="81"/>
      <x:c r="Z263" s="81"/>
    </x:row>
    <x:row r="264">
      <x:c r="A264" s="81"/>
      <x:c r="B264" s="81"/>
      <x:c r="C264" s="81"/>
      <x:c r="D264" s="81"/>
      <x:c r="E264" s="81"/>
      <x:c r="F264" s="81"/>
      <x:c r="G264" s="81"/>
      <x:c r="H264" s="81"/>
      <x:c r="I264" s="81"/>
      <x:c r="J264" s="81"/>
      <x:c r="K264" s="81"/>
      <x:c r="L264" s="81"/>
      <x:c r="M264" s="81"/>
      <x:c r="N264" s="81"/>
      <x:c r="O264" s="81"/>
      <x:c r="P264" s="81"/>
      <x:c r="Q264" s="81"/>
      <x:c r="R264" s="81"/>
      <x:c r="S264" s="81"/>
      <x:c r="T264" s="81"/>
      <x:c r="U264" s="81"/>
      <x:c r="V264" s="81"/>
      <x:c r="W264" s="81"/>
      <x:c r="X264" s="81"/>
      <x:c r="Y264" s="81"/>
      <x:c r="Z264" s="81"/>
    </x:row>
    <x:row r="265">
      <x:c r="A265" s="81"/>
      <x:c r="B265" s="81"/>
      <x:c r="C265" s="81"/>
      <x:c r="D265" s="81"/>
      <x:c r="E265" s="81"/>
      <x:c r="F265" s="81"/>
      <x:c r="G265" s="81"/>
      <x:c r="H265" s="81"/>
      <x:c r="I265" s="81"/>
      <x:c r="J265" s="81"/>
      <x:c r="K265" s="81"/>
      <x:c r="L265" s="81"/>
      <x:c r="M265" s="81"/>
      <x:c r="N265" s="81"/>
      <x:c r="O265" s="81"/>
      <x:c r="P265" s="81"/>
      <x:c r="Q265" s="81"/>
      <x:c r="R265" s="81"/>
      <x:c r="S265" s="81"/>
      <x:c r="T265" s="81"/>
      <x:c r="U265" s="81"/>
      <x:c r="V265" s="81"/>
      <x:c r="W265" s="81"/>
      <x:c r="X265" s="81"/>
      <x:c r="Y265" s="81"/>
      <x:c r="Z265" s="81"/>
    </x:row>
    <x:row r="266">
      <x:c r="A266" s="81"/>
      <x:c r="B266" s="81"/>
      <x:c r="C266" s="81"/>
      <x:c r="D266" s="81"/>
      <x:c r="E266" s="81"/>
      <x:c r="F266" s="81"/>
      <x:c r="G266" s="81"/>
      <x:c r="H266" s="81"/>
      <x:c r="I266" s="81"/>
      <x:c r="J266" s="81"/>
      <x:c r="K266" s="81"/>
      <x:c r="L266" s="81"/>
      <x:c r="M266" s="81"/>
      <x:c r="N266" s="81"/>
      <x:c r="O266" s="81"/>
      <x:c r="P266" s="81"/>
      <x:c r="Q266" s="81"/>
      <x:c r="R266" s="81"/>
      <x:c r="S266" s="81"/>
      <x:c r="T266" s="81"/>
      <x:c r="U266" s="81"/>
      <x:c r="V266" s="81"/>
      <x:c r="W266" s="81"/>
      <x:c r="X266" s="81"/>
      <x:c r="Y266" s="81"/>
      <x:c r="Z266" s="81"/>
    </x:row>
    <x:row r="267">
      <x:c r="A267" s="81"/>
      <x:c r="B267" s="81"/>
      <x:c r="C267" s="81"/>
      <x:c r="D267" s="81"/>
      <x:c r="E267" s="81"/>
      <x:c r="F267" s="81"/>
      <x:c r="G267" s="81"/>
      <x:c r="H267" s="81"/>
      <x:c r="I267" s="81"/>
      <x:c r="J267" s="81"/>
      <x:c r="K267" s="81"/>
      <x:c r="L267" s="81"/>
      <x:c r="M267" s="81"/>
      <x:c r="N267" s="81"/>
      <x:c r="O267" s="81"/>
      <x:c r="P267" s="81"/>
      <x:c r="Q267" s="81"/>
      <x:c r="R267" s="81"/>
      <x:c r="S267" s="81"/>
      <x:c r="T267" s="81"/>
      <x:c r="U267" s="81"/>
      <x:c r="V267" s="81"/>
      <x:c r="W267" s="81"/>
      <x:c r="X267" s="81"/>
      <x:c r="Y267" s="81"/>
      <x:c r="Z267" s="81"/>
    </x:row>
    <x:row r="268">
      <x:c r="A268" s="81"/>
      <x:c r="B268" s="81"/>
      <x:c r="C268" s="81"/>
      <x:c r="D268" s="81"/>
      <x:c r="E268" s="81"/>
      <x:c r="F268" s="81"/>
      <x:c r="G268" s="81"/>
      <x:c r="H268" s="81"/>
      <x:c r="I268" s="81"/>
      <x:c r="J268" s="81"/>
      <x:c r="K268" s="81"/>
      <x:c r="L268" s="81"/>
      <x:c r="M268" s="81"/>
      <x:c r="N268" s="81"/>
      <x:c r="O268" s="81"/>
      <x:c r="P268" s="81"/>
      <x:c r="Q268" s="81"/>
      <x:c r="R268" s="81"/>
      <x:c r="S268" s="81"/>
      <x:c r="T268" s="81"/>
      <x:c r="U268" s="81"/>
      <x:c r="V268" s="81"/>
      <x:c r="W268" s="81"/>
      <x:c r="X268" s="81"/>
      <x:c r="Y268" s="81"/>
      <x:c r="Z268" s="81"/>
    </x:row>
    <x:row r="269">
      <x:c r="A269" s="81"/>
      <x:c r="B269" s="81"/>
      <x:c r="C269" s="81"/>
      <x:c r="D269" s="81"/>
      <x:c r="E269" s="81"/>
      <x:c r="F269" s="81"/>
      <x:c r="G269" s="81"/>
      <x:c r="H269" s="81"/>
      <x:c r="I269" s="81"/>
      <x:c r="J269" s="81"/>
      <x:c r="K269" s="81"/>
      <x:c r="L269" s="81"/>
      <x:c r="M269" s="81"/>
      <x:c r="N269" s="81"/>
      <x:c r="O269" s="81"/>
      <x:c r="P269" s="81"/>
      <x:c r="Q269" s="81"/>
      <x:c r="R269" s="81"/>
      <x:c r="S269" s="81"/>
      <x:c r="T269" s="81"/>
      <x:c r="U269" s="81"/>
      <x:c r="V269" s="81"/>
      <x:c r="W269" s="81"/>
      <x:c r="X269" s="81"/>
      <x:c r="Y269" s="81"/>
      <x:c r="Z269" s="81"/>
    </x:row>
    <x:row r="270">
      <x:c r="A270" s="81"/>
      <x:c r="B270" s="81"/>
      <x:c r="C270" s="81"/>
      <x:c r="D270" s="81"/>
      <x:c r="E270" s="81"/>
      <x:c r="F270" s="81"/>
      <x:c r="G270" s="81"/>
      <x:c r="H270" s="81"/>
      <x:c r="I270" s="81"/>
      <x:c r="J270" s="81"/>
      <x:c r="K270" s="81"/>
      <x:c r="L270" s="81"/>
      <x:c r="M270" s="81"/>
      <x:c r="N270" s="81"/>
      <x:c r="O270" s="81"/>
      <x:c r="P270" s="81"/>
      <x:c r="Q270" s="81"/>
      <x:c r="R270" s="81"/>
      <x:c r="S270" s="81"/>
      <x:c r="T270" s="81"/>
      <x:c r="U270" s="81"/>
      <x:c r="V270" s="81"/>
      <x:c r="W270" s="81"/>
      <x:c r="X270" s="81"/>
      <x:c r="Y270" s="81"/>
      <x:c r="Z270" s="81"/>
    </x:row>
    <x:row r="271">
      <x:c r="A271" s="81"/>
      <x:c r="B271" s="81"/>
      <x:c r="C271" s="81"/>
      <x:c r="D271" s="81"/>
      <x:c r="E271" s="81"/>
      <x:c r="F271" s="81"/>
      <x:c r="G271" s="81"/>
      <x:c r="H271" s="81"/>
      <x:c r="I271" s="81"/>
      <x:c r="J271" s="81"/>
      <x:c r="K271" s="81"/>
      <x:c r="L271" s="81"/>
      <x:c r="M271" s="81"/>
      <x:c r="N271" s="81"/>
      <x:c r="O271" s="81"/>
      <x:c r="P271" s="81"/>
      <x:c r="Q271" s="81"/>
      <x:c r="R271" s="81"/>
      <x:c r="S271" s="81"/>
      <x:c r="T271" s="81"/>
      <x:c r="U271" s="81"/>
      <x:c r="V271" s="81"/>
      <x:c r="W271" s="81"/>
      <x:c r="X271" s="81"/>
      <x:c r="Y271" s="81"/>
      <x:c r="Z271" s="81"/>
    </x:row>
    <x:row r="272">
      <x:c r="A272" s="81"/>
      <x:c r="B272" s="81"/>
      <x:c r="C272" s="81"/>
      <x:c r="D272" s="81"/>
      <x:c r="E272" s="81"/>
      <x:c r="F272" s="81"/>
      <x:c r="G272" s="81"/>
      <x:c r="H272" s="81"/>
      <x:c r="I272" s="81"/>
      <x:c r="J272" s="81"/>
      <x:c r="K272" s="81"/>
      <x:c r="L272" s="81"/>
      <x:c r="M272" s="81"/>
      <x:c r="N272" s="81"/>
      <x:c r="O272" s="81"/>
      <x:c r="P272" s="81"/>
      <x:c r="Q272" s="81"/>
      <x:c r="R272" s="81"/>
      <x:c r="S272" s="81"/>
      <x:c r="T272" s="81"/>
      <x:c r="U272" s="81"/>
      <x:c r="V272" s="81"/>
      <x:c r="W272" s="81"/>
      <x:c r="X272" s="81"/>
      <x:c r="Y272" s="81"/>
      <x:c r="Z272" s="81"/>
    </x:row>
    <x:row r="273">
      <x:c r="A273" s="81"/>
      <x:c r="B273" s="81"/>
      <x:c r="C273" s="81"/>
      <x:c r="D273" s="81"/>
      <x:c r="E273" s="81"/>
      <x:c r="F273" s="81"/>
      <x:c r="G273" s="81"/>
      <x:c r="H273" s="81"/>
      <x:c r="I273" s="81"/>
      <x:c r="J273" s="81"/>
      <x:c r="K273" s="81"/>
      <x:c r="L273" s="81"/>
      <x:c r="M273" s="81"/>
      <x:c r="N273" s="81"/>
      <x:c r="O273" s="81"/>
      <x:c r="P273" s="81"/>
      <x:c r="Q273" s="81"/>
      <x:c r="R273" s="81"/>
      <x:c r="S273" s="81"/>
      <x:c r="T273" s="81"/>
      <x:c r="U273" s="81"/>
      <x:c r="V273" s="81"/>
      <x:c r="W273" s="81"/>
      <x:c r="X273" s="81"/>
      <x:c r="Y273" s="81"/>
      <x:c r="Z273" s="81"/>
    </x:row>
    <x:row r="274">
      <x:c r="A274" s="81"/>
      <x:c r="B274" s="81"/>
      <x:c r="C274" s="81"/>
      <x:c r="D274" s="81"/>
      <x:c r="E274" s="81"/>
      <x:c r="F274" s="81"/>
      <x:c r="G274" s="81"/>
      <x:c r="H274" s="81"/>
      <x:c r="I274" s="81"/>
      <x:c r="J274" s="81"/>
      <x:c r="K274" s="81"/>
      <x:c r="L274" s="81"/>
      <x:c r="M274" s="81"/>
      <x:c r="N274" s="81"/>
      <x:c r="O274" s="81"/>
      <x:c r="P274" s="81"/>
      <x:c r="Q274" s="81"/>
      <x:c r="R274" s="81"/>
      <x:c r="S274" s="81"/>
      <x:c r="T274" s="81"/>
      <x:c r="U274" s="81"/>
      <x:c r="V274" s="81"/>
      <x:c r="W274" s="81"/>
      <x:c r="X274" s="81"/>
      <x:c r="Y274" s="81"/>
      <x:c r="Z274" s="81"/>
    </x:row>
    <x:row r="275">
      <x:c r="A275" s="81"/>
      <x:c r="B275" s="81"/>
      <x:c r="C275" s="81"/>
      <x:c r="D275" s="81"/>
      <x:c r="E275" s="81"/>
      <x:c r="F275" s="81"/>
      <x:c r="G275" s="81"/>
      <x:c r="H275" s="81"/>
      <x:c r="I275" s="81"/>
      <x:c r="J275" s="81"/>
      <x:c r="K275" s="81"/>
      <x:c r="L275" s="81"/>
      <x:c r="M275" s="81"/>
      <x:c r="N275" s="81"/>
      <x:c r="O275" s="81"/>
      <x:c r="P275" s="81"/>
      <x:c r="Q275" s="81"/>
      <x:c r="R275" s="81"/>
      <x:c r="S275" s="81"/>
      <x:c r="T275" s="81"/>
      <x:c r="U275" s="81"/>
      <x:c r="V275" s="81"/>
      <x:c r="W275" s="81"/>
      <x:c r="X275" s="81"/>
      <x:c r="Y275" s="81"/>
      <x:c r="Z275" s="81"/>
    </x:row>
    <x:row r="276">
      <x:c r="A276" s="81"/>
      <x:c r="B276" s="81"/>
      <x:c r="C276" s="81"/>
      <x:c r="D276" s="81"/>
      <x:c r="E276" s="81"/>
      <x:c r="F276" s="81"/>
      <x:c r="G276" s="81"/>
      <x:c r="H276" s="81"/>
      <x:c r="I276" s="81"/>
      <x:c r="J276" s="81"/>
      <x:c r="K276" s="81"/>
      <x:c r="L276" s="81"/>
      <x:c r="M276" s="81"/>
      <x:c r="N276" s="81"/>
      <x:c r="O276" s="81"/>
      <x:c r="P276" s="81"/>
      <x:c r="Q276" s="81"/>
      <x:c r="R276" s="81"/>
      <x:c r="S276" s="81"/>
      <x:c r="T276" s="81"/>
      <x:c r="U276" s="81"/>
      <x:c r="V276" s="81"/>
      <x:c r="W276" s="81"/>
      <x:c r="X276" s="81"/>
      <x:c r="Y276" s="81"/>
      <x:c r="Z276" s="81"/>
    </x:row>
    <x:row r="277">
      <x:c r="A277" s="81"/>
      <x:c r="B277" s="81"/>
      <x:c r="C277" s="81"/>
      <x:c r="D277" s="81"/>
      <x:c r="E277" s="81"/>
      <x:c r="F277" s="81"/>
      <x:c r="G277" s="81"/>
      <x:c r="H277" s="81"/>
      <x:c r="I277" s="81"/>
      <x:c r="J277" s="81"/>
      <x:c r="K277" s="81"/>
      <x:c r="L277" s="81"/>
      <x:c r="M277" s="81"/>
      <x:c r="N277" s="81"/>
      <x:c r="O277" s="81"/>
      <x:c r="P277" s="81"/>
      <x:c r="Q277" s="81"/>
      <x:c r="R277" s="81"/>
      <x:c r="S277" s="81"/>
      <x:c r="T277" s="81"/>
      <x:c r="U277" s="81"/>
      <x:c r="V277" s="81"/>
      <x:c r="W277" s="81"/>
      <x:c r="X277" s="81"/>
      <x:c r="Y277" s="81"/>
      <x:c r="Z277" s="81"/>
    </x:row>
    <x:row r="278">
      <x:c r="A278" s="81"/>
      <x:c r="B278" s="81"/>
      <x:c r="C278" s="81"/>
      <x:c r="D278" s="81"/>
      <x:c r="E278" s="81"/>
      <x:c r="F278" s="81"/>
      <x:c r="G278" s="81"/>
      <x:c r="H278" s="81"/>
      <x:c r="I278" s="81"/>
      <x:c r="J278" s="81"/>
      <x:c r="K278" s="81"/>
      <x:c r="L278" s="81"/>
      <x:c r="M278" s="81"/>
      <x:c r="N278" s="81"/>
      <x:c r="O278" s="81"/>
      <x:c r="P278" s="81"/>
      <x:c r="Q278" s="81"/>
      <x:c r="R278" s="81"/>
      <x:c r="S278" s="81"/>
      <x:c r="T278" s="81"/>
      <x:c r="U278" s="81"/>
      <x:c r="V278" s="81"/>
      <x:c r="W278" s="81"/>
      <x:c r="X278" s="81"/>
      <x:c r="Y278" s="81"/>
      <x:c r="Z278" s="81"/>
    </x:row>
    <x:row r="279">
      <x:c r="A279" s="81"/>
      <x:c r="B279" s="81"/>
      <x:c r="C279" s="81"/>
      <x:c r="D279" s="81"/>
      <x:c r="E279" s="81"/>
      <x:c r="F279" s="81"/>
      <x:c r="G279" s="81"/>
      <x:c r="H279" s="81"/>
      <x:c r="I279" s="81"/>
      <x:c r="J279" s="81"/>
      <x:c r="K279" s="81"/>
      <x:c r="L279" s="81"/>
      <x:c r="M279" s="81"/>
      <x:c r="N279" s="81"/>
      <x:c r="O279" s="81"/>
      <x:c r="P279" s="81"/>
      <x:c r="Q279" s="81"/>
      <x:c r="R279" s="81"/>
      <x:c r="S279" s="81"/>
      <x:c r="T279" s="81"/>
      <x:c r="U279" s="81"/>
      <x:c r="V279" s="81"/>
      <x:c r="W279" s="81"/>
      <x:c r="X279" s="81"/>
      <x:c r="Y279" s="81"/>
      <x:c r="Z279" s="81"/>
    </x:row>
    <x:row r="280">
      <x:c r="A280" s="81"/>
      <x:c r="B280" s="81"/>
      <x:c r="C280" s="81"/>
      <x:c r="D280" s="81"/>
      <x:c r="E280" s="81"/>
      <x:c r="F280" s="81"/>
      <x:c r="G280" s="81"/>
      <x:c r="H280" s="81"/>
      <x:c r="I280" s="81"/>
      <x:c r="J280" s="81"/>
      <x:c r="K280" s="81"/>
      <x:c r="L280" s="81"/>
      <x:c r="M280" s="81"/>
      <x:c r="N280" s="81"/>
      <x:c r="O280" s="81"/>
      <x:c r="P280" s="81"/>
      <x:c r="Q280" s="81"/>
      <x:c r="R280" s="81"/>
      <x:c r="S280" s="81"/>
      <x:c r="T280" s="81"/>
      <x:c r="U280" s="81"/>
      <x:c r="V280" s="81"/>
      <x:c r="W280" s="81"/>
      <x:c r="X280" s="81"/>
      <x:c r="Y280" s="81"/>
      <x:c r="Z280" s="81"/>
    </x:row>
    <x:row r="281">
      <x:c r="A281" s="81"/>
      <x:c r="B281" s="81"/>
      <x:c r="C281" s="81"/>
      <x:c r="D281" s="81"/>
      <x:c r="E281" s="81"/>
      <x:c r="F281" s="81"/>
      <x:c r="G281" s="81"/>
      <x:c r="H281" s="81"/>
      <x:c r="I281" s="81"/>
      <x:c r="J281" s="81"/>
      <x:c r="K281" s="81"/>
      <x:c r="L281" s="81"/>
      <x:c r="M281" s="81"/>
      <x:c r="N281" s="81"/>
      <x:c r="O281" s="81"/>
      <x:c r="P281" s="81"/>
      <x:c r="Q281" s="81"/>
      <x:c r="R281" s="81"/>
      <x:c r="S281" s="81"/>
      <x:c r="T281" s="81"/>
      <x:c r="U281" s="81"/>
      <x:c r="V281" s="81"/>
      <x:c r="W281" s="81"/>
      <x:c r="X281" s="81"/>
      <x:c r="Y281" s="81"/>
      <x:c r="Z281" s="81"/>
    </x:row>
    <x:row r="282">
      <x:c r="A282" s="81"/>
      <x:c r="B282" s="81"/>
      <x:c r="C282" s="81"/>
      <x:c r="D282" s="81"/>
      <x:c r="E282" s="81"/>
      <x:c r="F282" s="81"/>
      <x:c r="G282" s="81"/>
      <x:c r="H282" s="81"/>
      <x:c r="I282" s="81"/>
      <x:c r="J282" s="81"/>
      <x:c r="K282" s="81"/>
      <x:c r="L282" s="81"/>
      <x:c r="M282" s="81"/>
      <x:c r="N282" s="81"/>
      <x:c r="O282" s="81"/>
      <x:c r="P282" s="81"/>
      <x:c r="Q282" s="81"/>
      <x:c r="R282" s="81"/>
      <x:c r="S282" s="81"/>
      <x:c r="T282" s="81"/>
      <x:c r="U282" s="81"/>
      <x:c r="V282" s="81"/>
      <x:c r="W282" s="81"/>
      <x:c r="X282" s="81"/>
      <x:c r="Y282" s="81"/>
      <x:c r="Z282" s="81"/>
    </x:row>
    <x:row r="283">
      <x:c r="A283" s="81"/>
      <x:c r="B283" s="81"/>
      <x:c r="C283" s="81"/>
      <x:c r="D283" s="81"/>
      <x:c r="E283" s="81"/>
      <x:c r="F283" s="81"/>
      <x:c r="G283" s="81"/>
      <x:c r="H283" s="81"/>
      <x:c r="I283" s="81"/>
      <x:c r="J283" s="81"/>
      <x:c r="K283" s="81"/>
      <x:c r="L283" s="81"/>
      <x:c r="M283" s="81"/>
      <x:c r="N283" s="81"/>
      <x:c r="O283" s="81"/>
      <x:c r="P283" s="81"/>
      <x:c r="Q283" s="81"/>
      <x:c r="R283" s="81"/>
      <x:c r="S283" s="81"/>
      <x:c r="T283" s="81"/>
      <x:c r="U283" s="81"/>
      <x:c r="V283" s="81"/>
      <x:c r="W283" s="81"/>
      <x:c r="X283" s="81"/>
      <x:c r="Y283" s="81"/>
      <x:c r="Z283" s="81"/>
    </x:row>
    <x:row r="284">
      <x:c r="A284" s="81"/>
      <x:c r="B284" s="81"/>
      <x:c r="C284" s="81"/>
      <x:c r="D284" s="81"/>
      <x:c r="E284" s="81"/>
      <x:c r="F284" s="81"/>
      <x:c r="G284" s="81"/>
      <x:c r="H284" s="81"/>
      <x:c r="I284" s="81"/>
      <x:c r="J284" s="81"/>
      <x:c r="K284" s="81"/>
      <x:c r="L284" s="81"/>
      <x:c r="M284" s="81"/>
      <x:c r="N284" s="81"/>
      <x:c r="O284" s="81"/>
      <x:c r="P284" s="81"/>
      <x:c r="Q284" s="81"/>
      <x:c r="R284" s="81"/>
      <x:c r="S284" s="81"/>
      <x:c r="T284" s="81"/>
      <x:c r="U284" s="81"/>
      <x:c r="V284" s="81"/>
      <x:c r="W284" s="81"/>
      <x:c r="X284" s="81"/>
      <x:c r="Y284" s="81"/>
      <x:c r="Z284" s="81"/>
    </x:row>
    <x:row r="285">
      <x:c r="A285" s="81"/>
      <x:c r="B285" s="81"/>
      <x:c r="C285" s="81"/>
      <x:c r="D285" s="81"/>
      <x:c r="E285" s="81"/>
      <x:c r="F285" s="81"/>
      <x:c r="G285" s="81"/>
      <x:c r="H285" s="81"/>
      <x:c r="I285" s="81"/>
      <x:c r="J285" s="81"/>
      <x:c r="K285" s="81"/>
      <x:c r="L285" s="81"/>
      <x:c r="M285" s="81"/>
      <x:c r="N285" s="81"/>
      <x:c r="O285" s="81"/>
      <x:c r="P285" s="81"/>
      <x:c r="Q285" s="81"/>
      <x:c r="R285" s="81"/>
      <x:c r="S285" s="81"/>
      <x:c r="T285" s="81"/>
      <x:c r="U285" s="81"/>
      <x:c r="V285" s="81"/>
      <x:c r="W285" s="81"/>
      <x:c r="X285" s="81"/>
      <x:c r="Y285" s="81"/>
      <x:c r="Z285" s="81"/>
    </x:row>
    <x:row r="286">
      <x:c r="A286" s="81"/>
      <x:c r="B286" s="81"/>
      <x:c r="C286" s="81"/>
      <x:c r="D286" s="81"/>
      <x:c r="E286" s="81"/>
      <x:c r="F286" s="81"/>
      <x:c r="G286" s="81"/>
      <x:c r="H286" s="81"/>
      <x:c r="I286" s="81"/>
      <x:c r="J286" s="81"/>
      <x:c r="K286" s="81"/>
      <x:c r="L286" s="81"/>
      <x:c r="M286" s="81"/>
      <x:c r="N286" s="81"/>
      <x:c r="O286" s="81"/>
      <x:c r="P286" s="81"/>
      <x:c r="Q286" s="81"/>
      <x:c r="R286" s="81"/>
      <x:c r="S286" s="81"/>
      <x:c r="T286" s="81"/>
      <x:c r="U286" s="81"/>
      <x:c r="V286" s="81"/>
      <x:c r="W286" s="81"/>
      <x:c r="X286" s="81"/>
      <x:c r="Y286" s="81"/>
      <x:c r="Z286" s="81"/>
    </x:row>
    <x:row r="287">
      <x:c r="A287" s="81"/>
      <x:c r="B287" s="81"/>
      <x:c r="C287" s="81"/>
      <x:c r="D287" s="81"/>
      <x:c r="E287" s="81"/>
      <x:c r="F287" s="81"/>
      <x:c r="G287" s="81"/>
      <x:c r="H287" s="81"/>
      <x:c r="I287" s="81"/>
      <x:c r="J287" s="81"/>
      <x:c r="K287" s="81"/>
      <x:c r="L287" s="81"/>
      <x:c r="M287" s="81"/>
      <x:c r="N287" s="81"/>
      <x:c r="O287" s="81"/>
      <x:c r="P287" s="81"/>
      <x:c r="Q287" s="81"/>
      <x:c r="R287" s="81"/>
      <x:c r="S287" s="81"/>
      <x:c r="T287" s="81"/>
      <x:c r="U287" s="81"/>
      <x:c r="V287" s="81"/>
      <x:c r="W287" s="81"/>
      <x:c r="X287" s="81"/>
      <x:c r="Y287" s="81"/>
      <x:c r="Z287" s="81"/>
    </x:row>
    <x:row r="288">
      <x:c r="A288" s="81"/>
      <x:c r="B288" s="81"/>
      <x:c r="C288" s="81"/>
      <x:c r="D288" s="81"/>
      <x:c r="E288" s="81"/>
      <x:c r="F288" s="81"/>
      <x:c r="G288" s="81"/>
      <x:c r="H288" s="81"/>
      <x:c r="I288" s="81"/>
      <x:c r="J288" s="81"/>
      <x:c r="K288" s="81"/>
      <x:c r="L288" s="81"/>
      <x:c r="M288" s="81"/>
      <x:c r="N288" s="81"/>
      <x:c r="O288" s="81"/>
      <x:c r="P288" s="81"/>
      <x:c r="Q288" s="81"/>
      <x:c r="R288" s="81"/>
      <x:c r="S288" s="81"/>
      <x:c r="T288" s="81"/>
      <x:c r="U288" s="81"/>
      <x:c r="V288" s="81"/>
      <x:c r="W288" s="81"/>
      <x:c r="X288" s="81"/>
      <x:c r="Y288" s="81"/>
      <x:c r="Z288" s="81"/>
    </x:row>
    <x:row r="289">
      <x:c r="A289" s="81"/>
      <x:c r="B289" s="81"/>
      <x:c r="C289" s="81"/>
      <x:c r="D289" s="81"/>
      <x:c r="E289" s="81"/>
      <x:c r="F289" s="81"/>
      <x:c r="G289" s="81"/>
      <x:c r="H289" s="81"/>
      <x:c r="I289" s="81"/>
      <x:c r="J289" s="81"/>
      <x:c r="K289" s="81"/>
      <x:c r="L289" s="81"/>
      <x:c r="M289" s="81"/>
      <x:c r="N289" s="81"/>
      <x:c r="O289" s="81"/>
      <x:c r="P289" s="81"/>
      <x:c r="Q289" s="81"/>
      <x:c r="R289" s="81"/>
      <x:c r="S289" s="81"/>
      <x:c r="T289" s="81"/>
      <x:c r="U289" s="81"/>
      <x:c r="V289" s="81"/>
      <x:c r="W289" s="81"/>
      <x:c r="X289" s="81"/>
      <x:c r="Y289" s="81"/>
      <x:c r="Z289" s="81"/>
    </x:row>
    <x:row r="290">
      <x:c r="A290" s="81"/>
      <x:c r="B290" s="81"/>
      <x:c r="C290" s="81"/>
      <x:c r="D290" s="81"/>
      <x:c r="E290" s="81"/>
      <x:c r="F290" s="81"/>
      <x:c r="G290" s="81"/>
      <x:c r="H290" s="81"/>
      <x:c r="I290" s="81"/>
      <x:c r="J290" s="81"/>
      <x:c r="K290" s="81"/>
      <x:c r="L290" s="81"/>
      <x:c r="M290" s="81"/>
      <x:c r="N290" s="81"/>
      <x:c r="O290" s="81"/>
      <x:c r="P290" s="81"/>
      <x:c r="Q290" s="81"/>
      <x:c r="R290" s="81"/>
      <x:c r="S290" s="81"/>
      <x:c r="T290" s="81"/>
      <x:c r="U290" s="81"/>
      <x:c r="V290" s="81"/>
      <x:c r="W290" s="81"/>
      <x:c r="X290" s="81"/>
      <x:c r="Y290" s="81"/>
      <x:c r="Z290" s="81"/>
    </x:row>
    <x:row r="291">
      <x:c r="A291" s="81"/>
      <x:c r="B291" s="81"/>
      <x:c r="C291" s="81"/>
      <x:c r="D291" s="81"/>
      <x:c r="E291" s="81"/>
      <x:c r="F291" s="81"/>
      <x:c r="G291" s="81"/>
      <x:c r="H291" s="81"/>
      <x:c r="I291" s="81"/>
      <x:c r="J291" s="81"/>
      <x:c r="K291" s="81"/>
      <x:c r="L291" s="81"/>
      <x:c r="M291" s="81"/>
      <x:c r="N291" s="81"/>
      <x:c r="O291" s="81"/>
      <x:c r="P291" s="81"/>
      <x:c r="Q291" s="81"/>
      <x:c r="R291" s="81"/>
      <x:c r="S291" s="81"/>
      <x:c r="T291" s="81"/>
      <x:c r="U291" s="81"/>
      <x:c r="V291" s="81"/>
      <x:c r="W291" s="81"/>
      <x:c r="X291" s="81"/>
      <x:c r="Y291" s="81"/>
      <x:c r="Z291" s="81"/>
    </x:row>
    <x:row r="292">
      <x:c r="A292" s="81"/>
      <x:c r="B292" s="81"/>
      <x:c r="C292" s="81"/>
      <x:c r="D292" s="81"/>
      <x:c r="E292" s="81"/>
      <x:c r="F292" s="81"/>
      <x:c r="G292" s="81"/>
      <x:c r="H292" s="81"/>
      <x:c r="I292" s="81"/>
      <x:c r="J292" s="81"/>
      <x:c r="K292" s="81"/>
      <x:c r="L292" s="81"/>
      <x:c r="M292" s="81"/>
      <x:c r="N292" s="81"/>
      <x:c r="O292" s="81"/>
      <x:c r="P292" s="81"/>
      <x:c r="Q292" s="81"/>
      <x:c r="R292" s="81"/>
      <x:c r="S292" s="81"/>
      <x:c r="T292" s="81"/>
      <x:c r="U292" s="81"/>
      <x:c r="V292" s="81"/>
      <x:c r="W292" s="81"/>
      <x:c r="X292" s="81"/>
      <x:c r="Y292" s="81"/>
      <x:c r="Z292" s="81"/>
    </x:row>
    <x:row r="293">
      <x:c r="A293" s="81"/>
      <x:c r="B293" s="81"/>
      <x:c r="C293" s="81"/>
      <x:c r="D293" s="81"/>
      <x:c r="E293" s="81"/>
      <x:c r="F293" s="81"/>
      <x:c r="G293" s="81"/>
      <x:c r="H293" s="81"/>
      <x:c r="I293" s="81"/>
      <x:c r="J293" s="81"/>
      <x:c r="K293" s="81"/>
      <x:c r="L293" s="81"/>
      <x:c r="M293" s="81"/>
      <x:c r="N293" s="81"/>
      <x:c r="O293" s="81"/>
      <x:c r="P293" s="81"/>
      <x:c r="Q293" s="81"/>
      <x:c r="R293" s="81"/>
      <x:c r="S293" s="81"/>
      <x:c r="T293" s="81"/>
      <x:c r="U293" s="81"/>
      <x:c r="V293" s="81"/>
      <x:c r="W293" s="81"/>
      <x:c r="X293" s="81"/>
      <x:c r="Y293" s="81"/>
      <x:c r="Z293" s="81"/>
    </x:row>
    <x:row r="294">
      <x:c r="A294" s="81"/>
      <x:c r="B294" s="81"/>
      <x:c r="C294" s="81"/>
      <x:c r="D294" s="81"/>
      <x:c r="E294" s="81"/>
      <x:c r="F294" s="81"/>
      <x:c r="G294" s="81"/>
      <x:c r="H294" s="81"/>
      <x:c r="I294" s="81"/>
      <x:c r="J294" s="81"/>
      <x:c r="K294" s="81"/>
      <x:c r="L294" s="81"/>
      <x:c r="M294" s="81"/>
      <x:c r="N294" s="81"/>
      <x:c r="O294" s="81"/>
      <x:c r="P294" s="81"/>
      <x:c r="Q294" s="81"/>
      <x:c r="R294" s="81"/>
      <x:c r="S294" s="81"/>
      <x:c r="T294" s="81"/>
      <x:c r="U294" s="81"/>
      <x:c r="V294" s="81"/>
      <x:c r="W294" s="81"/>
      <x:c r="X294" s="81"/>
      <x:c r="Y294" s="81"/>
      <x:c r="Z294" s="81"/>
    </x:row>
    <x:row r="295">
      <x:c r="A295" s="81"/>
      <x:c r="B295" s="81"/>
      <x:c r="C295" s="81"/>
      <x:c r="D295" s="81"/>
      <x:c r="E295" s="81"/>
      <x:c r="F295" s="81"/>
      <x:c r="G295" s="81"/>
      <x:c r="H295" s="81"/>
      <x:c r="I295" s="81"/>
      <x:c r="J295" s="81"/>
      <x:c r="K295" s="81"/>
      <x:c r="L295" s="81"/>
      <x:c r="M295" s="81"/>
      <x:c r="N295" s="81"/>
      <x:c r="O295" s="81"/>
      <x:c r="P295" s="81"/>
      <x:c r="Q295" s="81"/>
      <x:c r="R295" s="81"/>
      <x:c r="S295" s="81"/>
      <x:c r="T295" s="81"/>
      <x:c r="U295" s="81"/>
      <x:c r="V295" s="81"/>
      <x:c r="W295" s="81"/>
      <x:c r="X295" s="81"/>
      <x:c r="Y295" s="81"/>
      <x:c r="Z295" s="81"/>
    </x:row>
    <x:row r="296">
      <x:c r="A296" s="81"/>
      <x:c r="B296" s="81"/>
      <x:c r="C296" s="81"/>
      <x:c r="D296" s="81"/>
      <x:c r="E296" s="81"/>
      <x:c r="F296" s="81"/>
      <x:c r="G296" s="81"/>
      <x:c r="H296" s="81"/>
      <x:c r="I296" s="81"/>
      <x:c r="J296" s="81"/>
      <x:c r="K296" s="81"/>
      <x:c r="L296" s="81"/>
      <x:c r="M296" s="81"/>
      <x:c r="N296" s="81"/>
      <x:c r="O296" s="81"/>
      <x:c r="P296" s="81"/>
      <x:c r="Q296" s="81"/>
      <x:c r="R296" s="81"/>
      <x:c r="S296" s="81"/>
      <x:c r="T296" s="81"/>
      <x:c r="U296" s="81"/>
      <x:c r="V296" s="81"/>
      <x:c r="W296" s="81"/>
      <x:c r="X296" s="81"/>
      <x:c r="Y296" s="81"/>
      <x:c r="Z296" s="81"/>
    </x:row>
    <x:row r="297">
      <x:c r="A297" s="81"/>
      <x:c r="B297" s="81"/>
      <x:c r="C297" s="81"/>
      <x:c r="D297" s="81"/>
      <x:c r="E297" s="81"/>
      <x:c r="F297" s="81"/>
      <x:c r="G297" s="81"/>
      <x:c r="H297" s="81"/>
      <x:c r="I297" s="81"/>
      <x:c r="J297" s="81"/>
      <x:c r="K297" s="81"/>
      <x:c r="L297" s="81"/>
      <x:c r="M297" s="81"/>
      <x:c r="N297" s="81"/>
      <x:c r="O297" s="81"/>
      <x:c r="P297" s="81"/>
      <x:c r="Q297" s="81"/>
      <x:c r="R297" s="81"/>
      <x:c r="S297" s="81"/>
      <x:c r="T297" s="81"/>
      <x:c r="U297" s="81"/>
      <x:c r="V297" s="81"/>
      <x:c r="W297" s="81"/>
      <x:c r="X297" s="81"/>
      <x:c r="Y297" s="81"/>
      <x:c r="Z297" s="81"/>
    </x:row>
    <x:row r="298">
      <x:c r="A298" s="81"/>
      <x:c r="B298" s="81"/>
      <x:c r="C298" s="81"/>
      <x:c r="D298" s="81"/>
      <x:c r="E298" s="81"/>
      <x:c r="F298" s="81"/>
      <x:c r="G298" s="81"/>
      <x:c r="H298" s="81"/>
      <x:c r="I298" s="81"/>
      <x:c r="J298" s="81"/>
      <x:c r="K298" s="81"/>
      <x:c r="L298" s="81"/>
      <x:c r="M298" s="81"/>
      <x:c r="N298" s="81"/>
      <x:c r="O298" s="81"/>
      <x:c r="P298" s="81"/>
      <x:c r="Q298" s="81"/>
      <x:c r="R298" s="81"/>
      <x:c r="S298" s="81"/>
      <x:c r="T298" s="81"/>
      <x:c r="U298" s="81"/>
      <x:c r="V298" s="81"/>
      <x:c r="W298" s="81"/>
      <x:c r="X298" s="81"/>
      <x:c r="Y298" s="81"/>
      <x:c r="Z298" s="81"/>
    </x:row>
    <x:row r="299">
      <x:c r="A299" s="81"/>
      <x:c r="B299" s="81"/>
      <x:c r="C299" s="81"/>
      <x:c r="D299" s="81"/>
      <x:c r="E299" s="81"/>
      <x:c r="F299" s="81"/>
      <x:c r="G299" s="81"/>
      <x:c r="H299" s="81"/>
      <x:c r="I299" s="81"/>
      <x:c r="J299" s="81"/>
      <x:c r="K299" s="81"/>
      <x:c r="L299" s="81"/>
      <x:c r="M299" s="81"/>
      <x:c r="N299" s="81"/>
      <x:c r="O299" s="81"/>
      <x:c r="P299" s="81"/>
      <x:c r="Q299" s="81"/>
      <x:c r="R299" s="81"/>
      <x:c r="S299" s="81"/>
      <x:c r="T299" s="81"/>
      <x:c r="U299" s="81"/>
      <x:c r="V299" s="81"/>
      <x:c r="W299" s="81"/>
      <x:c r="X299" s="81"/>
      <x:c r="Y299" s="81"/>
      <x:c r="Z299" s="81"/>
    </x:row>
    <x:row r="300">
      <x:c r="A300" s="81"/>
      <x:c r="B300" s="81"/>
      <x:c r="C300" s="81"/>
      <x:c r="D300" s="81"/>
      <x:c r="E300" s="81"/>
      <x:c r="F300" s="81"/>
      <x:c r="G300" s="81"/>
      <x:c r="H300" s="81"/>
      <x:c r="I300" s="81"/>
      <x:c r="J300" s="81"/>
      <x:c r="K300" s="81"/>
      <x:c r="L300" s="81"/>
      <x:c r="M300" s="81"/>
      <x:c r="N300" s="81"/>
      <x:c r="O300" s="81"/>
      <x:c r="P300" s="81"/>
      <x:c r="Q300" s="81"/>
      <x:c r="R300" s="81"/>
      <x:c r="S300" s="81"/>
      <x:c r="T300" s="81"/>
      <x:c r="U300" s="81"/>
      <x:c r="V300" s="81"/>
      <x:c r="W300" s="81"/>
      <x:c r="X300" s="81"/>
      <x:c r="Y300" s="81"/>
      <x:c r="Z300" s="81"/>
    </x:row>
    <x:row r="301">
      <x:c r="A301" s="81"/>
      <x:c r="B301" s="81"/>
      <x:c r="C301" s="81"/>
      <x:c r="D301" s="81"/>
      <x:c r="E301" s="81"/>
      <x:c r="F301" s="81"/>
      <x:c r="G301" s="81"/>
      <x:c r="H301" s="81"/>
      <x:c r="I301" s="81"/>
      <x:c r="J301" s="81"/>
      <x:c r="K301" s="81"/>
      <x:c r="L301" s="81"/>
      <x:c r="M301" s="81"/>
      <x:c r="N301" s="81"/>
      <x:c r="O301" s="81"/>
      <x:c r="P301" s="81"/>
      <x:c r="Q301" s="81"/>
      <x:c r="R301" s="81"/>
      <x:c r="S301" s="81"/>
      <x:c r="T301" s="81"/>
      <x:c r="U301" s="81"/>
      <x:c r="V301" s="81"/>
      <x:c r="W301" s="81"/>
      <x:c r="X301" s="81"/>
      <x:c r="Y301" s="81"/>
      <x:c r="Z301" s="81"/>
    </x:row>
    <x:row r="302">
      <x:c r="A302" s="81"/>
      <x:c r="B302" s="81"/>
      <x:c r="C302" s="81"/>
      <x:c r="D302" s="81"/>
      <x:c r="E302" s="81"/>
      <x:c r="F302" s="81"/>
      <x:c r="G302" s="81"/>
      <x:c r="H302" s="81"/>
      <x:c r="I302" s="81"/>
      <x:c r="J302" s="81"/>
      <x:c r="K302" s="81"/>
      <x:c r="L302" s="81"/>
      <x:c r="M302" s="81"/>
      <x:c r="N302" s="81"/>
      <x:c r="O302" s="81"/>
      <x:c r="P302" s="81"/>
      <x:c r="Q302" s="81"/>
      <x:c r="R302" s="81"/>
      <x:c r="S302" s="81"/>
      <x:c r="T302" s="81"/>
      <x:c r="U302" s="81"/>
      <x:c r="V302" s="81"/>
      <x:c r="W302" s="81"/>
      <x:c r="X302" s="81"/>
      <x:c r="Y302" s="81"/>
      <x:c r="Z302" s="81"/>
    </x:row>
    <x:row r="303">
      <x:c r="A303" s="81"/>
      <x:c r="B303" s="81"/>
      <x:c r="C303" s="81"/>
      <x:c r="D303" s="81"/>
      <x:c r="E303" s="81"/>
      <x:c r="F303" s="81"/>
      <x:c r="G303" s="81"/>
      <x:c r="H303" s="81"/>
      <x:c r="I303" s="81"/>
      <x:c r="J303" s="81"/>
      <x:c r="K303" s="81"/>
      <x:c r="L303" s="81"/>
      <x:c r="M303" s="81"/>
      <x:c r="N303" s="81"/>
      <x:c r="O303" s="81"/>
      <x:c r="P303" s="81"/>
      <x:c r="Q303" s="81"/>
      <x:c r="R303" s="81"/>
      <x:c r="S303" s="81"/>
      <x:c r="T303" s="81"/>
      <x:c r="U303" s="81"/>
      <x:c r="V303" s="81"/>
      <x:c r="W303" s="81"/>
      <x:c r="X303" s="81"/>
      <x:c r="Y303" s="81"/>
      <x:c r="Z303" s="81"/>
    </x:row>
    <x:row r="304">
      <x:c r="A304" s="81"/>
      <x:c r="B304" s="81"/>
      <x:c r="C304" s="81"/>
      <x:c r="D304" s="81"/>
      <x:c r="E304" s="81"/>
      <x:c r="F304" s="81"/>
      <x:c r="G304" s="81"/>
      <x:c r="H304" s="81"/>
      <x:c r="I304" s="81"/>
      <x:c r="J304" s="81"/>
      <x:c r="K304" s="81"/>
      <x:c r="L304" s="81"/>
      <x:c r="M304" s="81"/>
      <x:c r="N304" s="81"/>
      <x:c r="O304" s="81"/>
      <x:c r="P304" s="81"/>
      <x:c r="Q304" s="81"/>
      <x:c r="R304" s="81"/>
      <x:c r="S304" s="81"/>
      <x:c r="T304" s="81"/>
      <x:c r="U304" s="81"/>
      <x:c r="V304" s="81"/>
      <x:c r="W304" s="81"/>
      <x:c r="X304" s="81"/>
      <x:c r="Y304" s="81"/>
      <x:c r="Z304" s="81"/>
    </x:row>
    <x:row r="305">
      <x:c r="A305" s="81"/>
      <x:c r="B305" s="81"/>
      <x:c r="C305" s="81"/>
      <x:c r="D305" s="81"/>
      <x:c r="E305" s="81"/>
      <x:c r="F305" s="81"/>
      <x:c r="G305" s="81"/>
      <x:c r="H305" s="81"/>
      <x:c r="I305" s="81"/>
      <x:c r="J305" s="81"/>
      <x:c r="K305" s="81"/>
      <x:c r="L305" s="81"/>
      <x:c r="M305" s="81"/>
      <x:c r="N305" s="81"/>
      <x:c r="O305" s="81"/>
      <x:c r="P305" s="81"/>
      <x:c r="Q305" s="81"/>
      <x:c r="R305" s="81"/>
      <x:c r="S305" s="81"/>
      <x:c r="T305" s="81"/>
      <x:c r="U305" s="81"/>
      <x:c r="V305" s="81"/>
      <x:c r="W305" s="81"/>
      <x:c r="X305" s="81"/>
      <x:c r="Y305" s="81"/>
      <x:c r="Z305" s="81"/>
    </x:row>
    <x:row r="306">
      <x:c r="A306" s="81"/>
      <x:c r="B306" s="81"/>
      <x:c r="C306" s="81"/>
      <x:c r="D306" s="81"/>
      <x:c r="E306" s="81"/>
      <x:c r="F306" s="81"/>
      <x:c r="G306" s="81"/>
      <x:c r="H306" s="81"/>
      <x:c r="I306" s="81"/>
      <x:c r="J306" s="81"/>
      <x:c r="K306" s="81"/>
      <x:c r="L306" s="81"/>
      <x:c r="M306" s="81"/>
      <x:c r="N306" s="81"/>
      <x:c r="O306" s="81"/>
      <x:c r="P306" s="81"/>
      <x:c r="Q306" s="81"/>
      <x:c r="R306" s="81"/>
      <x:c r="S306" s="81"/>
      <x:c r="T306" s="81"/>
      <x:c r="U306" s="81"/>
      <x:c r="V306" s="81"/>
      <x:c r="W306" s="81"/>
      <x:c r="X306" s="81"/>
      <x:c r="Y306" s="81"/>
      <x:c r="Z306" s="81"/>
    </x:row>
    <x:row r="307">
      <x:c r="A307" s="81"/>
      <x:c r="B307" s="81"/>
      <x:c r="C307" s="81"/>
      <x:c r="D307" s="81"/>
      <x:c r="E307" s="81"/>
      <x:c r="F307" s="81"/>
      <x:c r="G307" s="81"/>
      <x:c r="H307" s="81"/>
      <x:c r="I307" s="81"/>
      <x:c r="J307" s="81"/>
      <x:c r="K307" s="81"/>
      <x:c r="L307" s="81"/>
      <x:c r="M307" s="81"/>
      <x:c r="N307" s="81"/>
      <x:c r="O307" s="81"/>
      <x:c r="P307" s="81"/>
      <x:c r="Q307" s="81"/>
      <x:c r="R307" s="81"/>
      <x:c r="S307" s="81"/>
      <x:c r="T307" s="81"/>
      <x:c r="U307" s="81"/>
      <x:c r="V307" s="81"/>
      <x:c r="W307" s="81"/>
      <x:c r="X307" s="81"/>
      <x:c r="Y307" s="81"/>
      <x:c r="Z307" s="81"/>
    </x:row>
    <x:row r="308">
      <x:c r="A308" s="81"/>
      <x:c r="B308" s="81"/>
      <x:c r="C308" s="81"/>
      <x:c r="D308" s="81"/>
      <x:c r="E308" s="81"/>
      <x:c r="F308" s="81"/>
      <x:c r="G308" s="81"/>
      <x:c r="H308" s="81"/>
      <x:c r="I308" s="81"/>
      <x:c r="J308" s="81"/>
      <x:c r="K308" s="81"/>
      <x:c r="L308" s="81"/>
      <x:c r="M308" s="81"/>
      <x:c r="N308" s="81"/>
      <x:c r="O308" s="81"/>
      <x:c r="P308" s="81"/>
      <x:c r="Q308" s="81"/>
      <x:c r="R308" s="81"/>
      <x:c r="S308" s="81"/>
      <x:c r="T308" s="81"/>
      <x:c r="U308" s="81"/>
      <x:c r="V308" s="81"/>
      <x:c r="W308" s="81"/>
      <x:c r="X308" s="81"/>
      <x:c r="Y308" s="81"/>
      <x:c r="Z308" s="81"/>
    </x:row>
    <x:row r="309">
      <x:c r="A309" s="81"/>
      <x:c r="B309" s="81"/>
      <x:c r="C309" s="81"/>
      <x:c r="D309" s="81"/>
      <x:c r="E309" s="81"/>
      <x:c r="F309" s="81"/>
      <x:c r="G309" s="81"/>
      <x:c r="H309" s="81"/>
      <x:c r="I309" s="81"/>
      <x:c r="J309" s="81"/>
      <x:c r="K309" s="81"/>
      <x:c r="L309" s="81"/>
      <x:c r="M309" s="81"/>
      <x:c r="N309" s="81"/>
      <x:c r="O309" s="81"/>
      <x:c r="P309" s="81"/>
      <x:c r="Q309" s="81"/>
      <x:c r="R309" s="81"/>
      <x:c r="S309" s="81"/>
      <x:c r="T309" s="81"/>
      <x:c r="U309" s="81"/>
      <x:c r="V309" s="81"/>
      <x:c r="W309" s="81"/>
      <x:c r="X309" s="81"/>
      <x:c r="Y309" s="81"/>
      <x:c r="Z309" s="81"/>
    </x:row>
    <x:row r="310">
      <x:c r="A310" s="81"/>
      <x:c r="B310" s="81"/>
      <x:c r="C310" s="81"/>
      <x:c r="D310" s="81"/>
      <x:c r="E310" s="81"/>
      <x:c r="F310" s="81"/>
      <x:c r="G310" s="81"/>
      <x:c r="H310" s="81"/>
      <x:c r="I310" s="81"/>
      <x:c r="J310" s="81"/>
      <x:c r="K310" s="81"/>
      <x:c r="L310" s="81"/>
      <x:c r="M310" s="81"/>
      <x:c r="N310" s="81"/>
      <x:c r="O310" s="81"/>
      <x:c r="P310" s="81"/>
      <x:c r="Q310" s="81"/>
      <x:c r="R310" s="81"/>
      <x:c r="S310" s="81"/>
      <x:c r="T310" s="81"/>
      <x:c r="U310" s="81"/>
      <x:c r="V310" s="81"/>
      <x:c r="W310" s="81"/>
      <x:c r="X310" s="81"/>
      <x:c r="Y310" s="81"/>
      <x:c r="Z310" s="81"/>
    </x:row>
    <x:row r="311">
      <x:c r="A311" s="81"/>
      <x:c r="B311" s="81"/>
      <x:c r="C311" s="81"/>
      <x:c r="D311" s="81"/>
      <x:c r="E311" s="81"/>
      <x:c r="F311" s="81"/>
      <x:c r="G311" s="81"/>
      <x:c r="H311" s="81"/>
      <x:c r="I311" s="81"/>
      <x:c r="J311" s="81"/>
      <x:c r="K311" s="81"/>
      <x:c r="L311" s="81"/>
      <x:c r="M311" s="81"/>
      <x:c r="N311" s="81"/>
      <x:c r="O311" s="81"/>
      <x:c r="P311" s="81"/>
      <x:c r="Q311" s="81"/>
      <x:c r="R311" s="81"/>
      <x:c r="S311" s="81"/>
      <x:c r="T311" s="81"/>
      <x:c r="U311" s="81"/>
      <x:c r="V311" s="81"/>
      <x:c r="W311" s="81"/>
      <x:c r="X311" s="81"/>
      <x:c r="Y311" s="81"/>
      <x:c r="Z311" s="81"/>
    </x:row>
    <x:row r="312">
      <x:c r="A312" s="81"/>
      <x:c r="B312" s="81"/>
      <x:c r="C312" s="81"/>
      <x:c r="D312" s="81"/>
      <x:c r="E312" s="81"/>
      <x:c r="F312" s="81"/>
      <x:c r="G312" s="81"/>
      <x:c r="H312" s="81"/>
      <x:c r="I312" s="81"/>
      <x:c r="J312" s="81"/>
      <x:c r="K312" s="81"/>
      <x:c r="L312" s="81"/>
      <x:c r="M312" s="81"/>
      <x:c r="N312" s="81"/>
      <x:c r="O312" s="81"/>
      <x:c r="P312" s="81"/>
      <x:c r="Q312" s="81"/>
      <x:c r="R312" s="81"/>
      <x:c r="S312" s="81"/>
      <x:c r="T312" s="81"/>
      <x:c r="U312" s="81"/>
      <x:c r="V312" s="81"/>
      <x:c r="W312" s="81"/>
      <x:c r="X312" s="81"/>
      <x:c r="Y312" s="81"/>
      <x:c r="Z312" s="81"/>
    </x:row>
    <x:row r="313">
      <x:c r="A313" s="81"/>
      <x:c r="B313" s="81"/>
      <x:c r="C313" s="81"/>
      <x:c r="D313" s="81"/>
      <x:c r="E313" s="81"/>
      <x:c r="F313" s="81"/>
      <x:c r="G313" s="81"/>
      <x:c r="H313" s="81"/>
      <x:c r="I313" s="81"/>
      <x:c r="J313" s="81"/>
      <x:c r="K313" s="81"/>
      <x:c r="L313" s="81"/>
      <x:c r="M313" s="81"/>
      <x:c r="N313" s="81"/>
      <x:c r="O313" s="81"/>
      <x:c r="P313" s="81"/>
      <x:c r="Q313" s="81"/>
      <x:c r="R313" s="81"/>
      <x:c r="S313" s="81"/>
      <x:c r="T313" s="81"/>
      <x:c r="U313" s="81"/>
      <x:c r="V313" s="81"/>
      <x:c r="W313" s="81"/>
      <x:c r="X313" s="81"/>
      <x:c r="Y313" s="81"/>
      <x:c r="Z313" s="81"/>
    </x:row>
    <x:row r="314">
      <x:c r="A314" s="81"/>
      <x:c r="B314" s="81"/>
      <x:c r="C314" s="81"/>
      <x:c r="D314" s="81"/>
      <x:c r="E314" s="81"/>
      <x:c r="F314" s="81"/>
      <x:c r="G314" s="81"/>
      <x:c r="H314" s="81"/>
      <x:c r="I314" s="81"/>
      <x:c r="J314" s="81"/>
      <x:c r="K314" s="81"/>
      <x:c r="L314" s="81"/>
      <x:c r="M314" s="81"/>
      <x:c r="N314" s="81"/>
      <x:c r="O314" s="81"/>
      <x:c r="P314" s="81"/>
      <x:c r="Q314" s="81"/>
      <x:c r="R314" s="81"/>
      <x:c r="S314" s="81"/>
      <x:c r="T314" s="81"/>
      <x:c r="U314" s="81"/>
      <x:c r="V314" s="81"/>
      <x:c r="W314" s="81"/>
      <x:c r="X314" s="81"/>
      <x:c r="Y314" s="81"/>
      <x:c r="Z314" s="81"/>
    </x:row>
    <x:row r="315">
      <x:c r="A315" s="81"/>
      <x:c r="B315" s="81"/>
      <x:c r="C315" s="81"/>
      <x:c r="D315" s="81"/>
      <x:c r="E315" s="81"/>
      <x:c r="F315" s="81"/>
      <x:c r="G315" s="81"/>
      <x:c r="H315" s="81"/>
      <x:c r="I315" s="81"/>
      <x:c r="J315" s="81"/>
      <x:c r="K315" s="81"/>
      <x:c r="L315" s="81"/>
      <x:c r="M315" s="81"/>
      <x:c r="N315" s="81"/>
      <x:c r="O315" s="81"/>
      <x:c r="P315" s="81"/>
      <x:c r="Q315" s="81"/>
      <x:c r="R315" s="81"/>
      <x:c r="S315" s="81"/>
      <x:c r="T315" s="81"/>
      <x:c r="U315" s="81"/>
      <x:c r="V315" s="81"/>
      <x:c r="W315" s="81"/>
      <x:c r="X315" s="81"/>
      <x:c r="Y315" s="81"/>
      <x:c r="Z315" s="81"/>
    </x:row>
    <x:row r="316">
      <x:c r="A316" s="81"/>
      <x:c r="B316" s="81"/>
      <x:c r="C316" s="81"/>
      <x:c r="D316" s="81"/>
      <x:c r="E316" s="81"/>
      <x:c r="F316" s="81"/>
      <x:c r="G316" s="81"/>
      <x:c r="H316" s="81"/>
      <x:c r="I316" s="81"/>
      <x:c r="J316" s="81"/>
      <x:c r="K316" s="81"/>
      <x:c r="L316" s="81"/>
      <x:c r="M316" s="81"/>
      <x:c r="N316" s="81"/>
      <x:c r="O316" s="81"/>
      <x:c r="P316" s="81"/>
      <x:c r="Q316" s="81"/>
      <x:c r="R316" s="81"/>
      <x:c r="S316" s="81"/>
      <x:c r="T316" s="81"/>
      <x:c r="U316" s="81"/>
      <x:c r="V316" s="81"/>
      <x:c r="W316" s="81"/>
      <x:c r="X316" s="81"/>
      <x:c r="Y316" s="81"/>
      <x:c r="Z316" s="81"/>
    </x:row>
    <x:row r="317">
      <x:c r="A317" s="81"/>
      <x:c r="B317" s="81"/>
      <x:c r="C317" s="81"/>
      <x:c r="D317" s="81"/>
      <x:c r="E317" s="81"/>
      <x:c r="F317" s="81"/>
      <x:c r="G317" s="81"/>
      <x:c r="H317" s="81"/>
      <x:c r="I317" s="81"/>
      <x:c r="J317" s="81"/>
      <x:c r="K317" s="81"/>
      <x:c r="L317" s="81"/>
      <x:c r="M317" s="81"/>
      <x:c r="N317" s="81"/>
      <x:c r="O317" s="81"/>
      <x:c r="P317" s="81"/>
      <x:c r="Q317" s="81"/>
      <x:c r="R317" s="81"/>
      <x:c r="S317" s="81"/>
      <x:c r="T317" s="81"/>
      <x:c r="U317" s="81"/>
      <x:c r="V317" s="81"/>
      <x:c r="W317" s="81"/>
      <x:c r="X317" s="81"/>
      <x:c r="Y317" s="81"/>
      <x:c r="Z317" s="81"/>
    </x:row>
    <x:row r="318">
      <x:c r="A318" s="81"/>
      <x:c r="B318" s="81"/>
      <x:c r="C318" s="81"/>
      <x:c r="D318" s="81"/>
      <x:c r="E318" s="81"/>
      <x:c r="F318" s="81"/>
      <x:c r="G318" s="81"/>
      <x:c r="H318" s="81"/>
      <x:c r="I318" s="81"/>
      <x:c r="J318" s="81"/>
      <x:c r="K318" s="81"/>
      <x:c r="L318" s="81"/>
      <x:c r="M318" s="81"/>
      <x:c r="N318" s="81"/>
      <x:c r="O318" s="81"/>
      <x:c r="P318" s="81"/>
      <x:c r="Q318" s="81"/>
      <x:c r="R318" s="81"/>
      <x:c r="S318" s="81"/>
      <x:c r="T318" s="81"/>
      <x:c r="U318" s="81"/>
      <x:c r="V318" s="81"/>
      <x:c r="W318" s="81"/>
      <x:c r="X318" s="81"/>
      <x:c r="Y318" s="81"/>
      <x:c r="Z318" s="81"/>
    </x:row>
    <x:row r="319">
      <x:c r="A319" s="81"/>
      <x:c r="B319" s="81"/>
      <x:c r="C319" s="81"/>
      <x:c r="D319" s="81"/>
      <x:c r="E319" s="81"/>
      <x:c r="F319" s="81"/>
      <x:c r="G319" s="81"/>
      <x:c r="H319" s="81"/>
      <x:c r="I319" s="81"/>
      <x:c r="J319" s="81"/>
      <x:c r="K319" s="81"/>
      <x:c r="L319" s="81"/>
      <x:c r="M319" s="81"/>
      <x:c r="N319" s="81"/>
      <x:c r="O319" s="81"/>
      <x:c r="P319" s="81"/>
      <x:c r="Q319" s="81"/>
      <x:c r="R319" s="81"/>
      <x:c r="S319" s="81"/>
      <x:c r="T319" s="81"/>
      <x:c r="U319" s="81"/>
      <x:c r="V319" s="81"/>
      <x:c r="W319" s="81"/>
      <x:c r="X319" s="81"/>
      <x:c r="Y319" s="81"/>
      <x:c r="Z319" s="81"/>
    </x:row>
    <x:row r="320">
      <x:c r="A320" s="81"/>
      <x:c r="B320" s="81"/>
      <x:c r="C320" s="81"/>
      <x:c r="D320" s="81"/>
      <x:c r="E320" s="81"/>
      <x:c r="F320" s="81"/>
      <x:c r="G320" s="81"/>
      <x:c r="H320" s="81"/>
      <x:c r="I320" s="81"/>
      <x:c r="J320" s="81"/>
      <x:c r="K320" s="81"/>
      <x:c r="L320" s="81"/>
      <x:c r="M320" s="81"/>
      <x:c r="N320" s="81"/>
      <x:c r="O320" s="81"/>
      <x:c r="P320" s="81"/>
      <x:c r="Q320" s="81"/>
      <x:c r="R320" s="81"/>
      <x:c r="S320" s="81"/>
      <x:c r="T320" s="81"/>
      <x:c r="U320" s="81"/>
      <x:c r="V320" s="81"/>
      <x:c r="W320" s="81"/>
      <x:c r="X320" s="81"/>
      <x:c r="Y320" s="81"/>
      <x:c r="Z320" s="81"/>
    </x:row>
    <x:row r="321">
      <x:c r="A321" s="81"/>
      <x:c r="B321" s="81"/>
      <x:c r="C321" s="81"/>
      <x:c r="D321" s="81"/>
      <x:c r="E321" s="81"/>
      <x:c r="F321" s="81"/>
      <x:c r="G321" s="81"/>
      <x:c r="H321" s="81"/>
      <x:c r="I321" s="81"/>
      <x:c r="J321" s="81"/>
      <x:c r="K321" s="81"/>
      <x:c r="L321" s="81"/>
      <x:c r="M321" s="81"/>
      <x:c r="N321" s="81"/>
      <x:c r="O321" s="81"/>
      <x:c r="P321" s="81"/>
      <x:c r="Q321" s="81"/>
      <x:c r="R321" s="81"/>
      <x:c r="S321" s="81"/>
      <x:c r="T321" s="81"/>
      <x:c r="U321" s="81"/>
      <x:c r="V321" s="81"/>
      <x:c r="W321" s="81"/>
      <x:c r="X321" s="81"/>
      <x:c r="Y321" s="81"/>
      <x:c r="Z321" s="81"/>
    </x:row>
    <x:row r="322">
      <x:c r="A322" s="81"/>
      <x:c r="B322" s="81"/>
      <x:c r="C322" s="81"/>
      <x:c r="D322" s="81"/>
      <x:c r="E322" s="81"/>
      <x:c r="F322" s="81"/>
      <x:c r="G322" s="81"/>
      <x:c r="H322" s="81"/>
      <x:c r="I322" s="81"/>
      <x:c r="J322" s="81"/>
      <x:c r="K322" s="81"/>
      <x:c r="L322" s="81"/>
      <x:c r="M322" s="81"/>
      <x:c r="N322" s="81"/>
      <x:c r="O322" s="81"/>
      <x:c r="P322" s="81"/>
      <x:c r="Q322" s="81"/>
      <x:c r="R322" s="81"/>
      <x:c r="S322" s="81"/>
      <x:c r="T322" s="81"/>
      <x:c r="U322" s="81"/>
      <x:c r="V322" s="81"/>
      <x:c r="W322" s="81"/>
      <x:c r="X322" s="81"/>
      <x:c r="Y322" s="81"/>
      <x:c r="Z322" s="81"/>
    </x:row>
    <x:row r="323">
      <x:c r="A323" s="81"/>
      <x:c r="B323" s="81"/>
      <x:c r="C323" s="81"/>
      <x:c r="D323" s="81"/>
      <x:c r="E323" s="81"/>
      <x:c r="F323" s="81"/>
      <x:c r="G323" s="81"/>
      <x:c r="H323" s="81"/>
      <x:c r="I323" s="81"/>
      <x:c r="J323" s="81"/>
      <x:c r="K323" s="81"/>
      <x:c r="L323" s="81"/>
      <x:c r="M323" s="81"/>
      <x:c r="N323" s="81"/>
      <x:c r="O323" s="81"/>
      <x:c r="P323" s="81"/>
      <x:c r="Q323" s="81"/>
      <x:c r="R323" s="81"/>
      <x:c r="S323" s="81"/>
      <x:c r="T323" s="81"/>
      <x:c r="U323" s="81"/>
      <x:c r="V323" s="81"/>
      <x:c r="W323" s="81"/>
      <x:c r="X323" s="81"/>
      <x:c r="Y323" s="81"/>
      <x:c r="Z323" s="81"/>
    </x:row>
    <x:row r="324">
      <x:c r="A324" s="81"/>
      <x:c r="B324" s="81"/>
      <x:c r="C324" s="81"/>
      <x:c r="D324" s="81"/>
      <x:c r="E324" s="81"/>
      <x:c r="F324" s="81"/>
      <x:c r="G324" s="81"/>
      <x:c r="H324" s="81"/>
      <x:c r="I324" s="81"/>
      <x:c r="J324" s="81"/>
      <x:c r="K324" s="81"/>
      <x:c r="L324" s="81"/>
      <x:c r="M324" s="81"/>
      <x:c r="N324" s="81"/>
      <x:c r="O324" s="81"/>
      <x:c r="P324" s="81"/>
      <x:c r="Q324" s="81"/>
      <x:c r="R324" s="81"/>
      <x:c r="S324" s="81"/>
      <x:c r="T324" s="81"/>
      <x:c r="U324" s="81"/>
      <x:c r="V324" s="81"/>
      <x:c r="W324" s="81"/>
      <x:c r="X324" s="81"/>
      <x:c r="Y324" s="81"/>
      <x:c r="Z324" s="81"/>
    </x:row>
    <x:row r="325">
      <x:c r="A325" s="81"/>
      <x:c r="B325" s="81"/>
      <x:c r="C325" s="81"/>
      <x:c r="D325" s="81"/>
      <x:c r="E325" s="81"/>
      <x:c r="F325" s="81"/>
      <x:c r="G325" s="81"/>
      <x:c r="H325" s="81"/>
      <x:c r="I325" s="81"/>
      <x:c r="J325" s="81"/>
      <x:c r="K325" s="81"/>
      <x:c r="L325" s="81"/>
      <x:c r="M325" s="81"/>
      <x:c r="N325" s="81"/>
      <x:c r="O325" s="81"/>
      <x:c r="P325" s="81"/>
      <x:c r="Q325" s="81"/>
      <x:c r="R325" s="81"/>
      <x:c r="S325" s="81"/>
      <x:c r="T325" s="81"/>
      <x:c r="U325" s="81"/>
      <x:c r="V325" s="81"/>
      <x:c r="W325" s="81"/>
      <x:c r="X325" s="81"/>
      <x:c r="Y325" s="81"/>
      <x:c r="Z325" s="81"/>
    </x:row>
    <x:row r="326">
      <x:c r="A326" s="81"/>
      <x:c r="B326" s="81"/>
      <x:c r="C326" s="81"/>
      <x:c r="D326" s="81"/>
      <x:c r="E326" s="81"/>
      <x:c r="F326" s="81"/>
      <x:c r="G326" s="81"/>
      <x:c r="H326" s="81"/>
      <x:c r="I326" s="81"/>
      <x:c r="J326" s="81"/>
      <x:c r="K326" s="81"/>
      <x:c r="L326" s="81"/>
      <x:c r="M326" s="81"/>
      <x:c r="N326" s="81"/>
      <x:c r="O326" s="81"/>
      <x:c r="P326" s="81"/>
      <x:c r="Q326" s="81"/>
      <x:c r="R326" s="81"/>
      <x:c r="S326" s="81"/>
      <x:c r="T326" s="81"/>
      <x:c r="U326" s="81"/>
      <x:c r="V326" s="81"/>
      <x:c r="W326" s="81"/>
      <x:c r="X326" s="81"/>
      <x:c r="Y326" s="81"/>
      <x:c r="Z326" s="81"/>
    </x:row>
    <x:row r="327">
      <x:c r="A327" s="81"/>
      <x:c r="B327" s="81"/>
      <x:c r="C327" s="81"/>
      <x:c r="D327" s="81"/>
      <x:c r="E327" s="81"/>
      <x:c r="F327" s="81"/>
      <x:c r="G327" s="81"/>
      <x:c r="H327" s="81"/>
      <x:c r="I327" s="81"/>
      <x:c r="J327" s="81"/>
      <x:c r="K327" s="81"/>
      <x:c r="L327" s="81"/>
      <x:c r="M327" s="81"/>
      <x:c r="N327" s="81"/>
      <x:c r="O327" s="81"/>
      <x:c r="P327" s="81"/>
      <x:c r="Q327" s="81"/>
      <x:c r="R327" s="81"/>
      <x:c r="S327" s="81"/>
      <x:c r="T327" s="81"/>
      <x:c r="U327" s="81"/>
      <x:c r="V327" s="81"/>
      <x:c r="W327" s="81"/>
      <x:c r="X327" s="81"/>
      <x:c r="Y327" s="81"/>
      <x:c r="Z327" s="81"/>
    </x:row>
    <x:row r="328">
      <x:c r="A328" s="81"/>
      <x:c r="B328" s="81"/>
      <x:c r="C328" s="81"/>
      <x:c r="D328" s="81"/>
      <x:c r="E328" s="81"/>
      <x:c r="F328" s="81"/>
      <x:c r="G328" s="81"/>
      <x:c r="H328" s="81"/>
      <x:c r="I328" s="81"/>
      <x:c r="J328" s="81"/>
      <x:c r="K328" s="81"/>
      <x:c r="L328" s="81"/>
      <x:c r="M328" s="81"/>
      <x:c r="N328" s="81"/>
      <x:c r="O328" s="81"/>
      <x:c r="P328" s="81"/>
      <x:c r="Q328" s="81"/>
      <x:c r="R328" s="81"/>
      <x:c r="S328" s="81"/>
      <x:c r="T328" s="81"/>
      <x:c r="U328" s="81"/>
      <x:c r="V328" s="81"/>
      <x:c r="W328" s="81"/>
      <x:c r="X328" s="81"/>
      <x:c r="Y328" s="81"/>
      <x:c r="Z328" s="81"/>
    </x:row>
    <x:row r="329">
      <x:c r="A329" s="81"/>
      <x:c r="B329" s="81"/>
      <x:c r="C329" s="81"/>
      <x:c r="D329" s="81"/>
      <x:c r="E329" s="81"/>
      <x:c r="F329" s="81"/>
      <x:c r="G329" s="81"/>
      <x:c r="H329" s="81"/>
      <x:c r="I329" s="81"/>
      <x:c r="J329" s="81"/>
      <x:c r="K329" s="81"/>
      <x:c r="L329" s="81"/>
      <x:c r="M329" s="81"/>
      <x:c r="N329" s="81"/>
      <x:c r="O329" s="81"/>
      <x:c r="P329" s="81"/>
      <x:c r="Q329" s="81"/>
      <x:c r="R329" s="81"/>
      <x:c r="S329" s="81"/>
      <x:c r="T329" s="81"/>
      <x:c r="U329" s="81"/>
      <x:c r="V329" s="81"/>
      <x:c r="W329" s="81"/>
      <x:c r="X329" s="81"/>
      <x:c r="Y329" s="81"/>
      <x:c r="Z329" s="81"/>
    </x:row>
    <x:row r="330">
      <x:c r="A330" s="81"/>
      <x:c r="B330" s="81"/>
      <x:c r="C330" s="81"/>
      <x:c r="D330" s="81"/>
      <x:c r="E330" s="81"/>
      <x:c r="F330" s="81"/>
      <x:c r="G330" s="81"/>
      <x:c r="H330" s="81"/>
      <x:c r="I330" s="81"/>
      <x:c r="J330" s="81"/>
      <x:c r="K330" s="81"/>
      <x:c r="L330" s="81"/>
      <x:c r="M330" s="81"/>
      <x:c r="N330" s="81"/>
      <x:c r="O330" s="81"/>
      <x:c r="P330" s="81"/>
      <x:c r="Q330" s="81"/>
      <x:c r="R330" s="81"/>
      <x:c r="S330" s="81"/>
      <x:c r="T330" s="81"/>
      <x:c r="U330" s="81"/>
      <x:c r="V330" s="81"/>
      <x:c r="W330" s="81"/>
      <x:c r="X330" s="81"/>
      <x:c r="Y330" s="81"/>
      <x:c r="Z330" s="81"/>
    </x:row>
    <x:row r="331">
      <x:c r="A331" s="81"/>
      <x:c r="B331" s="81"/>
      <x:c r="C331" s="81"/>
      <x:c r="D331" s="81"/>
      <x:c r="E331" s="81"/>
      <x:c r="F331" s="81"/>
      <x:c r="G331" s="81"/>
      <x:c r="H331" s="81"/>
      <x:c r="I331" s="81"/>
      <x:c r="J331" s="81"/>
      <x:c r="K331" s="81"/>
      <x:c r="L331" s="81"/>
      <x:c r="M331" s="81"/>
      <x:c r="N331" s="81"/>
      <x:c r="O331" s="81"/>
      <x:c r="P331" s="81"/>
      <x:c r="Q331" s="81"/>
      <x:c r="R331" s="81"/>
      <x:c r="S331" s="81"/>
      <x:c r="T331" s="81"/>
      <x:c r="U331" s="81"/>
      <x:c r="V331" s="81"/>
      <x:c r="W331" s="81"/>
      <x:c r="X331" s="81"/>
      <x:c r="Y331" s="81"/>
      <x:c r="Z331" s="81"/>
    </x:row>
    <x:row r="332">
      <x:c r="A332" s="81"/>
      <x:c r="B332" s="81"/>
      <x:c r="C332" s="81"/>
      <x:c r="D332" s="81"/>
      <x:c r="E332" s="81"/>
      <x:c r="F332" s="81"/>
      <x:c r="G332" s="81"/>
      <x:c r="H332" s="81"/>
      <x:c r="I332" s="81"/>
      <x:c r="J332" s="81"/>
      <x:c r="K332" s="81"/>
      <x:c r="L332" s="81"/>
      <x:c r="M332" s="81"/>
      <x:c r="N332" s="81"/>
      <x:c r="O332" s="81"/>
      <x:c r="P332" s="81"/>
      <x:c r="Q332" s="81"/>
      <x:c r="R332" s="81"/>
      <x:c r="S332" s="81"/>
      <x:c r="T332" s="81"/>
      <x:c r="U332" s="81"/>
      <x:c r="V332" s="81"/>
      <x:c r="W332" s="81"/>
      <x:c r="X332" s="81"/>
      <x:c r="Y332" s="81"/>
      <x:c r="Z332" s="81"/>
    </x:row>
    <x:row r="333">
      <x:c r="A333" s="81"/>
      <x:c r="B333" s="81"/>
      <x:c r="C333" s="81"/>
      <x:c r="D333" s="81"/>
      <x:c r="E333" s="81"/>
      <x:c r="F333" s="81"/>
      <x:c r="G333" s="81"/>
      <x:c r="H333" s="81"/>
      <x:c r="I333" s="81"/>
      <x:c r="J333" s="81"/>
      <x:c r="K333" s="81"/>
      <x:c r="L333" s="81"/>
      <x:c r="M333" s="81"/>
      <x:c r="N333" s="81"/>
      <x:c r="O333" s="81"/>
      <x:c r="P333" s="81"/>
      <x:c r="Q333" s="81"/>
      <x:c r="R333" s="81"/>
      <x:c r="S333" s="81"/>
      <x:c r="T333" s="81"/>
      <x:c r="U333" s="81"/>
      <x:c r="V333" s="81"/>
      <x:c r="W333" s="81"/>
      <x:c r="X333" s="81"/>
      <x:c r="Y333" s="81"/>
      <x:c r="Z333" s="81"/>
    </x:row>
    <x:row r="334">
      <x:c r="A334" s="81"/>
      <x:c r="B334" s="81"/>
      <x:c r="C334" s="81"/>
      <x:c r="D334" s="81"/>
      <x:c r="E334" s="81"/>
      <x:c r="F334" s="81"/>
      <x:c r="G334" s="81"/>
      <x:c r="H334" s="81"/>
      <x:c r="I334" s="81"/>
      <x:c r="J334" s="81"/>
      <x:c r="K334" s="81"/>
      <x:c r="L334" s="81"/>
      <x:c r="M334" s="81"/>
      <x:c r="N334" s="81"/>
      <x:c r="O334" s="81"/>
      <x:c r="P334" s="81"/>
      <x:c r="Q334" s="81"/>
      <x:c r="R334" s="81"/>
      <x:c r="S334" s="81"/>
      <x:c r="T334" s="81"/>
      <x:c r="U334" s="81"/>
      <x:c r="V334" s="81"/>
      <x:c r="W334" s="81"/>
      <x:c r="X334" s="81"/>
      <x:c r="Y334" s="81"/>
      <x:c r="Z334" s="81"/>
    </x:row>
    <x:row r="335">
      <x:c r="A335" s="81"/>
      <x:c r="B335" s="81"/>
      <x:c r="C335" s="81"/>
      <x:c r="D335" s="81"/>
      <x:c r="E335" s="81"/>
      <x:c r="F335" s="81"/>
      <x:c r="G335" s="81"/>
      <x:c r="H335" s="81"/>
      <x:c r="I335" s="81"/>
      <x:c r="J335" s="81"/>
      <x:c r="K335" s="81"/>
      <x:c r="L335" s="81"/>
      <x:c r="M335" s="81"/>
      <x:c r="N335" s="81"/>
      <x:c r="O335" s="81"/>
      <x:c r="P335" s="81"/>
      <x:c r="Q335" s="81"/>
      <x:c r="R335" s="81"/>
      <x:c r="S335" s="81"/>
      <x:c r="T335" s="81"/>
      <x:c r="U335" s="81"/>
      <x:c r="V335" s="81"/>
      <x:c r="W335" s="81"/>
      <x:c r="X335" s="81"/>
      <x:c r="Y335" s="81"/>
      <x:c r="Z335" s="81"/>
    </x:row>
    <x:row r="336">
      <x:c r="A336" s="81"/>
      <x:c r="B336" s="81"/>
      <x:c r="C336" s="81"/>
      <x:c r="D336" s="81"/>
      <x:c r="E336" s="81"/>
      <x:c r="F336" s="81"/>
      <x:c r="G336" s="81"/>
      <x:c r="H336" s="81"/>
      <x:c r="I336" s="81"/>
      <x:c r="J336" s="81"/>
      <x:c r="K336" s="81"/>
      <x:c r="L336" s="81"/>
      <x:c r="M336" s="81"/>
      <x:c r="N336" s="81"/>
      <x:c r="O336" s="81"/>
      <x:c r="P336" s="81"/>
      <x:c r="Q336" s="81"/>
      <x:c r="R336" s="81"/>
      <x:c r="S336" s="81"/>
      <x:c r="T336" s="81"/>
      <x:c r="U336" s="81"/>
      <x:c r="V336" s="81"/>
      <x:c r="W336" s="81"/>
      <x:c r="X336" s="81"/>
      <x:c r="Y336" s="81"/>
      <x:c r="Z336" s="81"/>
    </x:row>
    <x:row r="337">
      <x:c r="A337" s="81"/>
      <x:c r="B337" s="81"/>
      <x:c r="C337" s="81"/>
      <x:c r="D337" s="81"/>
      <x:c r="E337" s="81"/>
      <x:c r="F337" s="81"/>
      <x:c r="G337" s="81"/>
      <x:c r="H337" s="81"/>
      <x:c r="I337" s="81"/>
      <x:c r="J337" s="81"/>
      <x:c r="K337" s="81"/>
      <x:c r="L337" s="81"/>
      <x:c r="M337" s="81"/>
      <x:c r="N337" s="81"/>
      <x:c r="O337" s="81"/>
      <x:c r="P337" s="81"/>
      <x:c r="Q337" s="81"/>
      <x:c r="R337" s="81"/>
      <x:c r="S337" s="81"/>
      <x:c r="T337" s="81"/>
      <x:c r="U337" s="81"/>
      <x:c r="V337" s="81"/>
      <x:c r="W337" s="81"/>
      <x:c r="X337" s="81"/>
      <x:c r="Y337" s="81"/>
      <x:c r="Z337" s="81"/>
    </x:row>
    <x:row r="338">
      <x:c r="A338" s="81"/>
      <x:c r="B338" s="81"/>
      <x:c r="C338" s="81"/>
      <x:c r="D338" s="81"/>
      <x:c r="E338" s="81"/>
      <x:c r="F338" s="81"/>
      <x:c r="G338" s="81"/>
      <x:c r="H338" s="81"/>
      <x:c r="I338" s="81"/>
      <x:c r="J338" s="81"/>
      <x:c r="K338" s="81"/>
      <x:c r="L338" s="81"/>
      <x:c r="M338" s="81"/>
      <x:c r="N338" s="81"/>
      <x:c r="O338" s="81"/>
      <x:c r="P338" s="81"/>
      <x:c r="Q338" s="81"/>
      <x:c r="R338" s="81"/>
      <x:c r="S338" s="81"/>
      <x:c r="T338" s="81"/>
      <x:c r="U338" s="81"/>
      <x:c r="V338" s="81"/>
      <x:c r="W338" s="81"/>
      <x:c r="X338" s="81"/>
      <x:c r="Y338" s="81"/>
      <x:c r="Z338" s="81"/>
    </x:row>
    <x:row r="339">
      <x:c r="A339" s="81"/>
      <x:c r="B339" s="81"/>
      <x:c r="C339" s="81"/>
      <x:c r="D339" s="81"/>
      <x:c r="E339" s="81"/>
      <x:c r="F339" s="81"/>
      <x:c r="G339" s="81"/>
      <x:c r="H339" s="81"/>
      <x:c r="I339" s="81"/>
      <x:c r="J339" s="81"/>
      <x:c r="K339" s="81"/>
      <x:c r="L339" s="81"/>
      <x:c r="M339" s="81"/>
      <x:c r="N339" s="81"/>
      <x:c r="O339" s="81"/>
      <x:c r="P339" s="81"/>
      <x:c r="Q339" s="81"/>
      <x:c r="R339" s="81"/>
      <x:c r="S339" s="81"/>
      <x:c r="T339" s="81"/>
      <x:c r="U339" s="81"/>
      <x:c r="V339" s="81"/>
      <x:c r="W339" s="81"/>
      <x:c r="X339" s="81"/>
      <x:c r="Y339" s="81"/>
      <x:c r="Z339" s="81"/>
    </x:row>
    <x:row r="340">
      <x:c r="A340" s="81"/>
      <x:c r="B340" s="81"/>
      <x:c r="C340" s="81"/>
      <x:c r="D340" s="81"/>
      <x:c r="E340" s="81"/>
      <x:c r="F340" s="81"/>
      <x:c r="G340" s="81"/>
      <x:c r="H340" s="81"/>
      <x:c r="I340" s="81"/>
      <x:c r="J340" s="81"/>
      <x:c r="K340" s="81"/>
      <x:c r="L340" s="81"/>
      <x:c r="M340" s="81"/>
      <x:c r="N340" s="81"/>
      <x:c r="O340" s="81"/>
      <x:c r="P340" s="81"/>
      <x:c r="Q340" s="81"/>
      <x:c r="R340" s="81"/>
      <x:c r="S340" s="81"/>
      <x:c r="T340" s="81"/>
      <x:c r="U340" s="81"/>
      <x:c r="V340" s="81"/>
      <x:c r="W340" s="81"/>
      <x:c r="X340" s="81"/>
      <x:c r="Y340" s="81"/>
      <x:c r="Z340" s="81"/>
    </x:row>
    <x:row r="341">
      <x:c r="A341" s="81"/>
      <x:c r="B341" s="81"/>
      <x:c r="C341" s="81"/>
      <x:c r="D341" s="81"/>
      <x:c r="E341" s="81"/>
      <x:c r="F341" s="81"/>
      <x:c r="G341" s="81"/>
      <x:c r="H341" s="81"/>
      <x:c r="I341" s="81"/>
      <x:c r="J341" s="81"/>
      <x:c r="K341" s="81"/>
      <x:c r="L341" s="81"/>
      <x:c r="M341" s="81"/>
      <x:c r="N341" s="81"/>
      <x:c r="O341" s="81"/>
      <x:c r="P341" s="81"/>
      <x:c r="Q341" s="81"/>
      <x:c r="R341" s="81"/>
      <x:c r="S341" s="81"/>
      <x:c r="T341" s="81"/>
      <x:c r="U341" s="81"/>
      <x:c r="V341" s="81"/>
      <x:c r="W341" s="81"/>
      <x:c r="X341" s="81"/>
      <x:c r="Y341" s="81"/>
      <x:c r="Z341" s="81"/>
    </x:row>
    <x:row r="342">
      <x:c r="A342" s="81"/>
      <x:c r="B342" s="81"/>
      <x:c r="C342" s="81"/>
      <x:c r="D342" s="81"/>
      <x:c r="E342" s="81"/>
      <x:c r="F342" s="81"/>
      <x:c r="G342" s="81"/>
      <x:c r="H342" s="81"/>
      <x:c r="I342" s="81"/>
      <x:c r="J342" s="81"/>
      <x:c r="K342" s="81"/>
      <x:c r="L342" s="81"/>
      <x:c r="M342" s="81"/>
      <x:c r="N342" s="81"/>
      <x:c r="O342" s="81"/>
      <x:c r="P342" s="81"/>
      <x:c r="Q342" s="81"/>
      <x:c r="R342" s="81"/>
      <x:c r="S342" s="81"/>
      <x:c r="T342" s="81"/>
      <x:c r="U342" s="81"/>
      <x:c r="V342" s="81"/>
      <x:c r="W342" s="81"/>
      <x:c r="X342" s="81"/>
      <x:c r="Y342" s="81"/>
      <x:c r="Z342" s="81"/>
    </x:row>
    <x:row r="343">
      <x:c r="A343" s="81"/>
      <x:c r="B343" s="81"/>
      <x:c r="C343" s="81"/>
      <x:c r="D343" s="81"/>
      <x:c r="E343" s="81"/>
      <x:c r="F343" s="81"/>
      <x:c r="G343" s="81"/>
      <x:c r="H343" s="81"/>
      <x:c r="I343" s="81"/>
      <x:c r="J343" s="81"/>
      <x:c r="K343" s="81"/>
      <x:c r="L343" s="81"/>
      <x:c r="M343" s="81"/>
      <x:c r="N343" s="81"/>
      <x:c r="O343" s="81"/>
      <x:c r="P343" s="81"/>
      <x:c r="Q343" s="81"/>
      <x:c r="R343" s="81"/>
      <x:c r="S343" s="81"/>
      <x:c r="T343" s="81"/>
      <x:c r="U343" s="81"/>
      <x:c r="V343" s="81"/>
      <x:c r="W343" s="81"/>
      <x:c r="X343" s="81"/>
      <x:c r="Y343" s="81"/>
      <x:c r="Z343" s="81"/>
    </x:row>
    <x:row r="344">
      <x:c r="A344" s="81"/>
      <x:c r="B344" s="81"/>
      <x:c r="C344" s="81"/>
      <x:c r="D344" s="81"/>
      <x:c r="E344" s="81"/>
      <x:c r="F344" s="81"/>
      <x:c r="G344" s="81"/>
      <x:c r="H344" s="81"/>
      <x:c r="I344" s="81"/>
      <x:c r="J344" s="81"/>
      <x:c r="K344" s="81"/>
      <x:c r="L344" s="81"/>
      <x:c r="M344" s="81"/>
      <x:c r="N344" s="81"/>
      <x:c r="O344" s="81"/>
      <x:c r="P344" s="81"/>
      <x:c r="Q344" s="81"/>
      <x:c r="R344" s="81"/>
      <x:c r="S344" s="81"/>
      <x:c r="T344" s="81"/>
      <x:c r="U344" s="81"/>
      <x:c r="V344" s="81"/>
      <x:c r="W344" s="81"/>
      <x:c r="X344" s="81"/>
      <x:c r="Y344" s="81"/>
      <x:c r="Z344" s="81"/>
    </x:row>
    <x:row r="345">
      <x:c r="A345" s="81"/>
      <x:c r="B345" s="81"/>
      <x:c r="C345" s="81"/>
      <x:c r="D345" s="81"/>
      <x:c r="E345" s="81"/>
      <x:c r="F345" s="81"/>
      <x:c r="G345" s="81"/>
      <x:c r="H345" s="81"/>
      <x:c r="I345" s="81"/>
      <x:c r="J345" s="81"/>
      <x:c r="K345" s="81"/>
      <x:c r="L345" s="81"/>
      <x:c r="M345" s="81"/>
      <x:c r="N345" s="81"/>
      <x:c r="O345" s="81"/>
      <x:c r="P345" s="81"/>
      <x:c r="Q345" s="81"/>
      <x:c r="R345" s="81"/>
      <x:c r="S345" s="81"/>
      <x:c r="T345" s="81"/>
      <x:c r="U345" s="81"/>
      <x:c r="V345" s="81"/>
      <x:c r="W345" s="81"/>
      <x:c r="X345" s="81"/>
      <x:c r="Y345" s="81"/>
      <x:c r="Z345" s="81"/>
    </x:row>
    <x:row r="346">
      <x:c r="A346" s="81"/>
      <x:c r="B346" s="81"/>
      <x:c r="C346" s="81"/>
      <x:c r="D346" s="81"/>
      <x:c r="E346" s="81"/>
      <x:c r="F346" s="81"/>
      <x:c r="G346" s="81"/>
      <x:c r="H346" s="81"/>
      <x:c r="I346" s="81"/>
      <x:c r="J346" s="81"/>
      <x:c r="K346" s="81"/>
      <x:c r="L346" s="81"/>
      <x:c r="M346" s="81"/>
      <x:c r="N346" s="81"/>
      <x:c r="O346" s="81"/>
      <x:c r="P346" s="81"/>
      <x:c r="Q346" s="81"/>
      <x:c r="R346" s="81"/>
      <x:c r="S346" s="81"/>
      <x:c r="T346" s="81"/>
      <x:c r="U346" s="81"/>
      <x:c r="V346" s="81"/>
      <x:c r="W346" s="81"/>
      <x:c r="X346" s="81"/>
      <x:c r="Y346" s="81"/>
      <x:c r="Z346" s="81"/>
    </x:row>
    <x:row r="347">
      <x:c r="A347" s="81"/>
      <x:c r="B347" s="81"/>
      <x:c r="C347" s="81"/>
      <x:c r="D347" s="81"/>
      <x:c r="E347" s="81"/>
      <x:c r="F347" s="81"/>
      <x:c r="G347" s="81"/>
      <x:c r="H347" s="81"/>
      <x:c r="I347" s="81"/>
      <x:c r="J347" s="81"/>
      <x:c r="K347" s="81"/>
      <x:c r="L347" s="81"/>
      <x:c r="M347" s="81"/>
      <x:c r="N347" s="81"/>
      <x:c r="O347" s="81"/>
      <x:c r="P347" s="81"/>
      <x:c r="Q347" s="81"/>
      <x:c r="R347" s="81"/>
      <x:c r="S347" s="81"/>
      <x:c r="T347" s="81"/>
      <x:c r="U347" s="81"/>
      <x:c r="V347" s="81"/>
      <x:c r="W347" s="81"/>
      <x:c r="X347" s="81"/>
      <x:c r="Y347" s="81"/>
      <x:c r="Z347" s="81"/>
    </x:row>
    <x:row r="348">
      <x:c r="A348" s="81"/>
      <x:c r="B348" s="81"/>
      <x:c r="C348" s="81"/>
      <x:c r="D348" s="81"/>
      <x:c r="E348" s="81"/>
      <x:c r="F348" s="81"/>
      <x:c r="G348" s="81"/>
      <x:c r="H348" s="81"/>
      <x:c r="I348" s="81"/>
      <x:c r="J348" s="81"/>
      <x:c r="K348" s="81"/>
      <x:c r="L348" s="81"/>
      <x:c r="M348" s="81"/>
      <x:c r="N348" s="81"/>
      <x:c r="O348" s="81"/>
      <x:c r="P348" s="81"/>
      <x:c r="Q348" s="81"/>
      <x:c r="R348" s="81"/>
      <x:c r="S348" s="81"/>
      <x:c r="T348" s="81"/>
      <x:c r="U348" s="81"/>
      <x:c r="V348" s="81"/>
      <x:c r="W348" s="81"/>
      <x:c r="X348" s="81"/>
      <x:c r="Y348" s="81"/>
      <x:c r="Z348" s="81"/>
    </x:row>
    <x:row r="349">
      <x:c r="A349" s="81"/>
      <x:c r="B349" s="81"/>
      <x:c r="C349" s="81"/>
      <x:c r="D349" s="81"/>
      <x:c r="E349" s="81"/>
      <x:c r="F349" s="81"/>
      <x:c r="G349" s="81"/>
      <x:c r="H349" s="81"/>
      <x:c r="I349" s="81"/>
      <x:c r="J349" s="81"/>
      <x:c r="K349" s="81"/>
      <x:c r="L349" s="81"/>
      <x:c r="M349" s="81"/>
      <x:c r="N349" s="81"/>
      <x:c r="O349" s="81"/>
      <x:c r="P349" s="81"/>
      <x:c r="Q349" s="81"/>
      <x:c r="R349" s="81"/>
      <x:c r="S349" s="81"/>
      <x:c r="T349" s="81"/>
      <x:c r="U349" s="81"/>
      <x:c r="V349" s="81"/>
      <x:c r="W349" s="81"/>
      <x:c r="X349" s="81"/>
      <x:c r="Y349" s="81"/>
      <x:c r="Z349" s="81"/>
    </x:row>
    <x:row r="350">
      <x:c r="A350" s="81"/>
      <x:c r="B350" s="81"/>
      <x:c r="C350" s="81"/>
      <x:c r="D350" s="81"/>
      <x:c r="E350" s="81"/>
      <x:c r="F350" s="81"/>
      <x:c r="G350" s="81"/>
      <x:c r="H350" s="81"/>
      <x:c r="I350" s="81"/>
      <x:c r="J350" s="81"/>
      <x:c r="K350" s="81"/>
      <x:c r="L350" s="81"/>
      <x:c r="M350" s="81"/>
      <x:c r="N350" s="81"/>
      <x:c r="O350" s="81"/>
      <x:c r="P350" s="81"/>
      <x:c r="Q350" s="81"/>
      <x:c r="R350" s="81"/>
      <x:c r="S350" s="81"/>
      <x:c r="T350" s="81"/>
      <x:c r="U350" s="81"/>
      <x:c r="V350" s="81"/>
      <x:c r="W350" s="81"/>
      <x:c r="X350" s="81"/>
      <x:c r="Y350" s="81"/>
      <x:c r="Z350" s="81"/>
    </x:row>
    <x:row r="351">
      <x:c r="A351" s="81"/>
      <x:c r="B351" s="81"/>
      <x:c r="C351" s="81"/>
      <x:c r="D351" s="81"/>
      <x:c r="E351" s="81"/>
      <x:c r="F351" s="81"/>
      <x:c r="G351" s="81"/>
      <x:c r="H351" s="81"/>
      <x:c r="I351" s="81"/>
      <x:c r="J351" s="81"/>
      <x:c r="K351" s="81"/>
      <x:c r="L351" s="81"/>
      <x:c r="M351" s="81"/>
      <x:c r="N351" s="81"/>
      <x:c r="O351" s="81"/>
      <x:c r="P351" s="81"/>
      <x:c r="Q351" s="81"/>
      <x:c r="R351" s="81"/>
      <x:c r="S351" s="81"/>
      <x:c r="T351" s="81"/>
      <x:c r="U351" s="81"/>
      <x:c r="V351" s="81"/>
      <x:c r="W351" s="81"/>
      <x:c r="X351" s="81"/>
      <x:c r="Y351" s="81"/>
      <x:c r="Z351" s="81"/>
    </x:row>
    <x:row r="352">
      <x:c r="A352" s="81"/>
      <x:c r="B352" s="81"/>
      <x:c r="C352" s="81"/>
      <x:c r="D352" s="81"/>
      <x:c r="E352" s="81"/>
      <x:c r="F352" s="81"/>
      <x:c r="G352" s="81"/>
      <x:c r="H352" s="81"/>
      <x:c r="I352" s="81"/>
      <x:c r="J352" s="81"/>
      <x:c r="K352" s="81"/>
      <x:c r="L352" s="81"/>
      <x:c r="M352" s="81"/>
      <x:c r="N352" s="81"/>
      <x:c r="O352" s="81"/>
      <x:c r="P352" s="81"/>
      <x:c r="Q352" s="81"/>
      <x:c r="R352" s="81"/>
      <x:c r="S352" s="81"/>
      <x:c r="T352" s="81"/>
      <x:c r="U352" s="81"/>
      <x:c r="V352" s="81"/>
      <x:c r="W352" s="81"/>
      <x:c r="X352" s="81"/>
      <x:c r="Y352" s="81"/>
      <x:c r="Z352" s="81"/>
    </x:row>
    <x:row r="353">
      <x:c r="A353" s="81"/>
      <x:c r="B353" s="81"/>
      <x:c r="C353" s="81"/>
      <x:c r="D353" s="81"/>
      <x:c r="E353" s="81"/>
      <x:c r="F353" s="81"/>
      <x:c r="G353" s="81"/>
      <x:c r="H353" s="81"/>
      <x:c r="I353" s="81"/>
      <x:c r="J353" s="81"/>
      <x:c r="K353" s="81"/>
      <x:c r="L353" s="81"/>
      <x:c r="M353" s="81"/>
      <x:c r="N353" s="81"/>
      <x:c r="O353" s="81"/>
      <x:c r="P353" s="81"/>
      <x:c r="Q353" s="81"/>
      <x:c r="R353" s="81"/>
      <x:c r="S353" s="81"/>
      <x:c r="T353" s="81"/>
      <x:c r="U353" s="81"/>
      <x:c r="V353" s="81"/>
      <x:c r="W353" s="81"/>
      <x:c r="X353" s="81"/>
      <x:c r="Y353" s="81"/>
      <x:c r="Z353" s="81"/>
    </x:row>
    <x:row r="354">
      <x:c r="A354" s="81"/>
      <x:c r="B354" s="81"/>
      <x:c r="C354" s="81"/>
      <x:c r="D354" s="81"/>
      <x:c r="E354" s="81"/>
      <x:c r="F354" s="81"/>
      <x:c r="G354" s="81"/>
      <x:c r="H354" s="81"/>
      <x:c r="I354" s="81"/>
      <x:c r="J354" s="81"/>
      <x:c r="K354" s="81"/>
      <x:c r="L354" s="81"/>
      <x:c r="M354" s="81"/>
      <x:c r="N354" s="81"/>
      <x:c r="O354" s="81"/>
      <x:c r="P354" s="81"/>
      <x:c r="Q354" s="81"/>
      <x:c r="R354" s="81"/>
      <x:c r="S354" s="81"/>
      <x:c r="T354" s="81"/>
      <x:c r="U354" s="81"/>
      <x:c r="V354" s="81"/>
      <x:c r="W354" s="81"/>
      <x:c r="X354" s="81"/>
      <x:c r="Y354" s="81"/>
      <x:c r="Z354" s="81"/>
    </x:row>
    <x:row r="355">
      <x:c r="A355" s="81"/>
      <x:c r="B355" s="81"/>
      <x:c r="C355" s="81"/>
      <x:c r="D355" s="81"/>
      <x:c r="E355" s="81"/>
      <x:c r="F355" s="81"/>
      <x:c r="G355" s="81"/>
      <x:c r="H355" s="81"/>
      <x:c r="I355" s="81"/>
      <x:c r="J355" s="81"/>
      <x:c r="K355" s="81"/>
      <x:c r="L355" s="81"/>
      <x:c r="M355" s="81"/>
      <x:c r="N355" s="81"/>
      <x:c r="O355" s="81"/>
      <x:c r="P355" s="81"/>
      <x:c r="Q355" s="81"/>
      <x:c r="R355" s="81"/>
      <x:c r="S355" s="81"/>
      <x:c r="T355" s="81"/>
      <x:c r="U355" s="81"/>
      <x:c r="V355" s="81"/>
      <x:c r="W355" s="81"/>
      <x:c r="X355" s="81"/>
      <x:c r="Y355" s="81"/>
      <x:c r="Z355" s="81"/>
    </x:row>
    <x:row r="356">
      <x:c r="A356" s="81"/>
      <x:c r="B356" s="81"/>
      <x:c r="C356" s="81"/>
      <x:c r="D356" s="81"/>
      <x:c r="E356" s="81"/>
      <x:c r="F356" s="81"/>
      <x:c r="G356" s="81"/>
      <x:c r="H356" s="81"/>
      <x:c r="I356" s="81"/>
      <x:c r="J356" s="81"/>
      <x:c r="K356" s="81"/>
      <x:c r="L356" s="81"/>
      <x:c r="M356" s="81"/>
      <x:c r="N356" s="81"/>
      <x:c r="O356" s="81"/>
      <x:c r="P356" s="81"/>
      <x:c r="Q356" s="81"/>
      <x:c r="R356" s="81"/>
      <x:c r="S356" s="81"/>
      <x:c r="T356" s="81"/>
      <x:c r="U356" s="81"/>
      <x:c r="V356" s="81"/>
      <x:c r="W356" s="81"/>
      <x:c r="X356" s="81"/>
      <x:c r="Y356" s="81"/>
      <x:c r="Z356" s="81"/>
    </x:row>
    <x:row r="357">
      <x:c r="A357" s="81"/>
      <x:c r="B357" s="81"/>
      <x:c r="C357" s="81"/>
      <x:c r="D357" s="81"/>
      <x:c r="E357" s="81"/>
      <x:c r="F357" s="81"/>
      <x:c r="G357" s="81"/>
      <x:c r="H357" s="81"/>
      <x:c r="I357" s="81"/>
      <x:c r="J357" s="81"/>
      <x:c r="K357" s="81"/>
      <x:c r="L357" s="81"/>
      <x:c r="M357" s="81"/>
      <x:c r="N357" s="81"/>
      <x:c r="O357" s="81"/>
      <x:c r="P357" s="81"/>
      <x:c r="Q357" s="81"/>
      <x:c r="R357" s="81"/>
      <x:c r="S357" s="81"/>
      <x:c r="T357" s="81"/>
      <x:c r="U357" s="81"/>
      <x:c r="V357" s="81"/>
      <x:c r="W357" s="81"/>
      <x:c r="X357" s="81"/>
      <x:c r="Y357" s="81"/>
      <x:c r="Z357" s="81"/>
    </x:row>
    <x:row r="358">
      <x:c r="A358" s="81"/>
      <x:c r="B358" s="81"/>
      <x:c r="C358" s="81"/>
      <x:c r="D358" s="81"/>
      <x:c r="E358" s="81"/>
      <x:c r="F358" s="81"/>
      <x:c r="G358" s="81"/>
      <x:c r="H358" s="81"/>
      <x:c r="I358" s="81"/>
      <x:c r="J358" s="81"/>
      <x:c r="K358" s="81"/>
      <x:c r="L358" s="81"/>
      <x:c r="M358" s="81"/>
      <x:c r="N358" s="81"/>
      <x:c r="O358" s="81"/>
      <x:c r="P358" s="81"/>
      <x:c r="Q358" s="81"/>
      <x:c r="R358" s="81"/>
      <x:c r="S358" s="81"/>
      <x:c r="T358" s="81"/>
      <x:c r="U358" s="81"/>
      <x:c r="V358" s="81"/>
      <x:c r="W358" s="81"/>
      <x:c r="X358" s="81"/>
      <x:c r="Y358" s="81"/>
      <x:c r="Z358" s="81"/>
    </x:row>
    <x:row r="359">
      <x:c r="A359" s="81"/>
      <x:c r="B359" s="81"/>
      <x:c r="C359" s="81"/>
      <x:c r="D359" s="81"/>
      <x:c r="E359" s="81"/>
      <x:c r="F359" s="81"/>
      <x:c r="G359" s="81"/>
      <x:c r="H359" s="81"/>
      <x:c r="I359" s="81"/>
      <x:c r="J359" s="81"/>
      <x:c r="K359" s="81"/>
      <x:c r="L359" s="81"/>
      <x:c r="M359" s="81"/>
      <x:c r="N359" s="81"/>
      <x:c r="O359" s="81"/>
      <x:c r="P359" s="81"/>
      <x:c r="Q359" s="81"/>
      <x:c r="R359" s="81"/>
      <x:c r="S359" s="81"/>
      <x:c r="T359" s="81"/>
      <x:c r="U359" s="81"/>
      <x:c r="V359" s="81"/>
      <x:c r="W359" s="81"/>
      <x:c r="X359" s="81"/>
      <x:c r="Y359" s="81"/>
      <x:c r="Z359" s="81"/>
    </x:row>
    <x:row r="360">
      <x:c r="A360" s="81"/>
      <x:c r="B360" s="81"/>
      <x:c r="C360" s="81"/>
      <x:c r="D360" s="81"/>
      <x:c r="E360" s="81"/>
      <x:c r="F360" s="81"/>
      <x:c r="G360" s="81"/>
      <x:c r="H360" s="81"/>
      <x:c r="I360" s="81"/>
      <x:c r="J360" s="81"/>
      <x:c r="K360" s="81"/>
      <x:c r="L360" s="81"/>
      <x:c r="M360" s="81"/>
      <x:c r="N360" s="81"/>
      <x:c r="O360" s="81"/>
      <x:c r="P360" s="81"/>
      <x:c r="Q360" s="81"/>
      <x:c r="R360" s="81"/>
      <x:c r="S360" s="81"/>
      <x:c r="T360" s="81"/>
      <x:c r="U360" s="81"/>
      <x:c r="V360" s="81"/>
      <x:c r="W360" s="81"/>
      <x:c r="X360" s="81"/>
      <x:c r="Y360" s="81"/>
      <x:c r="Z360" s="81"/>
    </x:row>
    <x:row r="361">
      <x:c r="A361" s="81"/>
      <x:c r="B361" s="81"/>
      <x:c r="C361" s="81"/>
      <x:c r="D361" s="81"/>
      <x:c r="E361" s="81"/>
      <x:c r="F361" s="81"/>
      <x:c r="G361" s="81"/>
      <x:c r="H361" s="81"/>
      <x:c r="I361" s="81"/>
      <x:c r="J361" s="81"/>
      <x:c r="K361" s="81"/>
      <x:c r="L361" s="81"/>
      <x:c r="M361" s="81"/>
      <x:c r="N361" s="81"/>
      <x:c r="O361" s="81"/>
      <x:c r="P361" s="81"/>
      <x:c r="Q361" s="81"/>
      <x:c r="R361" s="81"/>
      <x:c r="S361" s="81"/>
      <x:c r="T361" s="81"/>
      <x:c r="U361" s="81"/>
      <x:c r="V361" s="81"/>
      <x:c r="W361" s="81"/>
      <x:c r="X361" s="81"/>
      <x:c r="Y361" s="81"/>
      <x:c r="Z361" s="81"/>
    </x:row>
    <x:row r="362">
      <x:c r="A362" s="81"/>
      <x:c r="B362" s="81"/>
      <x:c r="C362" s="81"/>
      <x:c r="D362" s="81"/>
      <x:c r="E362" s="81"/>
      <x:c r="F362" s="81"/>
      <x:c r="G362" s="81"/>
      <x:c r="H362" s="81"/>
      <x:c r="I362" s="81"/>
      <x:c r="J362" s="81"/>
      <x:c r="K362" s="81"/>
      <x:c r="L362" s="81"/>
      <x:c r="M362" s="81"/>
      <x:c r="N362" s="81"/>
      <x:c r="O362" s="81"/>
      <x:c r="P362" s="81"/>
      <x:c r="Q362" s="81"/>
      <x:c r="R362" s="81"/>
      <x:c r="S362" s="81"/>
      <x:c r="T362" s="81"/>
      <x:c r="U362" s="81"/>
      <x:c r="V362" s="81"/>
      <x:c r="W362" s="81"/>
      <x:c r="X362" s="81"/>
      <x:c r="Y362" s="81"/>
      <x:c r="Z362" s="81"/>
    </x:row>
    <x:row r="363">
      <x:c r="A363" s="81"/>
      <x:c r="B363" s="81"/>
      <x:c r="C363" s="81"/>
      <x:c r="D363" s="81"/>
      <x:c r="E363" s="81"/>
      <x:c r="F363" s="81"/>
      <x:c r="G363" s="81"/>
      <x:c r="H363" s="81"/>
      <x:c r="I363" s="81"/>
      <x:c r="J363" s="81"/>
      <x:c r="K363" s="81"/>
      <x:c r="L363" s="81"/>
      <x:c r="M363" s="81"/>
      <x:c r="N363" s="81"/>
      <x:c r="O363" s="81"/>
      <x:c r="P363" s="81"/>
      <x:c r="Q363" s="81"/>
      <x:c r="R363" s="81"/>
      <x:c r="S363" s="81"/>
      <x:c r="T363" s="81"/>
      <x:c r="U363" s="81"/>
      <x:c r="V363" s="81"/>
      <x:c r="W363" s="81"/>
      <x:c r="X363" s="81"/>
      <x:c r="Y363" s="81"/>
      <x:c r="Z363" s="81"/>
    </x:row>
    <x:row r="364">
      <x:c r="A364" s="81"/>
      <x:c r="B364" s="81"/>
      <x:c r="C364" s="81"/>
      <x:c r="D364" s="81"/>
      <x:c r="E364" s="81"/>
      <x:c r="F364" s="81"/>
      <x:c r="G364" s="81"/>
      <x:c r="H364" s="81"/>
      <x:c r="I364" s="81"/>
      <x:c r="J364" s="81"/>
      <x:c r="K364" s="81"/>
      <x:c r="L364" s="81"/>
      <x:c r="M364" s="81"/>
      <x:c r="N364" s="81"/>
      <x:c r="O364" s="81"/>
      <x:c r="P364" s="81"/>
      <x:c r="Q364" s="81"/>
      <x:c r="R364" s="81"/>
      <x:c r="S364" s="81"/>
      <x:c r="T364" s="81"/>
      <x:c r="U364" s="81"/>
      <x:c r="V364" s="81"/>
      <x:c r="W364" s="81"/>
      <x:c r="X364" s="81"/>
      <x:c r="Y364" s="81"/>
      <x:c r="Z364" s="81"/>
    </x:row>
    <x:row r="365">
      <x:c r="A365" s="81"/>
      <x:c r="B365" s="81"/>
      <x:c r="C365" s="81"/>
      <x:c r="D365" s="81"/>
      <x:c r="E365" s="81"/>
      <x:c r="F365" s="81"/>
      <x:c r="G365" s="81"/>
      <x:c r="H365" s="81"/>
      <x:c r="I365" s="81"/>
      <x:c r="J365" s="81"/>
      <x:c r="K365" s="81"/>
      <x:c r="L365" s="81"/>
      <x:c r="M365" s="81"/>
      <x:c r="N365" s="81"/>
      <x:c r="O365" s="81"/>
      <x:c r="P365" s="81"/>
      <x:c r="Q365" s="81"/>
      <x:c r="R365" s="81"/>
      <x:c r="S365" s="81"/>
      <x:c r="T365" s="81"/>
      <x:c r="U365" s="81"/>
      <x:c r="V365" s="81"/>
      <x:c r="W365" s="81"/>
      <x:c r="X365" s="81"/>
      <x:c r="Y365" s="81"/>
      <x:c r="Z365" s="81"/>
    </x:row>
    <x:row r="366">
      <x:c r="A366" s="81"/>
      <x:c r="B366" s="81"/>
      <x:c r="C366" s="81"/>
      <x:c r="D366" s="81"/>
      <x:c r="E366" s="81"/>
      <x:c r="F366" s="81"/>
      <x:c r="G366" s="81"/>
      <x:c r="H366" s="81"/>
      <x:c r="I366" s="81"/>
      <x:c r="J366" s="81"/>
      <x:c r="K366" s="81"/>
      <x:c r="L366" s="81"/>
      <x:c r="M366" s="81"/>
      <x:c r="N366" s="81"/>
      <x:c r="O366" s="81"/>
      <x:c r="P366" s="81"/>
      <x:c r="Q366" s="81"/>
      <x:c r="R366" s="81"/>
      <x:c r="S366" s="81"/>
      <x:c r="T366" s="81"/>
      <x:c r="U366" s="81"/>
      <x:c r="V366" s="81"/>
      <x:c r="W366" s="81"/>
      <x:c r="X366" s="81"/>
      <x:c r="Y366" s="81"/>
      <x:c r="Z366" s="81"/>
    </x:row>
    <x:row r="367">
      <x:c r="A367" s="81"/>
      <x:c r="B367" s="81"/>
      <x:c r="C367" s="81"/>
      <x:c r="D367" s="81"/>
      <x:c r="E367" s="81"/>
      <x:c r="F367" s="81"/>
      <x:c r="G367" s="81"/>
      <x:c r="H367" s="81"/>
      <x:c r="I367" s="81"/>
      <x:c r="J367" s="81"/>
      <x:c r="K367" s="81"/>
      <x:c r="L367" s="81"/>
      <x:c r="M367" s="81"/>
      <x:c r="N367" s="81"/>
      <x:c r="O367" s="81"/>
      <x:c r="P367" s="81"/>
      <x:c r="Q367" s="81"/>
      <x:c r="R367" s="81"/>
      <x:c r="S367" s="81"/>
      <x:c r="T367" s="81"/>
      <x:c r="U367" s="81"/>
      <x:c r="V367" s="81"/>
      <x:c r="W367" s="81"/>
      <x:c r="X367" s="81"/>
      <x:c r="Y367" s="81"/>
      <x:c r="Z367" s="81"/>
    </x:row>
    <x:row r="368">
      <x:c r="A368" s="81"/>
      <x:c r="B368" s="81"/>
      <x:c r="C368" s="81"/>
      <x:c r="D368" s="81"/>
      <x:c r="E368" s="81"/>
      <x:c r="F368" s="81"/>
      <x:c r="G368" s="81"/>
      <x:c r="H368" s="81"/>
      <x:c r="I368" s="81"/>
      <x:c r="J368" s="81"/>
      <x:c r="K368" s="81"/>
      <x:c r="L368" s="81"/>
      <x:c r="M368" s="81"/>
      <x:c r="N368" s="81"/>
      <x:c r="O368" s="81"/>
      <x:c r="P368" s="81"/>
      <x:c r="Q368" s="81"/>
      <x:c r="R368" s="81"/>
      <x:c r="S368" s="81"/>
      <x:c r="T368" s="81"/>
      <x:c r="U368" s="81"/>
      <x:c r="V368" s="81"/>
      <x:c r="W368" s="81"/>
      <x:c r="X368" s="81"/>
      <x:c r="Y368" s="81"/>
      <x:c r="Z368" s="81"/>
    </x:row>
    <x:row r="369">
      <x:c r="A369" s="81"/>
      <x:c r="B369" s="81"/>
      <x:c r="C369" s="81"/>
      <x:c r="D369" s="81"/>
      <x:c r="E369" s="81"/>
      <x:c r="F369" s="81"/>
      <x:c r="G369" s="81"/>
      <x:c r="H369" s="81"/>
      <x:c r="I369" s="81"/>
      <x:c r="J369" s="81"/>
      <x:c r="K369" s="81"/>
      <x:c r="L369" s="81"/>
      <x:c r="M369" s="81"/>
      <x:c r="N369" s="81"/>
      <x:c r="O369" s="81"/>
      <x:c r="P369" s="81"/>
      <x:c r="Q369" s="81"/>
      <x:c r="R369" s="81"/>
      <x:c r="S369" s="81"/>
      <x:c r="T369" s="81"/>
      <x:c r="U369" s="81"/>
      <x:c r="V369" s="81"/>
      <x:c r="W369" s="81"/>
      <x:c r="X369" s="81"/>
      <x:c r="Y369" s="81"/>
      <x:c r="Z369" s="81"/>
    </x:row>
    <x:row r="370">
      <x:c r="A370" s="81"/>
      <x:c r="B370" s="81"/>
      <x:c r="C370" s="81"/>
      <x:c r="D370" s="81"/>
      <x:c r="E370" s="81"/>
      <x:c r="F370" s="81"/>
      <x:c r="G370" s="81"/>
      <x:c r="H370" s="81"/>
      <x:c r="I370" s="81"/>
      <x:c r="J370" s="81"/>
      <x:c r="K370" s="81"/>
      <x:c r="L370" s="81"/>
      <x:c r="M370" s="81"/>
      <x:c r="N370" s="81"/>
      <x:c r="O370" s="81"/>
      <x:c r="P370" s="81"/>
      <x:c r="Q370" s="81"/>
      <x:c r="R370" s="81"/>
      <x:c r="S370" s="81"/>
      <x:c r="T370" s="81"/>
      <x:c r="U370" s="81"/>
      <x:c r="V370" s="81"/>
      <x:c r="W370" s="81"/>
      <x:c r="X370" s="81"/>
      <x:c r="Y370" s="81"/>
      <x:c r="Z370" s="81"/>
    </x:row>
    <x:row r="371">
      <x:c r="A371" s="81"/>
      <x:c r="B371" s="81"/>
      <x:c r="C371" s="81"/>
      <x:c r="D371" s="81"/>
      <x:c r="E371" s="81"/>
      <x:c r="F371" s="81"/>
      <x:c r="G371" s="81"/>
      <x:c r="H371" s="81"/>
      <x:c r="I371" s="81"/>
      <x:c r="J371" s="81"/>
      <x:c r="K371" s="81"/>
      <x:c r="L371" s="81"/>
      <x:c r="M371" s="81"/>
      <x:c r="N371" s="81"/>
      <x:c r="O371" s="81"/>
      <x:c r="P371" s="81"/>
      <x:c r="Q371" s="81"/>
      <x:c r="R371" s="81"/>
      <x:c r="S371" s="81"/>
      <x:c r="T371" s="81"/>
      <x:c r="U371" s="81"/>
      <x:c r="V371" s="81"/>
      <x:c r="W371" s="81"/>
      <x:c r="X371" s="81"/>
      <x:c r="Y371" s="81"/>
      <x:c r="Z371" s="81"/>
    </x:row>
    <x:row r="372">
      <x:c r="A372" s="81"/>
      <x:c r="B372" s="81"/>
      <x:c r="C372" s="81"/>
      <x:c r="D372" s="81"/>
      <x:c r="E372" s="81"/>
      <x:c r="F372" s="81"/>
      <x:c r="G372" s="81"/>
      <x:c r="H372" s="81"/>
      <x:c r="I372" s="81"/>
      <x:c r="J372" s="81"/>
      <x:c r="K372" s="81"/>
      <x:c r="L372" s="81"/>
      <x:c r="M372" s="81"/>
      <x:c r="N372" s="81"/>
      <x:c r="O372" s="81"/>
      <x:c r="P372" s="81"/>
      <x:c r="Q372" s="81"/>
      <x:c r="R372" s="81"/>
      <x:c r="S372" s="81"/>
      <x:c r="T372" s="81"/>
      <x:c r="U372" s="81"/>
      <x:c r="V372" s="81"/>
      <x:c r="W372" s="81"/>
      <x:c r="X372" s="81"/>
      <x:c r="Y372" s="81"/>
      <x:c r="Z372" s="81"/>
    </x:row>
    <x:row r="373">
      <x:c r="A373" s="81"/>
      <x:c r="B373" s="81"/>
      <x:c r="C373" s="81"/>
      <x:c r="D373" s="81"/>
      <x:c r="E373" s="81"/>
      <x:c r="F373" s="81"/>
      <x:c r="G373" s="81"/>
      <x:c r="H373" s="81"/>
      <x:c r="I373" s="81"/>
      <x:c r="J373" s="81"/>
      <x:c r="K373" s="81"/>
      <x:c r="L373" s="81"/>
      <x:c r="M373" s="81"/>
      <x:c r="N373" s="81"/>
      <x:c r="O373" s="81"/>
      <x:c r="P373" s="81"/>
      <x:c r="Q373" s="81"/>
      <x:c r="R373" s="81"/>
      <x:c r="S373" s="81"/>
      <x:c r="T373" s="81"/>
      <x:c r="U373" s="81"/>
      <x:c r="V373" s="81"/>
      <x:c r="W373" s="81"/>
      <x:c r="X373" s="81"/>
      <x:c r="Y373" s="81"/>
      <x:c r="Z373" s="81"/>
    </x:row>
    <x:row r="374">
      <x:c r="A374" s="81"/>
      <x:c r="B374" s="81"/>
      <x:c r="C374" s="81"/>
      <x:c r="D374" s="81"/>
      <x:c r="E374" s="81"/>
      <x:c r="F374" s="81"/>
      <x:c r="G374" s="81"/>
      <x:c r="H374" s="81"/>
      <x:c r="I374" s="81"/>
      <x:c r="J374" s="81"/>
      <x:c r="K374" s="81"/>
      <x:c r="L374" s="81"/>
      <x:c r="M374" s="81"/>
      <x:c r="N374" s="81"/>
      <x:c r="O374" s="81"/>
      <x:c r="P374" s="81"/>
      <x:c r="Q374" s="81"/>
      <x:c r="R374" s="81"/>
      <x:c r="S374" s="81"/>
      <x:c r="T374" s="81"/>
      <x:c r="U374" s="81"/>
      <x:c r="V374" s="81"/>
      <x:c r="W374" s="81"/>
      <x:c r="X374" s="81"/>
      <x:c r="Y374" s="81"/>
      <x:c r="Z374" s="81"/>
    </x:row>
    <x:row r="375">
      <x:c r="A375" s="81"/>
      <x:c r="B375" s="81"/>
      <x:c r="C375" s="81"/>
      <x:c r="D375" s="81"/>
      <x:c r="E375" s="81"/>
      <x:c r="F375" s="81"/>
      <x:c r="G375" s="81"/>
      <x:c r="H375" s="81"/>
      <x:c r="I375" s="81"/>
      <x:c r="J375" s="81"/>
      <x:c r="K375" s="81"/>
      <x:c r="L375" s="81"/>
      <x:c r="M375" s="81"/>
      <x:c r="N375" s="81"/>
      <x:c r="O375" s="81"/>
      <x:c r="P375" s="81"/>
      <x:c r="Q375" s="81"/>
      <x:c r="R375" s="81"/>
      <x:c r="S375" s="81"/>
      <x:c r="T375" s="81"/>
      <x:c r="U375" s="81"/>
      <x:c r="V375" s="81"/>
      <x:c r="W375" s="81"/>
      <x:c r="X375" s="81"/>
      <x:c r="Y375" s="81"/>
      <x:c r="Z375" s="81"/>
    </x:row>
    <x:row r="376">
      <x:c r="A376" s="81"/>
      <x:c r="B376" s="81"/>
      <x:c r="C376" s="81"/>
      <x:c r="D376" s="81"/>
      <x:c r="E376" s="81"/>
      <x:c r="F376" s="81"/>
      <x:c r="G376" s="81"/>
      <x:c r="H376" s="81"/>
      <x:c r="I376" s="81"/>
      <x:c r="J376" s="81"/>
      <x:c r="K376" s="81"/>
      <x:c r="L376" s="81"/>
      <x:c r="M376" s="81"/>
      <x:c r="N376" s="81"/>
      <x:c r="O376" s="81"/>
      <x:c r="P376" s="81"/>
      <x:c r="Q376" s="81"/>
      <x:c r="R376" s="81"/>
      <x:c r="S376" s="81"/>
      <x:c r="T376" s="81"/>
      <x:c r="U376" s="81"/>
      <x:c r="V376" s="81"/>
      <x:c r="W376" s="81"/>
      <x:c r="X376" s="81"/>
      <x:c r="Y376" s="81"/>
      <x:c r="Z376" s="81"/>
    </x:row>
    <x:row r="377">
      <x:c r="A377" s="81"/>
      <x:c r="B377" s="81"/>
      <x:c r="C377" s="81"/>
      <x:c r="D377" s="81"/>
      <x:c r="E377" s="81"/>
      <x:c r="F377" s="81"/>
      <x:c r="G377" s="81"/>
      <x:c r="H377" s="81"/>
      <x:c r="I377" s="81"/>
      <x:c r="J377" s="81"/>
      <x:c r="K377" s="81"/>
      <x:c r="L377" s="81"/>
      <x:c r="M377" s="81"/>
      <x:c r="N377" s="81"/>
      <x:c r="O377" s="81"/>
      <x:c r="P377" s="81"/>
      <x:c r="Q377" s="81"/>
      <x:c r="R377" s="81"/>
      <x:c r="S377" s="81"/>
      <x:c r="T377" s="81"/>
      <x:c r="U377" s="81"/>
      <x:c r="V377" s="81"/>
      <x:c r="W377" s="81"/>
      <x:c r="X377" s="81"/>
      <x:c r="Y377" s="81"/>
      <x:c r="Z377" s="81"/>
    </x:row>
    <x:row r="378">
      <x:c r="A378" s="81"/>
      <x:c r="B378" s="81"/>
      <x:c r="C378" s="81"/>
      <x:c r="D378" s="81"/>
      <x:c r="E378" s="81"/>
      <x:c r="F378" s="81"/>
      <x:c r="G378" s="81"/>
      <x:c r="H378" s="81"/>
      <x:c r="I378" s="81"/>
      <x:c r="J378" s="81"/>
      <x:c r="K378" s="81"/>
      <x:c r="L378" s="81"/>
      <x:c r="M378" s="81"/>
      <x:c r="N378" s="81"/>
      <x:c r="O378" s="81"/>
      <x:c r="P378" s="81"/>
      <x:c r="Q378" s="81"/>
      <x:c r="R378" s="81"/>
      <x:c r="S378" s="81"/>
      <x:c r="T378" s="81"/>
      <x:c r="U378" s="81"/>
      <x:c r="V378" s="81"/>
      <x:c r="W378" s="81"/>
      <x:c r="X378" s="81"/>
      <x:c r="Y378" s="81"/>
      <x:c r="Z378" s="81"/>
    </x:row>
    <x:row r="379">
      <x:c r="A379" s="81"/>
      <x:c r="B379" s="81"/>
      <x:c r="C379" s="81"/>
      <x:c r="D379" s="81"/>
      <x:c r="E379" s="81"/>
      <x:c r="F379" s="81"/>
      <x:c r="G379" s="81"/>
      <x:c r="H379" s="81"/>
      <x:c r="I379" s="81"/>
      <x:c r="J379" s="81"/>
      <x:c r="K379" s="81"/>
      <x:c r="L379" s="81"/>
      <x:c r="M379" s="81"/>
      <x:c r="N379" s="81"/>
      <x:c r="O379" s="81"/>
      <x:c r="P379" s="81"/>
      <x:c r="Q379" s="81"/>
      <x:c r="R379" s="81"/>
      <x:c r="S379" s="81"/>
      <x:c r="T379" s="81"/>
      <x:c r="U379" s="81"/>
      <x:c r="V379" s="81"/>
      <x:c r="W379" s="81"/>
      <x:c r="X379" s="81"/>
      <x:c r="Y379" s="81"/>
      <x:c r="Z379" s="81"/>
    </x:row>
    <x:row r="380">
      <x:c r="A380" s="81"/>
      <x:c r="B380" s="81"/>
      <x:c r="C380" s="81"/>
      <x:c r="D380" s="81"/>
      <x:c r="E380" s="81"/>
      <x:c r="F380" s="81"/>
      <x:c r="G380" s="81"/>
      <x:c r="H380" s="81"/>
      <x:c r="I380" s="81"/>
      <x:c r="J380" s="81"/>
      <x:c r="K380" s="81"/>
      <x:c r="L380" s="81"/>
      <x:c r="M380" s="81"/>
      <x:c r="N380" s="81"/>
      <x:c r="O380" s="81"/>
      <x:c r="P380" s="81"/>
      <x:c r="Q380" s="81"/>
      <x:c r="R380" s="81"/>
      <x:c r="S380" s="81"/>
      <x:c r="T380" s="81"/>
      <x:c r="U380" s="81"/>
      <x:c r="V380" s="81"/>
      <x:c r="W380" s="81"/>
      <x:c r="X380" s="81"/>
      <x:c r="Y380" s="81"/>
      <x:c r="Z380" s="81"/>
    </x:row>
    <x:row r="381">
      <x:c r="A381" s="81"/>
      <x:c r="B381" s="81"/>
      <x:c r="C381" s="81"/>
      <x:c r="D381" s="81"/>
      <x:c r="E381" s="81"/>
      <x:c r="F381" s="81"/>
      <x:c r="G381" s="81"/>
      <x:c r="H381" s="81"/>
      <x:c r="I381" s="81"/>
      <x:c r="J381" s="81"/>
      <x:c r="K381" s="81"/>
      <x:c r="L381" s="81"/>
      <x:c r="M381" s="81"/>
      <x:c r="N381" s="81"/>
      <x:c r="O381" s="81"/>
      <x:c r="P381" s="81"/>
      <x:c r="Q381" s="81"/>
      <x:c r="R381" s="81"/>
      <x:c r="S381" s="81"/>
      <x:c r="T381" s="81"/>
      <x:c r="U381" s="81"/>
      <x:c r="V381" s="81"/>
      <x:c r="W381" s="81"/>
      <x:c r="X381" s="81"/>
      <x:c r="Y381" s="81"/>
      <x:c r="Z381" s="81"/>
    </x:row>
    <x:row r="382">
      <x:c r="A382" s="81"/>
      <x:c r="B382" s="81"/>
      <x:c r="C382" s="81"/>
      <x:c r="D382" s="81"/>
      <x:c r="E382" s="81"/>
      <x:c r="F382" s="81"/>
      <x:c r="G382" s="81"/>
      <x:c r="H382" s="81"/>
      <x:c r="I382" s="81"/>
      <x:c r="J382" s="81"/>
      <x:c r="K382" s="81"/>
      <x:c r="L382" s="81"/>
      <x:c r="M382" s="81"/>
      <x:c r="N382" s="81"/>
      <x:c r="O382" s="81"/>
      <x:c r="P382" s="81"/>
      <x:c r="Q382" s="81"/>
      <x:c r="R382" s="81"/>
      <x:c r="S382" s="81"/>
      <x:c r="T382" s="81"/>
      <x:c r="U382" s="81"/>
      <x:c r="V382" s="81"/>
      <x:c r="W382" s="81"/>
      <x:c r="X382" s="81"/>
      <x:c r="Y382" s="81"/>
      <x:c r="Z382" s="81"/>
    </x:row>
    <x:row r="383">
      <x:c r="A383" s="81"/>
      <x:c r="B383" s="81"/>
      <x:c r="C383" s="81"/>
      <x:c r="D383" s="81"/>
      <x:c r="E383" s="81"/>
      <x:c r="F383" s="81"/>
      <x:c r="G383" s="81"/>
      <x:c r="H383" s="81"/>
      <x:c r="I383" s="81"/>
      <x:c r="J383" s="81"/>
      <x:c r="K383" s="81"/>
      <x:c r="L383" s="81"/>
      <x:c r="M383" s="81"/>
      <x:c r="N383" s="81"/>
      <x:c r="O383" s="81"/>
      <x:c r="P383" s="81"/>
      <x:c r="Q383" s="81"/>
      <x:c r="R383" s="81"/>
      <x:c r="S383" s="81"/>
      <x:c r="T383" s="81"/>
      <x:c r="U383" s="81"/>
      <x:c r="V383" s="81"/>
      <x:c r="W383" s="81"/>
      <x:c r="X383" s="81"/>
      <x:c r="Y383" s="81"/>
      <x:c r="Z383" s="81"/>
    </x:row>
    <x:row r="384">
      <x:c r="A384" s="81"/>
      <x:c r="B384" s="81"/>
      <x:c r="C384" s="81"/>
      <x:c r="D384" s="81"/>
      <x:c r="E384" s="81"/>
      <x:c r="F384" s="81"/>
      <x:c r="G384" s="81"/>
      <x:c r="H384" s="81"/>
      <x:c r="I384" s="81"/>
      <x:c r="J384" s="81"/>
      <x:c r="K384" s="81"/>
      <x:c r="L384" s="81"/>
      <x:c r="M384" s="81"/>
      <x:c r="N384" s="81"/>
      <x:c r="O384" s="81"/>
      <x:c r="P384" s="81"/>
      <x:c r="Q384" s="81"/>
      <x:c r="R384" s="81"/>
      <x:c r="S384" s="81"/>
      <x:c r="T384" s="81"/>
      <x:c r="U384" s="81"/>
      <x:c r="V384" s="81"/>
      <x:c r="W384" s="81"/>
      <x:c r="X384" s="81"/>
      <x:c r="Y384" s="81"/>
      <x:c r="Z384" s="81"/>
    </x:row>
    <x:row r="385">
      <x:c r="A385" s="81"/>
      <x:c r="B385" s="81"/>
      <x:c r="C385" s="81"/>
      <x:c r="D385" s="81"/>
      <x:c r="E385" s="81"/>
      <x:c r="F385" s="81"/>
      <x:c r="G385" s="81"/>
      <x:c r="H385" s="81"/>
      <x:c r="I385" s="81"/>
      <x:c r="J385" s="81"/>
      <x:c r="K385" s="81"/>
      <x:c r="L385" s="81"/>
      <x:c r="M385" s="81"/>
      <x:c r="N385" s="81"/>
      <x:c r="O385" s="81"/>
      <x:c r="P385" s="81"/>
      <x:c r="Q385" s="81"/>
      <x:c r="R385" s="81"/>
      <x:c r="S385" s="81"/>
      <x:c r="T385" s="81"/>
      <x:c r="U385" s="81"/>
      <x:c r="V385" s="81"/>
      <x:c r="W385" s="81"/>
      <x:c r="X385" s="81"/>
      <x:c r="Y385" s="81"/>
      <x:c r="Z385" s="81"/>
    </x:row>
    <x:row r="386">
      <x:c r="A386" s="81"/>
      <x:c r="B386" s="81"/>
      <x:c r="C386" s="81"/>
      <x:c r="D386" s="81"/>
      <x:c r="E386" s="81"/>
      <x:c r="F386" s="81"/>
      <x:c r="G386" s="81"/>
      <x:c r="H386" s="81"/>
      <x:c r="I386" s="81"/>
      <x:c r="J386" s="81"/>
      <x:c r="K386" s="81"/>
      <x:c r="L386" s="81"/>
      <x:c r="M386" s="81"/>
      <x:c r="N386" s="81"/>
      <x:c r="O386" s="81"/>
      <x:c r="P386" s="81"/>
      <x:c r="Q386" s="81"/>
      <x:c r="R386" s="81"/>
      <x:c r="S386" s="81"/>
      <x:c r="T386" s="81"/>
      <x:c r="U386" s="81"/>
      <x:c r="V386" s="81"/>
      <x:c r="W386" s="81"/>
      <x:c r="X386" s="81"/>
      <x:c r="Y386" s="81"/>
      <x:c r="Z386" s="81"/>
    </x:row>
    <x:row r="387">
      <x:c r="A387" s="81"/>
      <x:c r="B387" s="81"/>
      <x:c r="C387" s="81"/>
      <x:c r="D387" s="81"/>
      <x:c r="E387" s="81"/>
      <x:c r="F387" s="81"/>
      <x:c r="G387" s="81"/>
      <x:c r="H387" s="81"/>
      <x:c r="I387" s="81"/>
      <x:c r="J387" s="81"/>
      <x:c r="K387" s="81"/>
      <x:c r="L387" s="81"/>
      <x:c r="M387" s="81"/>
      <x:c r="N387" s="81"/>
      <x:c r="O387" s="81"/>
      <x:c r="P387" s="81"/>
      <x:c r="Q387" s="81"/>
      <x:c r="R387" s="81"/>
      <x:c r="S387" s="81"/>
      <x:c r="T387" s="81"/>
      <x:c r="U387" s="81"/>
      <x:c r="V387" s="81"/>
      <x:c r="W387" s="81"/>
      <x:c r="X387" s="81"/>
      <x:c r="Y387" s="81"/>
      <x:c r="Z387" s="81"/>
    </x:row>
    <x:row r="388">
      <x:c r="A388" s="81"/>
      <x:c r="B388" s="81"/>
      <x:c r="C388" s="81"/>
      <x:c r="D388" s="81"/>
      <x:c r="E388" s="81"/>
      <x:c r="F388" s="81"/>
      <x:c r="G388" s="81"/>
      <x:c r="H388" s="81"/>
      <x:c r="I388" s="81"/>
      <x:c r="J388" s="81"/>
      <x:c r="K388" s="81"/>
      <x:c r="L388" s="81"/>
      <x:c r="M388" s="81"/>
      <x:c r="N388" s="81"/>
      <x:c r="O388" s="81"/>
      <x:c r="P388" s="81"/>
      <x:c r="Q388" s="81"/>
      <x:c r="R388" s="81"/>
      <x:c r="S388" s="81"/>
      <x:c r="T388" s="81"/>
      <x:c r="U388" s="81"/>
      <x:c r="V388" s="81"/>
      <x:c r="W388" s="81"/>
      <x:c r="X388" s="81"/>
      <x:c r="Y388" s="81"/>
      <x:c r="Z388" s="81"/>
    </x:row>
    <x:row r="389">
      <x:c r="A389" s="81"/>
      <x:c r="B389" s="81"/>
      <x:c r="C389" s="81"/>
      <x:c r="D389" s="81"/>
      <x:c r="E389" s="81"/>
      <x:c r="F389" s="81"/>
      <x:c r="G389" s="81"/>
      <x:c r="H389" s="81"/>
      <x:c r="I389" s="81"/>
      <x:c r="J389" s="81"/>
      <x:c r="K389" s="81"/>
      <x:c r="L389" s="81"/>
      <x:c r="M389" s="81"/>
      <x:c r="N389" s="81"/>
      <x:c r="O389" s="81"/>
      <x:c r="P389" s="81"/>
      <x:c r="Q389" s="81"/>
      <x:c r="R389" s="81"/>
      <x:c r="S389" s="81"/>
      <x:c r="T389" s="81"/>
      <x:c r="U389" s="81"/>
      <x:c r="V389" s="81"/>
      <x:c r="W389" s="81"/>
      <x:c r="X389" s="81"/>
      <x:c r="Y389" s="81"/>
      <x:c r="Z389" s="81"/>
    </x:row>
    <x:row r="390">
      <x:c r="A390" s="81"/>
      <x:c r="B390" s="81"/>
      <x:c r="C390" s="81"/>
      <x:c r="D390" s="81"/>
      <x:c r="E390" s="81"/>
      <x:c r="F390" s="81"/>
      <x:c r="G390" s="81"/>
      <x:c r="H390" s="81"/>
      <x:c r="I390" s="81"/>
      <x:c r="J390" s="81"/>
      <x:c r="K390" s="81"/>
      <x:c r="L390" s="81"/>
      <x:c r="M390" s="81"/>
      <x:c r="N390" s="81"/>
      <x:c r="O390" s="81"/>
      <x:c r="P390" s="81"/>
      <x:c r="Q390" s="81"/>
      <x:c r="R390" s="81"/>
      <x:c r="S390" s="81"/>
      <x:c r="T390" s="81"/>
      <x:c r="U390" s="81"/>
      <x:c r="V390" s="81"/>
      <x:c r="W390" s="81"/>
      <x:c r="X390" s="81"/>
      <x:c r="Y390" s="81"/>
      <x:c r="Z390" s="81"/>
    </x:row>
    <x:row r="391">
      <x:c r="A391" s="81"/>
      <x:c r="B391" s="81"/>
      <x:c r="C391" s="81"/>
      <x:c r="D391" s="81"/>
      <x:c r="E391" s="81"/>
      <x:c r="F391" s="81"/>
      <x:c r="G391" s="81"/>
      <x:c r="H391" s="81"/>
      <x:c r="I391" s="81"/>
      <x:c r="J391" s="81"/>
      <x:c r="K391" s="81"/>
      <x:c r="L391" s="81"/>
      <x:c r="M391" s="81"/>
      <x:c r="N391" s="81"/>
      <x:c r="O391" s="81"/>
      <x:c r="P391" s="81"/>
      <x:c r="Q391" s="81"/>
      <x:c r="R391" s="81"/>
      <x:c r="S391" s="81"/>
      <x:c r="T391" s="81"/>
      <x:c r="U391" s="81"/>
      <x:c r="V391" s="81"/>
      <x:c r="W391" s="81"/>
      <x:c r="X391" s="81"/>
      <x:c r="Y391" s="81"/>
      <x:c r="Z391" s="81"/>
    </x:row>
    <x:row r="392">
      <x:c r="A392" s="81"/>
      <x:c r="B392" s="81"/>
      <x:c r="C392" s="81"/>
      <x:c r="D392" s="81"/>
      <x:c r="E392" s="81"/>
      <x:c r="F392" s="81"/>
      <x:c r="G392" s="81"/>
      <x:c r="H392" s="81"/>
      <x:c r="I392" s="81"/>
      <x:c r="J392" s="81"/>
      <x:c r="K392" s="81"/>
      <x:c r="L392" s="81"/>
      <x:c r="M392" s="81"/>
      <x:c r="N392" s="81"/>
      <x:c r="O392" s="81"/>
      <x:c r="P392" s="81"/>
      <x:c r="Q392" s="81"/>
      <x:c r="R392" s="81"/>
      <x:c r="S392" s="81"/>
      <x:c r="T392" s="81"/>
      <x:c r="U392" s="81"/>
      <x:c r="V392" s="81"/>
      <x:c r="W392" s="81"/>
      <x:c r="X392" s="81"/>
      <x:c r="Y392" s="81"/>
      <x:c r="Z392" s="81"/>
    </x:row>
    <x:row r="393">
      <x:c r="A393" s="81"/>
      <x:c r="B393" s="81"/>
      <x:c r="C393" s="81"/>
      <x:c r="D393" s="81"/>
      <x:c r="E393" s="81"/>
      <x:c r="F393" s="81"/>
      <x:c r="G393" s="81"/>
      <x:c r="H393" s="81"/>
      <x:c r="I393" s="81"/>
      <x:c r="J393" s="81"/>
      <x:c r="K393" s="81"/>
      <x:c r="L393" s="81"/>
      <x:c r="M393" s="81"/>
      <x:c r="N393" s="81"/>
      <x:c r="O393" s="81"/>
      <x:c r="P393" s="81"/>
      <x:c r="Q393" s="81"/>
      <x:c r="R393" s="81"/>
      <x:c r="S393" s="81"/>
      <x:c r="T393" s="81"/>
      <x:c r="U393" s="81"/>
      <x:c r="V393" s="81"/>
      <x:c r="W393" s="81"/>
      <x:c r="X393" s="81"/>
      <x:c r="Y393" s="81"/>
      <x:c r="Z393" s="81"/>
    </x:row>
    <x:row r="394">
      <x:c r="A394" s="81"/>
      <x:c r="B394" s="81"/>
      <x:c r="C394" s="81"/>
      <x:c r="D394" s="81"/>
      <x:c r="E394" s="81"/>
      <x:c r="F394" s="81"/>
      <x:c r="G394" s="81"/>
      <x:c r="H394" s="81"/>
      <x:c r="I394" s="81"/>
      <x:c r="J394" s="81"/>
      <x:c r="K394" s="81"/>
      <x:c r="L394" s="81"/>
      <x:c r="M394" s="81"/>
      <x:c r="N394" s="81"/>
      <x:c r="O394" s="81"/>
      <x:c r="P394" s="81"/>
      <x:c r="Q394" s="81"/>
      <x:c r="R394" s="81"/>
      <x:c r="S394" s="81"/>
      <x:c r="T394" s="81"/>
      <x:c r="U394" s="81"/>
      <x:c r="V394" s="81"/>
      <x:c r="W394" s="81"/>
      <x:c r="X394" s="81"/>
      <x:c r="Y394" s="81"/>
      <x:c r="Z394" s="81"/>
    </x:row>
    <x:row r="395">
      <x:c r="A395" s="81"/>
      <x:c r="B395" s="81"/>
      <x:c r="C395" s="81"/>
      <x:c r="D395" s="81"/>
      <x:c r="E395" s="81"/>
      <x:c r="F395" s="81"/>
      <x:c r="G395" s="81"/>
      <x:c r="H395" s="81"/>
      <x:c r="I395" s="81"/>
      <x:c r="J395" s="81"/>
      <x:c r="K395" s="81"/>
      <x:c r="L395" s="81"/>
      <x:c r="M395" s="81"/>
      <x:c r="N395" s="81"/>
      <x:c r="O395" s="81"/>
      <x:c r="P395" s="81"/>
      <x:c r="Q395" s="81"/>
      <x:c r="R395" s="81"/>
      <x:c r="S395" s="81"/>
      <x:c r="T395" s="81"/>
      <x:c r="U395" s="81"/>
      <x:c r="V395" s="81"/>
      <x:c r="W395" s="81"/>
      <x:c r="X395" s="81"/>
      <x:c r="Y395" s="81"/>
      <x:c r="Z395" s="81"/>
    </x:row>
    <x:row r="396">
      <x:c r="A396" s="81"/>
      <x:c r="B396" s="81"/>
      <x:c r="C396" s="81"/>
      <x:c r="D396" s="81"/>
      <x:c r="E396" s="81"/>
      <x:c r="F396" s="81"/>
      <x:c r="G396" s="81"/>
      <x:c r="H396" s="81"/>
      <x:c r="I396" s="81"/>
      <x:c r="J396" s="81"/>
      <x:c r="K396" s="81"/>
      <x:c r="L396" s="81"/>
      <x:c r="M396" s="81"/>
      <x:c r="N396" s="81"/>
      <x:c r="O396" s="81"/>
      <x:c r="P396" s="81"/>
      <x:c r="Q396" s="81"/>
      <x:c r="R396" s="81"/>
      <x:c r="S396" s="81"/>
      <x:c r="T396" s="81"/>
      <x:c r="U396" s="81"/>
      <x:c r="V396" s="81"/>
      <x:c r="W396" s="81"/>
      <x:c r="X396" s="81"/>
      <x:c r="Y396" s="81"/>
      <x:c r="Z396" s="81"/>
    </x:row>
    <x:row r="397">
      <x:c r="A397" s="81"/>
      <x:c r="B397" s="81"/>
      <x:c r="C397" s="81"/>
      <x:c r="D397" s="81"/>
      <x:c r="E397" s="81"/>
      <x:c r="F397" s="81"/>
      <x:c r="G397" s="81"/>
      <x:c r="H397" s="81"/>
      <x:c r="I397" s="81"/>
      <x:c r="J397" s="81"/>
      <x:c r="K397" s="81"/>
      <x:c r="L397" s="81"/>
      <x:c r="M397" s="81"/>
      <x:c r="N397" s="81"/>
      <x:c r="O397" s="81"/>
      <x:c r="P397" s="81"/>
      <x:c r="Q397" s="81"/>
      <x:c r="R397" s="81"/>
      <x:c r="S397" s="81"/>
      <x:c r="T397" s="81"/>
      <x:c r="U397" s="81"/>
      <x:c r="V397" s="81"/>
      <x:c r="W397" s="81"/>
      <x:c r="X397" s="81"/>
      <x:c r="Y397" s="81"/>
      <x:c r="Z397" s="81"/>
    </x:row>
    <x:row r="398">
      <x:c r="A398" s="81"/>
      <x:c r="B398" s="81"/>
      <x:c r="C398" s="81"/>
      <x:c r="D398" s="81"/>
      <x:c r="E398" s="81"/>
      <x:c r="F398" s="81"/>
      <x:c r="G398" s="81"/>
      <x:c r="H398" s="81"/>
      <x:c r="I398" s="81"/>
      <x:c r="J398" s="81"/>
      <x:c r="K398" s="81"/>
      <x:c r="L398" s="81"/>
      <x:c r="M398" s="81"/>
      <x:c r="N398" s="81"/>
      <x:c r="O398" s="81"/>
      <x:c r="P398" s="81"/>
      <x:c r="Q398" s="81"/>
      <x:c r="R398" s="81"/>
      <x:c r="S398" s="81"/>
      <x:c r="T398" s="81"/>
      <x:c r="U398" s="81"/>
      <x:c r="V398" s="81"/>
      <x:c r="W398" s="81"/>
      <x:c r="X398" s="81"/>
      <x:c r="Y398" s="81"/>
      <x:c r="Z398" s="81"/>
    </x:row>
    <x:row r="399">
      <x:c r="A399" s="81"/>
      <x:c r="B399" s="81"/>
      <x:c r="C399" s="81"/>
      <x:c r="D399" s="81"/>
      <x:c r="E399" s="81"/>
      <x:c r="F399" s="81"/>
      <x:c r="G399" s="81"/>
      <x:c r="H399" s="81"/>
      <x:c r="I399" s="81"/>
      <x:c r="J399" s="81"/>
      <x:c r="K399" s="81"/>
      <x:c r="L399" s="81"/>
      <x:c r="M399" s="81"/>
      <x:c r="N399" s="81"/>
      <x:c r="O399" s="81"/>
      <x:c r="P399" s="81"/>
      <x:c r="Q399" s="81"/>
      <x:c r="R399" s="81"/>
      <x:c r="S399" s="81"/>
      <x:c r="T399" s="81"/>
      <x:c r="U399" s="81"/>
      <x:c r="V399" s="81"/>
      <x:c r="W399" s="81"/>
      <x:c r="X399" s="81"/>
      <x:c r="Y399" s="81"/>
      <x:c r="Z399" s="81"/>
    </x:row>
    <x:row r="400">
      <x:c r="A400" s="81"/>
      <x:c r="B400" s="81"/>
      <x:c r="C400" s="81"/>
      <x:c r="D400" s="81"/>
      <x:c r="E400" s="81"/>
      <x:c r="F400" s="81"/>
      <x:c r="G400" s="81"/>
      <x:c r="H400" s="81"/>
      <x:c r="I400" s="81"/>
      <x:c r="J400" s="81"/>
      <x:c r="K400" s="81"/>
      <x:c r="L400" s="81"/>
      <x:c r="M400" s="81"/>
      <x:c r="N400" s="81"/>
      <x:c r="O400" s="81"/>
      <x:c r="P400" s="81"/>
      <x:c r="Q400" s="81"/>
      <x:c r="R400" s="81"/>
      <x:c r="S400" s="81"/>
      <x:c r="T400" s="81"/>
      <x:c r="U400" s="81"/>
      <x:c r="V400" s="81"/>
      <x:c r="W400" s="81"/>
      <x:c r="X400" s="81"/>
      <x:c r="Y400" s="81"/>
      <x:c r="Z400" s="81"/>
    </x:row>
    <x:row r="401">
      <x:c r="A401" s="81"/>
      <x:c r="B401" s="81"/>
      <x:c r="C401" s="81"/>
      <x:c r="D401" s="81"/>
      <x:c r="E401" s="81"/>
      <x:c r="F401" s="81"/>
      <x:c r="G401" s="81"/>
      <x:c r="H401" s="81"/>
      <x:c r="I401" s="81"/>
      <x:c r="J401" s="81"/>
      <x:c r="K401" s="81"/>
      <x:c r="L401" s="81"/>
      <x:c r="M401" s="81"/>
      <x:c r="N401" s="81"/>
      <x:c r="O401" s="81"/>
      <x:c r="P401" s="81"/>
      <x:c r="Q401" s="81"/>
      <x:c r="R401" s="81"/>
      <x:c r="S401" s="81"/>
      <x:c r="T401" s="81"/>
      <x:c r="U401" s="81"/>
      <x:c r="V401" s="81"/>
      <x:c r="W401" s="81"/>
      <x:c r="X401" s="81"/>
      <x:c r="Y401" s="81"/>
      <x:c r="Z401" s="81"/>
    </x:row>
    <x:row r="402">
      <x:c r="A402" s="81"/>
      <x:c r="B402" s="81"/>
      <x:c r="C402" s="81"/>
      <x:c r="D402" s="81"/>
      <x:c r="E402" s="81"/>
      <x:c r="F402" s="81"/>
      <x:c r="G402" s="81"/>
      <x:c r="H402" s="81"/>
      <x:c r="I402" s="81"/>
      <x:c r="J402" s="81"/>
      <x:c r="K402" s="81"/>
      <x:c r="L402" s="81"/>
      <x:c r="M402" s="81"/>
      <x:c r="N402" s="81"/>
      <x:c r="O402" s="81"/>
      <x:c r="P402" s="81"/>
      <x:c r="Q402" s="81"/>
      <x:c r="R402" s="81"/>
      <x:c r="S402" s="81"/>
      <x:c r="T402" s="81"/>
      <x:c r="U402" s="81"/>
      <x:c r="V402" s="81"/>
      <x:c r="W402" s="81"/>
      <x:c r="X402" s="81"/>
      <x:c r="Y402" s="81"/>
      <x:c r="Z402" s="81"/>
    </x:row>
    <x:row r="403">
      <x:c r="A403" s="81"/>
      <x:c r="B403" s="81"/>
      <x:c r="C403" s="81"/>
      <x:c r="D403" s="81"/>
      <x:c r="E403" s="81"/>
      <x:c r="F403" s="81"/>
      <x:c r="G403" s="81"/>
      <x:c r="H403" s="81"/>
      <x:c r="I403" s="81"/>
      <x:c r="J403" s="81"/>
      <x:c r="K403" s="81"/>
      <x:c r="L403" s="81"/>
      <x:c r="M403" s="81"/>
      <x:c r="N403" s="81"/>
      <x:c r="O403" s="81"/>
      <x:c r="P403" s="81"/>
      <x:c r="Q403" s="81"/>
      <x:c r="R403" s="81"/>
      <x:c r="S403" s="81"/>
      <x:c r="T403" s="81"/>
      <x:c r="U403" s="81"/>
      <x:c r="V403" s="81"/>
      <x:c r="W403" s="81"/>
      <x:c r="X403" s="81"/>
      <x:c r="Y403" s="81"/>
      <x:c r="Z403" s="81"/>
    </x:row>
    <x:row r="404">
      <x:c r="A404" s="81"/>
      <x:c r="B404" s="81"/>
      <x:c r="C404" s="81"/>
      <x:c r="D404" s="81"/>
      <x:c r="E404" s="81"/>
      <x:c r="F404" s="81"/>
      <x:c r="G404" s="81"/>
      <x:c r="H404" s="81"/>
      <x:c r="I404" s="81"/>
      <x:c r="J404" s="81"/>
      <x:c r="K404" s="81"/>
      <x:c r="L404" s="81"/>
      <x:c r="M404" s="81"/>
      <x:c r="N404" s="81"/>
      <x:c r="O404" s="81"/>
      <x:c r="P404" s="81"/>
      <x:c r="Q404" s="81"/>
      <x:c r="R404" s="81"/>
      <x:c r="S404" s="81"/>
      <x:c r="T404" s="81"/>
      <x:c r="U404" s="81"/>
      <x:c r="V404" s="81"/>
      <x:c r="W404" s="81"/>
      <x:c r="X404" s="81"/>
      <x:c r="Y404" s="81"/>
      <x:c r="Z404" s="81"/>
    </x:row>
    <x:row r="405">
      <x:c r="A405" s="81"/>
      <x:c r="B405" s="81"/>
      <x:c r="C405" s="81"/>
      <x:c r="D405" s="81"/>
      <x:c r="E405" s="81"/>
      <x:c r="F405" s="81"/>
      <x:c r="G405" s="81"/>
      <x:c r="H405" s="81"/>
      <x:c r="I405" s="81"/>
      <x:c r="J405" s="81"/>
      <x:c r="K405" s="81"/>
      <x:c r="L405" s="81"/>
      <x:c r="M405" s="81"/>
      <x:c r="N405" s="81"/>
      <x:c r="O405" s="81"/>
      <x:c r="P405" s="81"/>
      <x:c r="Q405" s="81"/>
      <x:c r="R405" s="81"/>
      <x:c r="S405" s="81"/>
      <x:c r="T405" s="81"/>
      <x:c r="U405" s="81"/>
      <x:c r="V405" s="81"/>
      <x:c r="W405" s="81"/>
      <x:c r="X405" s="81"/>
      <x:c r="Y405" s="81"/>
      <x:c r="Z405" s="81"/>
    </x:row>
    <x:row r="406">
      <x:c r="A406" s="81"/>
      <x:c r="B406" s="81"/>
      <x:c r="C406" s="81"/>
      <x:c r="D406" s="81"/>
      <x:c r="E406" s="81"/>
      <x:c r="F406" s="81"/>
      <x:c r="G406" s="81"/>
      <x:c r="H406" s="81"/>
      <x:c r="I406" s="81"/>
      <x:c r="J406" s="81"/>
      <x:c r="K406" s="81"/>
      <x:c r="L406" s="81"/>
      <x:c r="M406" s="81"/>
      <x:c r="N406" s="81"/>
      <x:c r="O406" s="81"/>
      <x:c r="P406" s="81"/>
      <x:c r="Q406" s="81"/>
      <x:c r="R406" s="81"/>
      <x:c r="S406" s="81"/>
      <x:c r="T406" s="81"/>
      <x:c r="U406" s="81"/>
      <x:c r="V406" s="81"/>
      <x:c r="W406" s="81"/>
      <x:c r="X406" s="81"/>
      <x:c r="Y406" s="81"/>
      <x:c r="Z406" s="81"/>
    </x:row>
    <x:row r="407">
      <x:c r="A407" s="81"/>
      <x:c r="B407" s="81"/>
      <x:c r="C407" s="81"/>
      <x:c r="D407" s="81"/>
      <x:c r="E407" s="81"/>
      <x:c r="F407" s="81"/>
      <x:c r="G407" s="81"/>
      <x:c r="H407" s="81"/>
      <x:c r="I407" s="81"/>
      <x:c r="J407" s="81"/>
      <x:c r="K407" s="81"/>
      <x:c r="L407" s="81"/>
      <x:c r="M407" s="81"/>
      <x:c r="N407" s="81"/>
      <x:c r="O407" s="81"/>
      <x:c r="P407" s="81"/>
      <x:c r="Q407" s="81"/>
      <x:c r="R407" s="81"/>
      <x:c r="S407" s="81"/>
      <x:c r="T407" s="81"/>
      <x:c r="U407" s="81"/>
      <x:c r="V407" s="81"/>
      <x:c r="W407" s="81"/>
      <x:c r="X407" s="81"/>
      <x:c r="Y407" s="81"/>
      <x:c r="Z407" s="81"/>
    </x:row>
    <x:row r="408">
      <x:c r="A408" s="81"/>
      <x:c r="B408" s="81"/>
      <x:c r="C408" s="81"/>
      <x:c r="D408" s="81"/>
      <x:c r="E408" s="81"/>
      <x:c r="F408" s="81"/>
      <x:c r="G408" s="81"/>
      <x:c r="H408" s="81"/>
      <x:c r="I408" s="81"/>
      <x:c r="J408" s="81"/>
      <x:c r="K408" s="81"/>
      <x:c r="L408" s="81"/>
      <x:c r="M408" s="81"/>
      <x:c r="N408" s="81"/>
      <x:c r="O408" s="81"/>
      <x:c r="P408" s="81"/>
      <x:c r="Q408" s="81"/>
      <x:c r="R408" s="81"/>
      <x:c r="S408" s="81"/>
      <x:c r="T408" s="81"/>
      <x:c r="U408" s="81"/>
      <x:c r="V408" s="81"/>
      <x:c r="W408" s="81"/>
      <x:c r="X408" s="81"/>
      <x:c r="Y408" s="81"/>
      <x:c r="Z408" s="81"/>
    </x:row>
    <x:row r="409">
      <x:c r="A409" s="81"/>
      <x:c r="B409" s="81"/>
      <x:c r="C409" s="81"/>
      <x:c r="D409" s="81"/>
      <x:c r="E409" s="81"/>
      <x:c r="F409" s="81"/>
      <x:c r="G409" s="81"/>
      <x:c r="H409" s="81"/>
      <x:c r="I409" s="81"/>
      <x:c r="J409" s="81"/>
      <x:c r="K409" s="81"/>
      <x:c r="L409" s="81"/>
      <x:c r="M409" s="81"/>
      <x:c r="N409" s="81"/>
      <x:c r="O409" s="81"/>
      <x:c r="P409" s="81"/>
      <x:c r="Q409" s="81"/>
      <x:c r="R409" s="81"/>
      <x:c r="S409" s="81"/>
      <x:c r="T409" s="81"/>
      <x:c r="U409" s="81"/>
      <x:c r="V409" s="81"/>
      <x:c r="W409" s="81"/>
      <x:c r="X409" s="81"/>
      <x:c r="Y409" s="81"/>
      <x:c r="Z409" s="81"/>
    </x:row>
    <x:row r="410">
      <x:c r="A410" s="81"/>
      <x:c r="B410" s="81"/>
      <x:c r="C410" s="81"/>
      <x:c r="D410" s="81"/>
      <x:c r="E410" s="81"/>
      <x:c r="F410" s="81"/>
      <x:c r="G410" s="81"/>
      <x:c r="H410" s="81"/>
      <x:c r="I410" s="81"/>
      <x:c r="J410" s="81"/>
      <x:c r="K410" s="81"/>
      <x:c r="L410" s="81"/>
      <x:c r="M410" s="81"/>
      <x:c r="N410" s="81"/>
      <x:c r="O410" s="81"/>
      <x:c r="P410" s="81"/>
      <x:c r="Q410" s="81"/>
      <x:c r="R410" s="81"/>
      <x:c r="S410" s="81"/>
      <x:c r="T410" s="81"/>
      <x:c r="U410" s="81"/>
      <x:c r="V410" s="81"/>
      <x:c r="W410" s="81"/>
      <x:c r="X410" s="81"/>
      <x:c r="Y410" s="81"/>
      <x:c r="Z410" s="81"/>
    </x:row>
    <x:row r="411">
      <x:c r="A411" s="81"/>
      <x:c r="B411" s="81"/>
      <x:c r="C411" s="81"/>
      <x:c r="D411" s="81"/>
      <x:c r="E411" s="81"/>
      <x:c r="F411" s="81"/>
      <x:c r="G411" s="81"/>
      <x:c r="H411" s="81"/>
      <x:c r="I411" s="81"/>
      <x:c r="J411" s="81"/>
      <x:c r="K411" s="81"/>
      <x:c r="L411" s="81"/>
      <x:c r="M411" s="81"/>
      <x:c r="N411" s="81"/>
      <x:c r="O411" s="81"/>
      <x:c r="P411" s="81"/>
      <x:c r="Q411" s="81"/>
      <x:c r="R411" s="81"/>
      <x:c r="S411" s="81"/>
      <x:c r="T411" s="81"/>
      <x:c r="U411" s="81"/>
      <x:c r="V411" s="81"/>
      <x:c r="W411" s="81"/>
      <x:c r="X411" s="81"/>
      <x:c r="Y411" s="81"/>
      <x:c r="Z411" s="81"/>
    </x:row>
    <x:row r="412">
      <x:c r="A412" s="81"/>
      <x:c r="B412" s="81"/>
      <x:c r="C412" s="81"/>
      <x:c r="D412" s="81"/>
      <x:c r="E412" s="81"/>
      <x:c r="F412" s="81"/>
      <x:c r="G412" s="81"/>
      <x:c r="H412" s="81"/>
      <x:c r="I412" s="81"/>
      <x:c r="J412" s="81"/>
      <x:c r="K412" s="81"/>
      <x:c r="L412" s="81"/>
      <x:c r="M412" s="81"/>
      <x:c r="N412" s="81"/>
      <x:c r="O412" s="81"/>
      <x:c r="P412" s="81"/>
      <x:c r="Q412" s="81"/>
      <x:c r="R412" s="81"/>
      <x:c r="S412" s="81"/>
      <x:c r="T412" s="81"/>
      <x:c r="U412" s="81"/>
      <x:c r="V412" s="81"/>
      <x:c r="W412" s="81"/>
      <x:c r="X412" s="81"/>
      <x:c r="Y412" s="81"/>
      <x:c r="Z412" s="81"/>
    </x:row>
    <x:row r="413">
      <x:c r="A413" s="81"/>
      <x:c r="B413" s="81"/>
      <x:c r="C413" s="81"/>
      <x:c r="D413" s="81"/>
      <x:c r="E413" s="81"/>
      <x:c r="F413" s="81"/>
      <x:c r="G413" s="81"/>
      <x:c r="H413" s="81"/>
      <x:c r="I413" s="81"/>
      <x:c r="J413" s="81"/>
      <x:c r="K413" s="81"/>
      <x:c r="L413" s="81"/>
      <x:c r="M413" s="81"/>
      <x:c r="N413" s="81"/>
      <x:c r="O413" s="81"/>
      <x:c r="P413" s="81"/>
      <x:c r="Q413" s="81"/>
      <x:c r="R413" s="81"/>
      <x:c r="S413" s="81"/>
      <x:c r="T413" s="81"/>
      <x:c r="U413" s="81"/>
      <x:c r="V413" s="81"/>
      <x:c r="W413" s="81"/>
      <x:c r="X413" s="81"/>
      <x:c r="Y413" s="81"/>
      <x:c r="Z413" s="81"/>
    </x:row>
    <x:row r="414">
      <x:c r="A414" s="81"/>
      <x:c r="B414" s="81"/>
      <x:c r="C414" s="81"/>
      <x:c r="D414" s="81"/>
      <x:c r="E414" s="81"/>
      <x:c r="F414" s="81"/>
      <x:c r="G414" s="81"/>
      <x:c r="H414" s="81"/>
      <x:c r="I414" s="81"/>
      <x:c r="J414" s="81"/>
      <x:c r="K414" s="81"/>
      <x:c r="L414" s="81"/>
      <x:c r="M414" s="81"/>
      <x:c r="N414" s="81"/>
      <x:c r="O414" s="81"/>
      <x:c r="P414" s="81"/>
      <x:c r="Q414" s="81"/>
      <x:c r="R414" s="81"/>
      <x:c r="S414" s="81"/>
      <x:c r="T414" s="81"/>
      <x:c r="U414" s="81"/>
      <x:c r="V414" s="81"/>
      <x:c r="W414" s="81"/>
      <x:c r="X414" s="81"/>
      <x:c r="Y414" s="81"/>
      <x:c r="Z414" s="81"/>
    </x:row>
    <x:row r="415">
      <x:c r="A415" s="81"/>
      <x:c r="B415" s="81"/>
      <x:c r="C415" s="81"/>
      <x:c r="D415" s="81"/>
      <x:c r="E415" s="81"/>
      <x:c r="F415" s="81"/>
      <x:c r="G415" s="81"/>
      <x:c r="H415" s="81"/>
      <x:c r="I415" s="81"/>
      <x:c r="J415" s="81"/>
      <x:c r="K415" s="81"/>
      <x:c r="L415" s="81"/>
      <x:c r="M415" s="81"/>
      <x:c r="N415" s="81"/>
      <x:c r="O415" s="81"/>
      <x:c r="P415" s="81"/>
      <x:c r="Q415" s="81"/>
      <x:c r="R415" s="81"/>
      <x:c r="S415" s="81"/>
      <x:c r="T415" s="81"/>
      <x:c r="U415" s="81"/>
      <x:c r="V415" s="81"/>
      <x:c r="W415" s="81"/>
      <x:c r="X415" s="81"/>
      <x:c r="Y415" s="81"/>
      <x:c r="Z415" s="81"/>
    </x:row>
    <x:row r="416">
      <x:c r="A416" s="81"/>
      <x:c r="B416" s="81"/>
      <x:c r="C416" s="81"/>
      <x:c r="D416" s="81"/>
      <x:c r="E416" s="81"/>
      <x:c r="F416" s="81"/>
      <x:c r="G416" s="81"/>
      <x:c r="H416" s="81"/>
      <x:c r="I416" s="81"/>
      <x:c r="J416" s="81"/>
      <x:c r="K416" s="81"/>
      <x:c r="L416" s="81"/>
      <x:c r="M416" s="81"/>
      <x:c r="N416" s="81"/>
      <x:c r="O416" s="81"/>
      <x:c r="P416" s="81"/>
      <x:c r="Q416" s="81"/>
      <x:c r="R416" s="81"/>
      <x:c r="S416" s="81"/>
      <x:c r="T416" s="81"/>
      <x:c r="U416" s="81"/>
      <x:c r="V416" s="81"/>
      <x:c r="W416" s="81"/>
      <x:c r="X416" s="81"/>
      <x:c r="Y416" s="81"/>
      <x:c r="Z416" s="81"/>
    </x:row>
    <x:row r="417">
      <x:c r="A417" s="81"/>
      <x:c r="B417" s="81"/>
      <x:c r="C417" s="81"/>
      <x:c r="D417" s="81"/>
      <x:c r="E417" s="81"/>
      <x:c r="F417" s="81"/>
      <x:c r="G417" s="81"/>
      <x:c r="H417" s="81"/>
      <x:c r="I417" s="81"/>
      <x:c r="J417" s="81"/>
      <x:c r="K417" s="81"/>
      <x:c r="L417" s="81"/>
      <x:c r="M417" s="81"/>
      <x:c r="N417" s="81"/>
      <x:c r="O417" s="81"/>
      <x:c r="P417" s="81"/>
      <x:c r="Q417" s="81"/>
      <x:c r="R417" s="81"/>
      <x:c r="S417" s="81"/>
      <x:c r="T417" s="81"/>
      <x:c r="U417" s="81"/>
      <x:c r="V417" s="81"/>
      <x:c r="W417" s="81"/>
      <x:c r="X417" s="81"/>
      <x:c r="Y417" s="81"/>
      <x:c r="Z417" s="81"/>
    </x:row>
    <x:row r="418">
      <x:c r="A418" s="81"/>
      <x:c r="B418" s="81"/>
      <x:c r="C418" s="81"/>
      <x:c r="D418" s="81"/>
      <x:c r="E418" s="81"/>
      <x:c r="F418" s="81"/>
      <x:c r="G418" s="81"/>
      <x:c r="H418" s="81"/>
      <x:c r="I418" s="81"/>
      <x:c r="J418" s="81"/>
      <x:c r="K418" s="81"/>
      <x:c r="L418" s="81"/>
      <x:c r="M418" s="81"/>
      <x:c r="N418" s="81"/>
      <x:c r="O418" s="81"/>
      <x:c r="P418" s="81"/>
      <x:c r="Q418" s="81"/>
      <x:c r="R418" s="81"/>
      <x:c r="S418" s="81"/>
      <x:c r="T418" s="81"/>
      <x:c r="U418" s="81"/>
      <x:c r="V418" s="81"/>
      <x:c r="W418" s="81"/>
      <x:c r="X418" s="81"/>
      <x:c r="Y418" s="81"/>
      <x:c r="Z418" s="81"/>
    </x:row>
    <x:row r="419">
      <x:c r="A419" s="81"/>
      <x:c r="B419" s="81"/>
      <x:c r="C419" s="81"/>
      <x:c r="D419" s="81"/>
      <x:c r="E419" s="81"/>
      <x:c r="F419" s="81"/>
      <x:c r="G419" s="81"/>
      <x:c r="H419" s="81"/>
      <x:c r="I419" s="81"/>
      <x:c r="J419" s="81"/>
      <x:c r="K419" s="81"/>
      <x:c r="L419" s="81"/>
      <x:c r="M419" s="81"/>
      <x:c r="N419" s="81"/>
      <x:c r="O419" s="81"/>
      <x:c r="P419" s="81"/>
      <x:c r="Q419" s="81"/>
      <x:c r="R419" s="81"/>
      <x:c r="S419" s="81"/>
      <x:c r="T419" s="81"/>
      <x:c r="U419" s="81"/>
      <x:c r="V419" s="81"/>
      <x:c r="W419" s="81"/>
      <x:c r="X419" s="81"/>
      <x:c r="Y419" s="81"/>
      <x:c r="Z419" s="81"/>
    </x:row>
    <x:row r="420">
      <x:c r="A420" s="81"/>
      <x:c r="B420" s="81"/>
      <x:c r="C420" s="81"/>
      <x:c r="D420" s="81"/>
      <x:c r="E420" s="81"/>
      <x:c r="F420" s="81"/>
      <x:c r="G420" s="81"/>
      <x:c r="H420" s="81"/>
      <x:c r="I420" s="81"/>
      <x:c r="J420" s="81"/>
      <x:c r="K420" s="81"/>
      <x:c r="L420" s="81"/>
      <x:c r="M420" s="81"/>
      <x:c r="N420" s="81"/>
      <x:c r="O420" s="81"/>
      <x:c r="P420" s="81"/>
      <x:c r="Q420" s="81"/>
      <x:c r="R420" s="81"/>
      <x:c r="S420" s="81"/>
      <x:c r="T420" s="81"/>
      <x:c r="U420" s="81"/>
      <x:c r="V420" s="81"/>
      <x:c r="W420" s="81"/>
      <x:c r="X420" s="81"/>
      <x:c r="Y420" s="81"/>
      <x:c r="Z420" s="81"/>
    </x:row>
    <x:row r="421">
      <x:c r="A421" s="81"/>
      <x:c r="B421" s="81"/>
      <x:c r="C421" s="81"/>
      <x:c r="D421" s="81"/>
      <x:c r="E421" s="81"/>
      <x:c r="F421" s="81"/>
      <x:c r="G421" s="81"/>
      <x:c r="H421" s="81"/>
      <x:c r="I421" s="81"/>
      <x:c r="J421" s="81"/>
      <x:c r="K421" s="81"/>
      <x:c r="L421" s="81"/>
      <x:c r="M421" s="81"/>
      <x:c r="N421" s="81"/>
      <x:c r="O421" s="81"/>
      <x:c r="P421" s="81"/>
      <x:c r="Q421" s="81"/>
      <x:c r="R421" s="81"/>
      <x:c r="S421" s="81"/>
      <x:c r="T421" s="81"/>
      <x:c r="U421" s="81"/>
      <x:c r="V421" s="81"/>
      <x:c r="W421" s="81"/>
      <x:c r="X421" s="81"/>
      <x:c r="Y421" s="81"/>
      <x:c r="Z421" s="81"/>
    </x:row>
    <x:row r="422">
      <x:c r="A422" s="81"/>
      <x:c r="B422" s="81"/>
      <x:c r="C422" s="81"/>
      <x:c r="D422" s="81"/>
      <x:c r="E422" s="81"/>
      <x:c r="F422" s="81"/>
      <x:c r="G422" s="81"/>
      <x:c r="H422" s="81"/>
      <x:c r="I422" s="81"/>
      <x:c r="J422" s="81"/>
      <x:c r="K422" s="81"/>
      <x:c r="L422" s="81"/>
      <x:c r="M422" s="81"/>
      <x:c r="N422" s="81"/>
      <x:c r="O422" s="81"/>
      <x:c r="P422" s="81"/>
      <x:c r="Q422" s="81"/>
      <x:c r="R422" s="81"/>
      <x:c r="S422" s="81"/>
      <x:c r="T422" s="81"/>
      <x:c r="U422" s="81"/>
      <x:c r="V422" s="81"/>
      <x:c r="W422" s="81"/>
      <x:c r="X422" s="81"/>
      <x:c r="Y422" s="81"/>
      <x:c r="Z422" s="81"/>
    </x:row>
    <x:row r="423">
      <x:c r="A423" s="81"/>
      <x:c r="B423" s="81"/>
      <x:c r="C423" s="81"/>
      <x:c r="D423" s="81"/>
      <x:c r="E423" s="81"/>
      <x:c r="F423" s="81"/>
      <x:c r="G423" s="81"/>
      <x:c r="H423" s="81"/>
      <x:c r="I423" s="81"/>
      <x:c r="J423" s="81"/>
      <x:c r="K423" s="81"/>
      <x:c r="L423" s="81"/>
      <x:c r="M423" s="81"/>
      <x:c r="N423" s="81"/>
      <x:c r="O423" s="81"/>
      <x:c r="P423" s="81"/>
      <x:c r="Q423" s="81"/>
      <x:c r="R423" s="81"/>
      <x:c r="S423" s="81"/>
      <x:c r="T423" s="81"/>
      <x:c r="U423" s="81"/>
      <x:c r="V423" s="81"/>
      <x:c r="W423" s="81"/>
      <x:c r="X423" s="81"/>
      <x:c r="Y423" s="81"/>
      <x:c r="Z423" s="81"/>
    </x:row>
    <x:row r="424">
      <x:c r="A424" s="81"/>
      <x:c r="B424" s="81"/>
      <x:c r="C424" s="81"/>
      <x:c r="D424" s="81"/>
      <x:c r="E424" s="81"/>
      <x:c r="F424" s="81"/>
      <x:c r="G424" s="81"/>
      <x:c r="H424" s="81"/>
      <x:c r="I424" s="81"/>
      <x:c r="J424" s="81"/>
      <x:c r="K424" s="81"/>
      <x:c r="L424" s="81"/>
      <x:c r="M424" s="81"/>
      <x:c r="N424" s="81"/>
      <x:c r="O424" s="81"/>
      <x:c r="P424" s="81"/>
      <x:c r="Q424" s="81"/>
      <x:c r="R424" s="81"/>
      <x:c r="S424" s="81"/>
      <x:c r="T424" s="81"/>
      <x:c r="U424" s="81"/>
      <x:c r="V424" s="81"/>
      <x:c r="W424" s="81"/>
      <x:c r="X424" s="81"/>
      <x:c r="Y424" s="81"/>
      <x:c r="Z424" s="81"/>
    </x:row>
    <x:row r="425">
      <x:c r="A425" s="81"/>
      <x:c r="B425" s="81"/>
      <x:c r="C425" s="81"/>
      <x:c r="D425" s="81"/>
      <x:c r="E425" s="81"/>
      <x:c r="F425" s="81"/>
      <x:c r="G425" s="81"/>
      <x:c r="H425" s="81"/>
      <x:c r="I425" s="81"/>
      <x:c r="J425" s="81"/>
      <x:c r="K425" s="81"/>
      <x:c r="L425" s="81"/>
      <x:c r="M425" s="81"/>
      <x:c r="N425" s="81"/>
      <x:c r="O425" s="81"/>
      <x:c r="P425" s="81"/>
      <x:c r="Q425" s="81"/>
      <x:c r="R425" s="81"/>
      <x:c r="S425" s="81"/>
      <x:c r="T425" s="81"/>
      <x:c r="U425" s="81"/>
      <x:c r="V425" s="81"/>
      <x:c r="W425" s="81"/>
      <x:c r="X425" s="81"/>
      <x:c r="Y425" s="81"/>
      <x:c r="Z425" s="81"/>
    </x:row>
    <x:row r="426">
      <x:c r="A426" s="81"/>
      <x:c r="B426" s="81"/>
      <x:c r="C426" s="81"/>
      <x:c r="D426" s="81"/>
      <x:c r="E426" s="81"/>
      <x:c r="F426" s="81"/>
      <x:c r="G426" s="81"/>
      <x:c r="H426" s="81"/>
      <x:c r="I426" s="81"/>
      <x:c r="J426" s="81"/>
      <x:c r="K426" s="81"/>
      <x:c r="L426" s="81"/>
      <x:c r="M426" s="81"/>
      <x:c r="N426" s="81"/>
      <x:c r="O426" s="81"/>
      <x:c r="P426" s="81"/>
      <x:c r="Q426" s="81"/>
      <x:c r="R426" s="81"/>
      <x:c r="S426" s="81"/>
      <x:c r="T426" s="81"/>
      <x:c r="U426" s="81"/>
      <x:c r="V426" s="81"/>
      <x:c r="W426" s="81"/>
      <x:c r="X426" s="81"/>
      <x:c r="Y426" s="81"/>
      <x:c r="Z426" s="81"/>
    </x:row>
    <x:row r="427">
      <x:c r="A427" s="81"/>
      <x:c r="B427" s="81"/>
      <x:c r="C427" s="81"/>
      <x:c r="D427" s="81"/>
      <x:c r="E427" s="81"/>
      <x:c r="F427" s="81"/>
      <x:c r="G427" s="81"/>
      <x:c r="H427" s="81"/>
      <x:c r="I427" s="81"/>
      <x:c r="J427" s="81"/>
      <x:c r="K427" s="81"/>
      <x:c r="L427" s="81"/>
      <x:c r="M427" s="81"/>
      <x:c r="N427" s="81"/>
      <x:c r="O427" s="81"/>
      <x:c r="P427" s="81"/>
      <x:c r="Q427" s="81"/>
      <x:c r="R427" s="81"/>
      <x:c r="S427" s="81"/>
      <x:c r="T427" s="81"/>
      <x:c r="U427" s="81"/>
      <x:c r="V427" s="81"/>
      <x:c r="W427" s="81"/>
      <x:c r="X427" s="81"/>
      <x:c r="Y427" s="81"/>
      <x:c r="Z427" s="81"/>
    </x:row>
    <x:row r="428">
      <x:c r="A428" s="81"/>
      <x:c r="B428" s="81"/>
      <x:c r="C428" s="81"/>
      <x:c r="D428" s="81"/>
      <x:c r="E428" s="81"/>
      <x:c r="F428" s="81"/>
      <x:c r="G428" s="81"/>
      <x:c r="H428" s="81"/>
      <x:c r="I428" s="81"/>
      <x:c r="J428" s="81"/>
      <x:c r="K428" s="81"/>
      <x:c r="L428" s="81"/>
      <x:c r="M428" s="81"/>
      <x:c r="N428" s="81"/>
      <x:c r="O428" s="81"/>
      <x:c r="P428" s="81"/>
      <x:c r="Q428" s="81"/>
      <x:c r="R428" s="81"/>
      <x:c r="S428" s="81"/>
      <x:c r="T428" s="81"/>
      <x:c r="U428" s="81"/>
      <x:c r="V428" s="81"/>
      <x:c r="W428" s="81"/>
      <x:c r="X428" s="81"/>
      <x:c r="Y428" s="81"/>
      <x:c r="Z428" s="81"/>
    </x:row>
    <x:row r="429">
      <x:c r="A429" s="81"/>
      <x:c r="B429" s="81"/>
      <x:c r="C429" s="81"/>
      <x:c r="D429" s="81"/>
      <x:c r="E429" s="81"/>
      <x:c r="F429" s="81"/>
      <x:c r="G429" s="81"/>
      <x:c r="H429" s="81"/>
      <x:c r="I429" s="81"/>
      <x:c r="J429" s="81"/>
      <x:c r="K429" s="81"/>
      <x:c r="L429" s="81"/>
      <x:c r="M429" s="81"/>
      <x:c r="N429" s="81"/>
      <x:c r="O429" s="81"/>
      <x:c r="P429" s="81"/>
      <x:c r="Q429" s="81"/>
      <x:c r="R429" s="81"/>
      <x:c r="S429" s="81"/>
      <x:c r="T429" s="81"/>
      <x:c r="U429" s="81"/>
      <x:c r="V429" s="81"/>
      <x:c r="W429" s="81"/>
      <x:c r="X429" s="81"/>
      <x:c r="Y429" s="81"/>
      <x:c r="Z429" s="81"/>
    </x:row>
    <x:row r="430">
      <x:c r="A430" s="81"/>
      <x:c r="B430" s="81"/>
      <x:c r="C430" s="81"/>
      <x:c r="D430" s="81"/>
      <x:c r="E430" s="81"/>
      <x:c r="F430" s="81"/>
      <x:c r="G430" s="81"/>
      <x:c r="H430" s="81"/>
      <x:c r="I430" s="81"/>
      <x:c r="J430" s="81"/>
      <x:c r="K430" s="81"/>
      <x:c r="L430" s="81"/>
      <x:c r="M430" s="81"/>
      <x:c r="N430" s="81"/>
      <x:c r="O430" s="81"/>
      <x:c r="P430" s="81"/>
      <x:c r="Q430" s="81"/>
      <x:c r="R430" s="81"/>
      <x:c r="S430" s="81"/>
      <x:c r="T430" s="81"/>
      <x:c r="U430" s="81"/>
      <x:c r="V430" s="81"/>
      <x:c r="W430" s="81"/>
      <x:c r="X430" s="81"/>
      <x:c r="Y430" s="81"/>
      <x:c r="Z430" s="81"/>
    </x:row>
    <x:row r="431">
      <x:c r="A431" s="81"/>
      <x:c r="B431" s="81"/>
      <x:c r="C431" s="81"/>
      <x:c r="D431" s="81"/>
      <x:c r="E431" s="81"/>
      <x:c r="F431" s="81"/>
      <x:c r="G431" s="81"/>
      <x:c r="H431" s="81"/>
      <x:c r="I431" s="81"/>
      <x:c r="J431" s="81"/>
      <x:c r="K431" s="81"/>
      <x:c r="L431" s="81"/>
      <x:c r="M431" s="81"/>
      <x:c r="N431" s="81"/>
      <x:c r="O431" s="81"/>
      <x:c r="P431" s="81"/>
      <x:c r="Q431" s="81"/>
      <x:c r="R431" s="81"/>
      <x:c r="S431" s="81"/>
      <x:c r="T431" s="81"/>
      <x:c r="U431" s="81"/>
      <x:c r="V431" s="81"/>
      <x:c r="W431" s="81"/>
      <x:c r="X431" s="81"/>
      <x:c r="Y431" s="81"/>
      <x:c r="Z431" s="81"/>
    </x:row>
    <x:row r="432">
      <x:c r="A432" s="81"/>
      <x:c r="B432" s="81"/>
      <x:c r="C432" s="81"/>
      <x:c r="D432" s="81"/>
      <x:c r="E432" s="81"/>
      <x:c r="F432" s="81"/>
      <x:c r="G432" s="81"/>
      <x:c r="H432" s="81"/>
      <x:c r="I432" s="81"/>
      <x:c r="J432" s="81"/>
      <x:c r="K432" s="81"/>
      <x:c r="L432" s="81"/>
      <x:c r="M432" s="81"/>
      <x:c r="N432" s="81"/>
      <x:c r="O432" s="81"/>
      <x:c r="P432" s="81"/>
      <x:c r="Q432" s="81"/>
      <x:c r="R432" s="81"/>
      <x:c r="S432" s="81"/>
      <x:c r="T432" s="81"/>
      <x:c r="U432" s="81"/>
      <x:c r="V432" s="81"/>
      <x:c r="W432" s="81"/>
      <x:c r="X432" s="81"/>
      <x:c r="Y432" s="81"/>
      <x:c r="Z432" s="81"/>
    </x:row>
    <x:row r="433">
      <x:c r="A433" s="81"/>
      <x:c r="B433" s="81"/>
      <x:c r="C433" s="81"/>
      <x:c r="D433" s="81"/>
      <x:c r="E433" s="81"/>
      <x:c r="F433" s="81"/>
      <x:c r="G433" s="81"/>
      <x:c r="H433" s="81"/>
      <x:c r="I433" s="81"/>
      <x:c r="J433" s="81"/>
      <x:c r="K433" s="81"/>
      <x:c r="L433" s="81"/>
      <x:c r="M433" s="81"/>
      <x:c r="N433" s="81"/>
      <x:c r="O433" s="81"/>
      <x:c r="P433" s="81"/>
      <x:c r="Q433" s="81"/>
      <x:c r="R433" s="81"/>
      <x:c r="S433" s="81"/>
      <x:c r="T433" s="81"/>
      <x:c r="U433" s="81"/>
      <x:c r="V433" s="81"/>
      <x:c r="W433" s="81"/>
      <x:c r="X433" s="81"/>
      <x:c r="Y433" s="81"/>
      <x:c r="Z433" s="81"/>
    </x:row>
    <x:row r="434">
      <x:c r="A434" s="81"/>
      <x:c r="B434" s="81"/>
      <x:c r="C434" s="81"/>
      <x:c r="D434" s="81"/>
      <x:c r="E434" s="81"/>
      <x:c r="F434" s="81"/>
      <x:c r="G434" s="81"/>
      <x:c r="H434" s="81"/>
      <x:c r="I434" s="81"/>
      <x:c r="J434" s="81"/>
      <x:c r="K434" s="81"/>
      <x:c r="L434" s="81"/>
      <x:c r="M434" s="81"/>
      <x:c r="N434" s="81"/>
      <x:c r="O434" s="81"/>
      <x:c r="P434" s="81"/>
      <x:c r="Q434" s="81"/>
      <x:c r="R434" s="81"/>
      <x:c r="S434" s="81"/>
      <x:c r="T434" s="81"/>
      <x:c r="U434" s="81"/>
      <x:c r="V434" s="81"/>
      <x:c r="W434" s="81"/>
      <x:c r="X434" s="81"/>
      <x:c r="Y434" s="81"/>
      <x:c r="Z434" s="81"/>
    </x:row>
    <x:row r="435">
      <x:c r="A435" s="81"/>
      <x:c r="B435" s="81"/>
      <x:c r="C435" s="81"/>
      <x:c r="D435" s="81"/>
      <x:c r="E435" s="81"/>
      <x:c r="F435" s="81"/>
      <x:c r="G435" s="81"/>
      <x:c r="H435" s="81"/>
      <x:c r="I435" s="81"/>
      <x:c r="J435" s="81"/>
      <x:c r="K435" s="81"/>
      <x:c r="L435" s="81"/>
      <x:c r="M435" s="81"/>
      <x:c r="N435" s="81"/>
      <x:c r="O435" s="81"/>
      <x:c r="P435" s="81"/>
      <x:c r="Q435" s="81"/>
      <x:c r="R435" s="81"/>
      <x:c r="S435" s="81"/>
      <x:c r="T435" s="81"/>
      <x:c r="U435" s="81"/>
      <x:c r="V435" s="81"/>
      <x:c r="W435" s="81"/>
      <x:c r="X435" s="81"/>
      <x:c r="Y435" s="81"/>
      <x:c r="Z435" s="81"/>
    </x:row>
    <x:row r="436">
      <x:c r="A436" s="81"/>
      <x:c r="B436" s="81"/>
      <x:c r="C436" s="81"/>
      <x:c r="D436" s="81"/>
      <x:c r="E436" s="81"/>
      <x:c r="F436" s="81"/>
      <x:c r="G436" s="81"/>
      <x:c r="H436" s="81"/>
      <x:c r="I436" s="81"/>
      <x:c r="J436" s="81"/>
      <x:c r="K436" s="81"/>
      <x:c r="L436" s="81"/>
      <x:c r="M436" s="81"/>
      <x:c r="N436" s="81"/>
      <x:c r="O436" s="81"/>
      <x:c r="P436" s="81"/>
      <x:c r="Q436" s="81"/>
      <x:c r="R436" s="81"/>
      <x:c r="S436" s="81"/>
      <x:c r="T436" s="81"/>
      <x:c r="U436" s="81"/>
      <x:c r="V436" s="81"/>
      <x:c r="W436" s="81"/>
      <x:c r="X436" s="81"/>
      <x:c r="Y436" s="81"/>
      <x:c r="Z436" s="81"/>
    </x:row>
    <x:row r="437">
      <x:c r="A437" s="81"/>
      <x:c r="B437" s="81"/>
      <x:c r="C437" s="81"/>
      <x:c r="D437" s="81"/>
      <x:c r="E437" s="81"/>
      <x:c r="F437" s="81"/>
      <x:c r="G437" s="81"/>
      <x:c r="H437" s="81"/>
      <x:c r="I437" s="81"/>
      <x:c r="J437" s="81"/>
      <x:c r="K437" s="81"/>
      <x:c r="L437" s="81"/>
      <x:c r="M437" s="81"/>
      <x:c r="N437" s="81"/>
      <x:c r="O437" s="81"/>
      <x:c r="P437" s="81"/>
      <x:c r="Q437" s="81"/>
      <x:c r="R437" s="81"/>
      <x:c r="S437" s="81"/>
      <x:c r="T437" s="81"/>
      <x:c r="U437" s="81"/>
      <x:c r="V437" s="81"/>
      <x:c r="W437" s="81"/>
      <x:c r="X437" s="81"/>
      <x:c r="Y437" s="81"/>
      <x:c r="Z437" s="81"/>
    </x:row>
    <x:row r="438">
      <x:c r="A438" s="81"/>
      <x:c r="B438" s="81"/>
      <x:c r="C438" s="81"/>
      <x:c r="D438" s="81"/>
      <x:c r="E438" s="81"/>
      <x:c r="F438" s="81"/>
      <x:c r="G438" s="81"/>
      <x:c r="H438" s="81"/>
      <x:c r="I438" s="81"/>
      <x:c r="J438" s="81"/>
      <x:c r="K438" s="81"/>
      <x:c r="L438" s="81"/>
      <x:c r="M438" s="81"/>
      <x:c r="N438" s="81"/>
      <x:c r="O438" s="81"/>
      <x:c r="P438" s="81"/>
      <x:c r="Q438" s="81"/>
      <x:c r="R438" s="81"/>
      <x:c r="S438" s="81"/>
      <x:c r="T438" s="81"/>
      <x:c r="U438" s="81"/>
      <x:c r="V438" s="81"/>
      <x:c r="W438" s="81"/>
      <x:c r="X438" s="81"/>
      <x:c r="Y438" s="81"/>
      <x:c r="Z438" s="81"/>
    </x:row>
    <x:row r="439">
      <x:c r="A439" s="81"/>
      <x:c r="B439" s="81"/>
      <x:c r="C439" s="81"/>
      <x:c r="D439" s="81"/>
      <x:c r="E439" s="81"/>
      <x:c r="F439" s="81"/>
      <x:c r="G439" s="81"/>
      <x:c r="H439" s="81"/>
      <x:c r="I439" s="81"/>
      <x:c r="J439" s="81"/>
      <x:c r="K439" s="81"/>
      <x:c r="L439" s="81"/>
      <x:c r="M439" s="81"/>
      <x:c r="N439" s="81"/>
      <x:c r="O439" s="81"/>
      <x:c r="P439" s="81"/>
      <x:c r="Q439" s="81"/>
      <x:c r="R439" s="81"/>
      <x:c r="S439" s="81"/>
      <x:c r="T439" s="81"/>
      <x:c r="U439" s="81"/>
      <x:c r="V439" s="81"/>
      <x:c r="W439" s="81"/>
      <x:c r="X439" s="81"/>
      <x:c r="Y439" s="81"/>
      <x:c r="Z439" s="81"/>
    </x:row>
    <x:row r="440">
      <x:c r="A440" s="81"/>
      <x:c r="B440" s="81"/>
      <x:c r="C440" s="81"/>
      <x:c r="D440" s="81"/>
      <x:c r="E440" s="81"/>
      <x:c r="F440" s="81"/>
      <x:c r="G440" s="81"/>
      <x:c r="H440" s="81"/>
      <x:c r="I440" s="81"/>
      <x:c r="J440" s="81"/>
      <x:c r="K440" s="81"/>
      <x:c r="L440" s="81"/>
      <x:c r="M440" s="81"/>
      <x:c r="N440" s="81"/>
      <x:c r="O440" s="81"/>
      <x:c r="P440" s="81"/>
      <x:c r="Q440" s="81"/>
      <x:c r="R440" s="81"/>
      <x:c r="S440" s="81"/>
      <x:c r="T440" s="81"/>
      <x:c r="U440" s="81"/>
      <x:c r="V440" s="81"/>
      <x:c r="W440" s="81"/>
      <x:c r="X440" s="81"/>
      <x:c r="Y440" s="81"/>
      <x:c r="Z440" s="81"/>
    </x:row>
    <x:row r="441">
      <x:c r="A441" s="81"/>
      <x:c r="B441" s="81"/>
      <x:c r="C441" s="81"/>
      <x:c r="D441" s="81"/>
      <x:c r="E441" s="81"/>
      <x:c r="F441" s="81"/>
      <x:c r="G441" s="81"/>
      <x:c r="H441" s="81"/>
      <x:c r="I441" s="81"/>
      <x:c r="J441" s="81"/>
      <x:c r="K441" s="81"/>
      <x:c r="L441" s="81"/>
      <x:c r="M441" s="81"/>
      <x:c r="N441" s="81"/>
      <x:c r="O441" s="81"/>
      <x:c r="P441" s="81"/>
      <x:c r="Q441" s="81"/>
      <x:c r="R441" s="81"/>
      <x:c r="S441" s="81"/>
      <x:c r="T441" s="81"/>
      <x:c r="U441" s="81"/>
      <x:c r="V441" s="81"/>
      <x:c r="W441" s="81"/>
      <x:c r="X441" s="81"/>
      <x:c r="Y441" s="81"/>
      <x:c r="Z441" s="81"/>
    </x:row>
    <x:row r="442">
      <x:c r="A442" s="81"/>
      <x:c r="B442" s="81"/>
      <x:c r="C442" s="81"/>
      <x:c r="D442" s="81"/>
      <x:c r="E442" s="81"/>
      <x:c r="F442" s="81"/>
      <x:c r="G442" s="81"/>
      <x:c r="H442" s="81"/>
      <x:c r="I442" s="81"/>
      <x:c r="J442" s="81"/>
      <x:c r="K442" s="81"/>
      <x:c r="L442" s="81"/>
      <x:c r="M442" s="81"/>
      <x:c r="N442" s="81"/>
      <x:c r="O442" s="81"/>
      <x:c r="P442" s="81"/>
      <x:c r="Q442" s="81"/>
      <x:c r="R442" s="81"/>
      <x:c r="S442" s="81"/>
      <x:c r="T442" s="81"/>
      <x:c r="U442" s="81"/>
      <x:c r="V442" s="81"/>
      <x:c r="W442" s="81"/>
      <x:c r="X442" s="81"/>
      <x:c r="Y442" s="81"/>
      <x:c r="Z442" s="81"/>
    </x:row>
    <x:row r="443">
      <x:c r="A443" s="81"/>
      <x:c r="B443" s="81"/>
      <x:c r="C443" s="81"/>
      <x:c r="D443" s="81"/>
      <x:c r="E443" s="81"/>
      <x:c r="F443" s="81"/>
      <x:c r="G443" s="81"/>
      <x:c r="H443" s="81"/>
      <x:c r="I443" s="81"/>
      <x:c r="J443" s="81"/>
      <x:c r="K443" s="81"/>
      <x:c r="L443" s="81"/>
      <x:c r="M443" s="81"/>
      <x:c r="N443" s="81"/>
      <x:c r="O443" s="81"/>
      <x:c r="P443" s="81"/>
      <x:c r="Q443" s="81"/>
      <x:c r="R443" s="81"/>
      <x:c r="S443" s="81"/>
      <x:c r="T443" s="81"/>
      <x:c r="U443" s="81"/>
      <x:c r="V443" s="81"/>
      <x:c r="W443" s="81"/>
      <x:c r="X443" s="81"/>
      <x:c r="Y443" s="81"/>
      <x:c r="Z443" s="81"/>
    </x:row>
    <x:row r="444">
      <x:c r="A444" s="81"/>
      <x:c r="B444" s="81"/>
      <x:c r="C444" s="81"/>
      <x:c r="D444" s="81"/>
      <x:c r="E444" s="81"/>
      <x:c r="F444" s="81"/>
      <x:c r="G444" s="81"/>
      <x:c r="H444" s="81"/>
      <x:c r="I444" s="81"/>
      <x:c r="J444" s="81"/>
      <x:c r="K444" s="81"/>
      <x:c r="L444" s="81"/>
      <x:c r="M444" s="81"/>
      <x:c r="N444" s="81"/>
      <x:c r="O444" s="81"/>
      <x:c r="P444" s="81"/>
      <x:c r="Q444" s="81"/>
      <x:c r="R444" s="81"/>
      <x:c r="S444" s="81"/>
      <x:c r="T444" s="81"/>
      <x:c r="U444" s="81"/>
      <x:c r="V444" s="81"/>
      <x:c r="W444" s="81"/>
      <x:c r="X444" s="81"/>
      <x:c r="Y444" s="81"/>
      <x:c r="Z444" s="81"/>
    </x:row>
    <x:row r="445">
      <x:c r="A445" s="81"/>
      <x:c r="B445" s="81"/>
      <x:c r="C445" s="81"/>
      <x:c r="D445" s="81"/>
      <x:c r="E445" s="81"/>
      <x:c r="F445" s="81"/>
      <x:c r="G445" s="81"/>
      <x:c r="H445" s="81"/>
      <x:c r="I445" s="81"/>
      <x:c r="J445" s="81"/>
      <x:c r="K445" s="81"/>
      <x:c r="L445" s="81"/>
      <x:c r="M445" s="81"/>
      <x:c r="N445" s="81"/>
      <x:c r="O445" s="81"/>
      <x:c r="P445" s="81"/>
      <x:c r="Q445" s="81"/>
      <x:c r="R445" s="81"/>
      <x:c r="S445" s="81"/>
      <x:c r="T445" s="81"/>
      <x:c r="U445" s="81"/>
      <x:c r="V445" s="81"/>
      <x:c r="W445" s="81"/>
      <x:c r="X445" s="81"/>
      <x:c r="Y445" s="81"/>
      <x:c r="Z445" s="81"/>
    </x:row>
    <x:row r="446">
      <x:c r="A446" s="81"/>
      <x:c r="B446" s="81"/>
      <x:c r="C446" s="81"/>
      <x:c r="D446" s="81"/>
      <x:c r="E446" s="81"/>
      <x:c r="F446" s="81"/>
      <x:c r="G446" s="81"/>
      <x:c r="H446" s="81"/>
      <x:c r="I446" s="81"/>
      <x:c r="J446" s="81"/>
      <x:c r="K446" s="81"/>
      <x:c r="L446" s="81"/>
      <x:c r="M446" s="81"/>
      <x:c r="N446" s="81"/>
      <x:c r="O446" s="81"/>
      <x:c r="P446" s="81"/>
      <x:c r="Q446" s="81"/>
      <x:c r="R446" s="81"/>
      <x:c r="S446" s="81"/>
      <x:c r="T446" s="81"/>
      <x:c r="U446" s="81"/>
      <x:c r="V446" s="81"/>
      <x:c r="W446" s="81"/>
      <x:c r="X446" s="81"/>
      <x:c r="Y446" s="81"/>
      <x:c r="Z446" s="81"/>
    </x:row>
    <x:row r="447">
      <x:c r="A447" s="81"/>
      <x:c r="B447" s="81"/>
      <x:c r="C447" s="81"/>
      <x:c r="D447" s="81"/>
      <x:c r="E447" s="81"/>
      <x:c r="F447" s="81"/>
      <x:c r="G447" s="81"/>
      <x:c r="H447" s="81"/>
      <x:c r="I447" s="81"/>
      <x:c r="J447" s="81"/>
      <x:c r="K447" s="81"/>
      <x:c r="L447" s="81"/>
      <x:c r="M447" s="81"/>
      <x:c r="N447" s="81"/>
      <x:c r="O447" s="81"/>
      <x:c r="P447" s="81"/>
      <x:c r="Q447" s="81"/>
      <x:c r="R447" s="81"/>
      <x:c r="S447" s="81"/>
      <x:c r="T447" s="81"/>
      <x:c r="U447" s="81"/>
      <x:c r="V447" s="81"/>
      <x:c r="W447" s="81"/>
      <x:c r="X447" s="81"/>
      <x:c r="Y447" s="81"/>
      <x:c r="Z447" s="81"/>
    </x:row>
    <x:row r="448">
      <x:c r="A448" s="81"/>
      <x:c r="B448" s="81"/>
      <x:c r="C448" s="81"/>
      <x:c r="D448" s="81"/>
      <x:c r="E448" s="81"/>
      <x:c r="F448" s="81"/>
      <x:c r="G448" s="81"/>
      <x:c r="H448" s="81"/>
      <x:c r="I448" s="81"/>
      <x:c r="J448" s="81"/>
      <x:c r="K448" s="81"/>
      <x:c r="L448" s="81"/>
      <x:c r="M448" s="81"/>
      <x:c r="N448" s="81"/>
      <x:c r="O448" s="81"/>
      <x:c r="P448" s="81"/>
      <x:c r="Q448" s="81"/>
      <x:c r="R448" s="81"/>
      <x:c r="S448" s="81"/>
      <x:c r="T448" s="81"/>
      <x:c r="U448" s="81"/>
      <x:c r="V448" s="81"/>
      <x:c r="W448" s="81"/>
      <x:c r="X448" s="81"/>
      <x:c r="Y448" s="81"/>
      <x:c r="Z448" s="81"/>
    </x:row>
    <x:row r="449">
      <x:c r="A449" s="81"/>
      <x:c r="B449" s="81"/>
      <x:c r="C449" s="81"/>
      <x:c r="D449" s="81"/>
      <x:c r="E449" s="81"/>
      <x:c r="F449" s="81"/>
      <x:c r="G449" s="81"/>
      <x:c r="H449" s="81"/>
      <x:c r="I449" s="81"/>
      <x:c r="J449" s="81"/>
      <x:c r="K449" s="81"/>
      <x:c r="L449" s="81"/>
      <x:c r="M449" s="81"/>
      <x:c r="N449" s="81"/>
      <x:c r="O449" s="81"/>
      <x:c r="P449" s="81"/>
      <x:c r="Q449" s="81"/>
      <x:c r="R449" s="81"/>
      <x:c r="S449" s="81"/>
      <x:c r="T449" s="81"/>
      <x:c r="U449" s="81"/>
      <x:c r="V449" s="81"/>
      <x:c r="W449" s="81"/>
      <x:c r="X449" s="81"/>
      <x:c r="Y449" s="81"/>
      <x:c r="Z449" s="81"/>
    </x:row>
    <x:row r="450">
      <x:c r="A450" s="81"/>
      <x:c r="B450" s="81"/>
      <x:c r="C450" s="81"/>
      <x:c r="D450" s="81"/>
      <x:c r="E450" s="81"/>
      <x:c r="F450" s="81"/>
      <x:c r="G450" s="81"/>
      <x:c r="H450" s="81"/>
      <x:c r="I450" s="81"/>
      <x:c r="J450" s="81"/>
      <x:c r="K450" s="81"/>
      <x:c r="L450" s="81"/>
      <x:c r="M450" s="81"/>
      <x:c r="N450" s="81"/>
      <x:c r="O450" s="81"/>
      <x:c r="P450" s="81"/>
      <x:c r="Q450" s="81"/>
      <x:c r="R450" s="81"/>
      <x:c r="S450" s="81"/>
      <x:c r="T450" s="81"/>
      <x:c r="U450" s="81"/>
      <x:c r="V450" s="81"/>
      <x:c r="W450" s="81"/>
      <x:c r="X450" s="81"/>
      <x:c r="Y450" s="81"/>
      <x:c r="Z450" s="81"/>
    </x:row>
    <x:row r="451">
      <x:c r="A451" s="81"/>
      <x:c r="B451" s="81"/>
      <x:c r="C451" s="81"/>
      <x:c r="D451" s="81"/>
      <x:c r="E451" s="81"/>
      <x:c r="F451" s="81"/>
      <x:c r="G451" s="81"/>
      <x:c r="H451" s="81"/>
      <x:c r="I451" s="81"/>
      <x:c r="J451" s="81"/>
      <x:c r="K451" s="81"/>
      <x:c r="L451" s="81"/>
      <x:c r="M451" s="81"/>
      <x:c r="N451" s="81"/>
      <x:c r="O451" s="81"/>
      <x:c r="P451" s="81"/>
      <x:c r="Q451" s="81"/>
      <x:c r="R451" s="81"/>
      <x:c r="S451" s="81"/>
      <x:c r="T451" s="81"/>
      <x:c r="U451" s="81"/>
      <x:c r="V451" s="81"/>
      <x:c r="W451" s="81"/>
      <x:c r="X451" s="81"/>
      <x:c r="Y451" s="81"/>
      <x:c r="Z451" s="81"/>
    </x:row>
    <x:row r="452">
      <x:c r="A452" s="81"/>
      <x:c r="B452" s="81"/>
      <x:c r="C452" s="81"/>
      <x:c r="D452" s="81"/>
      <x:c r="E452" s="81"/>
      <x:c r="F452" s="81"/>
      <x:c r="G452" s="81"/>
      <x:c r="H452" s="81"/>
      <x:c r="I452" s="81"/>
      <x:c r="J452" s="81"/>
      <x:c r="K452" s="81"/>
      <x:c r="L452" s="81"/>
      <x:c r="M452" s="81"/>
      <x:c r="N452" s="81"/>
      <x:c r="O452" s="81"/>
      <x:c r="P452" s="81"/>
      <x:c r="Q452" s="81"/>
      <x:c r="R452" s="81"/>
      <x:c r="S452" s="81"/>
      <x:c r="T452" s="81"/>
      <x:c r="U452" s="81"/>
      <x:c r="V452" s="81"/>
      <x:c r="W452" s="81"/>
      <x:c r="X452" s="81"/>
      <x:c r="Y452" s="81"/>
      <x:c r="Z452" s="81"/>
    </x:row>
    <x:row r="453">
      <x:c r="A453" s="81"/>
      <x:c r="B453" s="81"/>
      <x:c r="C453" s="81"/>
      <x:c r="D453" s="81"/>
      <x:c r="E453" s="81"/>
      <x:c r="F453" s="81"/>
      <x:c r="G453" s="81"/>
      <x:c r="H453" s="81"/>
      <x:c r="I453" s="81"/>
      <x:c r="J453" s="81"/>
      <x:c r="K453" s="81"/>
      <x:c r="L453" s="81"/>
      <x:c r="M453" s="81"/>
      <x:c r="N453" s="81"/>
      <x:c r="O453" s="81"/>
      <x:c r="P453" s="81"/>
      <x:c r="Q453" s="81"/>
      <x:c r="R453" s="81"/>
      <x:c r="S453" s="81"/>
      <x:c r="T453" s="81"/>
      <x:c r="U453" s="81"/>
      <x:c r="V453" s="81"/>
      <x:c r="W453" s="81"/>
      <x:c r="X453" s="81"/>
      <x:c r="Y453" s="81"/>
      <x:c r="Z453" s="81"/>
    </x:row>
    <x:row r="454">
      <x:c r="A454" s="81"/>
      <x:c r="B454" s="81"/>
      <x:c r="C454" s="81"/>
      <x:c r="D454" s="81"/>
      <x:c r="E454" s="81"/>
      <x:c r="F454" s="81"/>
      <x:c r="G454" s="81"/>
      <x:c r="H454" s="81"/>
      <x:c r="I454" s="81"/>
      <x:c r="J454" s="81"/>
      <x:c r="K454" s="81"/>
      <x:c r="L454" s="81"/>
      <x:c r="M454" s="81"/>
      <x:c r="N454" s="81"/>
      <x:c r="O454" s="81"/>
      <x:c r="P454" s="81"/>
      <x:c r="Q454" s="81"/>
      <x:c r="R454" s="81"/>
      <x:c r="S454" s="81"/>
      <x:c r="T454" s="81"/>
      <x:c r="U454" s="81"/>
      <x:c r="V454" s="81"/>
      <x:c r="W454" s="81"/>
      <x:c r="X454" s="81"/>
      <x:c r="Y454" s="81"/>
      <x:c r="Z454" s="81"/>
    </x:row>
    <x:row r="455">
      <x:c r="A455" s="81"/>
      <x:c r="B455" s="81"/>
      <x:c r="C455" s="81"/>
      <x:c r="D455" s="81"/>
      <x:c r="E455" s="81"/>
      <x:c r="F455" s="81"/>
      <x:c r="G455" s="81"/>
      <x:c r="H455" s="81"/>
      <x:c r="I455" s="81"/>
      <x:c r="J455" s="81"/>
      <x:c r="K455" s="81"/>
      <x:c r="L455" s="81"/>
      <x:c r="M455" s="81"/>
      <x:c r="N455" s="81"/>
      <x:c r="O455" s="81"/>
      <x:c r="P455" s="81"/>
      <x:c r="Q455" s="81"/>
      <x:c r="R455" s="81"/>
      <x:c r="S455" s="81"/>
      <x:c r="T455" s="81"/>
      <x:c r="U455" s="81"/>
      <x:c r="V455" s="81"/>
      <x:c r="W455" s="81"/>
      <x:c r="X455" s="81"/>
      <x:c r="Y455" s="81"/>
      <x:c r="Z455" s="81"/>
    </x:row>
    <x:row r="456">
      <x:c r="A456" s="81"/>
      <x:c r="B456" s="81"/>
      <x:c r="C456" s="81"/>
      <x:c r="D456" s="81"/>
      <x:c r="E456" s="81"/>
      <x:c r="F456" s="81"/>
      <x:c r="G456" s="81"/>
      <x:c r="H456" s="81"/>
      <x:c r="I456" s="81"/>
      <x:c r="J456" s="81"/>
      <x:c r="K456" s="81"/>
      <x:c r="L456" s="81"/>
      <x:c r="M456" s="81"/>
      <x:c r="N456" s="81"/>
      <x:c r="O456" s="81"/>
      <x:c r="P456" s="81"/>
      <x:c r="Q456" s="81"/>
      <x:c r="R456" s="81"/>
      <x:c r="S456" s="81"/>
      <x:c r="T456" s="81"/>
      <x:c r="U456" s="81"/>
      <x:c r="V456" s="81"/>
      <x:c r="W456" s="81"/>
      <x:c r="X456" s="81"/>
      <x:c r="Y456" s="81"/>
      <x:c r="Z456" s="81"/>
    </x:row>
    <x:row r="457">
      <x:c r="A457" s="81"/>
      <x:c r="B457" s="81"/>
      <x:c r="C457" s="81"/>
      <x:c r="D457" s="81"/>
      <x:c r="E457" s="81"/>
      <x:c r="F457" s="81"/>
      <x:c r="G457" s="81"/>
      <x:c r="H457" s="81"/>
      <x:c r="I457" s="81"/>
      <x:c r="J457" s="81"/>
      <x:c r="K457" s="81"/>
      <x:c r="L457" s="81"/>
      <x:c r="M457" s="81"/>
      <x:c r="N457" s="81"/>
      <x:c r="O457" s="81"/>
      <x:c r="P457" s="81"/>
      <x:c r="Q457" s="81"/>
      <x:c r="R457" s="81"/>
      <x:c r="S457" s="81"/>
      <x:c r="T457" s="81"/>
      <x:c r="U457" s="81"/>
      <x:c r="V457" s="81"/>
      <x:c r="W457" s="81"/>
      <x:c r="X457" s="81"/>
      <x:c r="Y457" s="81"/>
      <x:c r="Z457" s="81"/>
    </x:row>
    <x:row r="458">
      <x:c r="A458" s="81"/>
      <x:c r="B458" s="81"/>
      <x:c r="C458" s="81"/>
      <x:c r="D458" s="81"/>
      <x:c r="E458" s="81"/>
      <x:c r="F458" s="81"/>
      <x:c r="G458" s="81"/>
      <x:c r="H458" s="81"/>
      <x:c r="I458" s="81"/>
      <x:c r="J458" s="81"/>
      <x:c r="K458" s="81"/>
      <x:c r="L458" s="81"/>
      <x:c r="M458" s="81"/>
      <x:c r="N458" s="81"/>
      <x:c r="O458" s="81"/>
      <x:c r="P458" s="81"/>
      <x:c r="Q458" s="81"/>
      <x:c r="R458" s="81"/>
      <x:c r="S458" s="81"/>
      <x:c r="T458" s="81"/>
      <x:c r="U458" s="81"/>
      <x:c r="V458" s="81"/>
      <x:c r="W458" s="81"/>
      <x:c r="X458" s="81"/>
      <x:c r="Y458" s="81"/>
      <x:c r="Z458" s="81"/>
    </x:row>
    <x:row r="459">
      <x:c r="A459" s="81"/>
      <x:c r="B459" s="81"/>
      <x:c r="C459" s="81"/>
      <x:c r="D459" s="81"/>
      <x:c r="E459" s="81"/>
      <x:c r="F459" s="81"/>
      <x:c r="G459" s="81"/>
      <x:c r="H459" s="81"/>
      <x:c r="I459" s="81"/>
      <x:c r="J459" s="81"/>
      <x:c r="K459" s="81"/>
      <x:c r="L459" s="81"/>
      <x:c r="M459" s="81"/>
      <x:c r="N459" s="81"/>
      <x:c r="O459" s="81"/>
      <x:c r="P459" s="81"/>
      <x:c r="Q459" s="81"/>
      <x:c r="R459" s="81"/>
      <x:c r="S459" s="81"/>
      <x:c r="T459" s="81"/>
      <x:c r="U459" s="81"/>
      <x:c r="V459" s="81"/>
      <x:c r="W459" s="81"/>
      <x:c r="X459" s="81"/>
      <x:c r="Y459" s="81"/>
      <x:c r="Z459" s="81"/>
    </x:row>
    <x:row r="460">
      <x:c r="A460" s="81"/>
      <x:c r="B460" s="81"/>
      <x:c r="C460" s="81"/>
      <x:c r="D460" s="81"/>
      <x:c r="E460" s="81"/>
      <x:c r="F460" s="81"/>
      <x:c r="G460" s="81"/>
      <x:c r="H460" s="81"/>
      <x:c r="I460" s="81"/>
      <x:c r="J460" s="81"/>
      <x:c r="K460" s="81"/>
      <x:c r="L460" s="81"/>
      <x:c r="M460" s="81"/>
      <x:c r="N460" s="81"/>
      <x:c r="O460" s="81"/>
      <x:c r="P460" s="81"/>
      <x:c r="Q460" s="81"/>
      <x:c r="R460" s="81"/>
      <x:c r="S460" s="81"/>
      <x:c r="T460" s="81"/>
      <x:c r="U460" s="81"/>
      <x:c r="V460" s="81"/>
      <x:c r="W460" s="81"/>
      <x:c r="X460" s="81"/>
      <x:c r="Y460" s="81"/>
      <x:c r="Z460" s="81"/>
    </x:row>
    <x:row r="461">
      <x:c r="A461" s="81"/>
      <x:c r="B461" s="81"/>
      <x:c r="C461" s="81"/>
      <x:c r="D461" s="81"/>
      <x:c r="E461" s="81"/>
      <x:c r="F461" s="81"/>
      <x:c r="G461" s="81"/>
      <x:c r="H461" s="81"/>
      <x:c r="I461" s="81"/>
      <x:c r="J461" s="81"/>
      <x:c r="K461" s="81"/>
      <x:c r="L461" s="81"/>
      <x:c r="M461" s="81"/>
      <x:c r="N461" s="81"/>
      <x:c r="O461" s="81"/>
      <x:c r="P461" s="81"/>
      <x:c r="Q461" s="81"/>
      <x:c r="R461" s="81"/>
      <x:c r="S461" s="81"/>
      <x:c r="T461" s="81"/>
      <x:c r="U461" s="81"/>
      <x:c r="V461" s="81"/>
      <x:c r="W461" s="81"/>
      <x:c r="X461" s="81"/>
      <x:c r="Y461" s="81"/>
      <x:c r="Z461" s="81"/>
    </x:row>
    <x:row r="462">
      <x:c r="A462" s="81"/>
      <x:c r="B462" s="81"/>
      <x:c r="C462" s="81"/>
      <x:c r="D462" s="81"/>
      <x:c r="E462" s="81"/>
      <x:c r="F462" s="81"/>
      <x:c r="G462" s="81"/>
      <x:c r="H462" s="81"/>
      <x:c r="I462" s="81"/>
      <x:c r="J462" s="81"/>
      <x:c r="K462" s="81"/>
      <x:c r="L462" s="81"/>
      <x:c r="M462" s="81"/>
      <x:c r="N462" s="81"/>
      <x:c r="O462" s="81"/>
      <x:c r="P462" s="81"/>
      <x:c r="Q462" s="81"/>
      <x:c r="R462" s="81"/>
      <x:c r="S462" s="81"/>
      <x:c r="T462" s="81"/>
      <x:c r="U462" s="81"/>
      <x:c r="V462" s="81"/>
      <x:c r="W462" s="81"/>
      <x:c r="X462" s="81"/>
      <x:c r="Y462" s="81"/>
      <x:c r="Z462" s="81"/>
    </x:row>
    <x:row r="463">
      <x:c r="A463" s="81"/>
      <x:c r="B463" s="81"/>
      <x:c r="C463" s="81"/>
      <x:c r="D463" s="81"/>
      <x:c r="E463" s="81"/>
      <x:c r="F463" s="81"/>
      <x:c r="G463" s="81"/>
      <x:c r="H463" s="81"/>
      <x:c r="I463" s="81"/>
      <x:c r="J463" s="81"/>
      <x:c r="K463" s="81"/>
      <x:c r="L463" s="81"/>
      <x:c r="M463" s="81"/>
      <x:c r="N463" s="81"/>
      <x:c r="O463" s="81"/>
      <x:c r="P463" s="81"/>
      <x:c r="Q463" s="81"/>
      <x:c r="R463" s="81"/>
      <x:c r="S463" s="81"/>
      <x:c r="T463" s="81"/>
      <x:c r="U463" s="81"/>
      <x:c r="V463" s="81"/>
      <x:c r="W463" s="81"/>
      <x:c r="X463" s="81"/>
      <x:c r="Y463" s="81"/>
      <x:c r="Z463" s="81"/>
    </x:row>
    <x:row r="464">
      <x:c r="A464" s="81"/>
      <x:c r="B464" s="81"/>
      <x:c r="C464" s="81"/>
      <x:c r="D464" s="81"/>
      <x:c r="E464" s="81"/>
      <x:c r="F464" s="81"/>
      <x:c r="G464" s="81"/>
      <x:c r="H464" s="81"/>
      <x:c r="I464" s="81"/>
      <x:c r="J464" s="81"/>
      <x:c r="K464" s="81"/>
      <x:c r="L464" s="81"/>
      <x:c r="M464" s="81"/>
      <x:c r="N464" s="81"/>
      <x:c r="O464" s="81"/>
      <x:c r="P464" s="81"/>
      <x:c r="Q464" s="81"/>
      <x:c r="R464" s="81"/>
      <x:c r="S464" s="81"/>
      <x:c r="T464" s="81"/>
      <x:c r="U464" s="81"/>
      <x:c r="V464" s="81"/>
      <x:c r="W464" s="81"/>
      <x:c r="X464" s="81"/>
      <x:c r="Y464" s="81"/>
      <x:c r="Z464" s="81"/>
    </x:row>
    <x:row r="465">
      <x:c r="A465" s="81"/>
      <x:c r="B465" s="81"/>
      <x:c r="C465" s="81"/>
      <x:c r="D465" s="81"/>
      <x:c r="E465" s="81"/>
      <x:c r="F465" s="81"/>
      <x:c r="G465" s="81"/>
      <x:c r="H465" s="81"/>
      <x:c r="I465" s="81"/>
      <x:c r="J465" s="81"/>
      <x:c r="K465" s="81"/>
      <x:c r="L465" s="81"/>
      <x:c r="M465" s="81"/>
      <x:c r="N465" s="81"/>
      <x:c r="O465" s="81"/>
      <x:c r="P465" s="81"/>
      <x:c r="Q465" s="81"/>
      <x:c r="R465" s="81"/>
      <x:c r="S465" s="81"/>
      <x:c r="T465" s="81"/>
      <x:c r="U465" s="81"/>
      <x:c r="V465" s="81"/>
      <x:c r="W465" s="81"/>
      <x:c r="X465" s="81"/>
      <x:c r="Y465" s="81"/>
      <x:c r="Z465" s="81"/>
    </x:row>
    <x:row r="466">
      <x:c r="A466" s="81"/>
      <x:c r="B466" s="81"/>
      <x:c r="C466" s="81"/>
      <x:c r="D466" s="81"/>
      <x:c r="E466" s="81"/>
      <x:c r="F466" s="81"/>
      <x:c r="G466" s="81"/>
      <x:c r="H466" s="81"/>
      <x:c r="I466" s="81"/>
      <x:c r="J466" s="81"/>
      <x:c r="K466" s="81"/>
      <x:c r="L466" s="81"/>
      <x:c r="M466" s="81"/>
      <x:c r="N466" s="81"/>
      <x:c r="O466" s="81"/>
      <x:c r="P466" s="81"/>
      <x:c r="Q466" s="81"/>
      <x:c r="R466" s="81"/>
      <x:c r="S466" s="81"/>
      <x:c r="T466" s="81"/>
      <x:c r="U466" s="81"/>
      <x:c r="V466" s="81"/>
      <x:c r="W466" s="81"/>
      <x:c r="X466" s="81"/>
      <x:c r="Y466" s="81"/>
      <x:c r="Z466" s="81"/>
    </x:row>
    <x:row r="467">
      <x:c r="A467" s="81"/>
      <x:c r="B467" s="81"/>
      <x:c r="C467" s="81"/>
      <x:c r="D467" s="81"/>
      <x:c r="E467" s="81"/>
      <x:c r="F467" s="81"/>
      <x:c r="G467" s="81"/>
      <x:c r="H467" s="81"/>
      <x:c r="I467" s="81"/>
      <x:c r="J467" s="81"/>
      <x:c r="K467" s="81"/>
      <x:c r="L467" s="81"/>
      <x:c r="M467" s="81"/>
      <x:c r="N467" s="81"/>
      <x:c r="O467" s="81"/>
      <x:c r="P467" s="81"/>
      <x:c r="Q467" s="81"/>
      <x:c r="R467" s="81"/>
      <x:c r="S467" s="81"/>
      <x:c r="T467" s="81"/>
      <x:c r="U467" s="81"/>
      <x:c r="V467" s="81"/>
      <x:c r="W467" s="81"/>
      <x:c r="X467" s="81"/>
      <x:c r="Y467" s="81"/>
      <x:c r="Z467" s="81"/>
    </x:row>
    <x:row r="468">
      <x:c r="A468" s="81"/>
      <x:c r="B468" s="81"/>
      <x:c r="C468" s="81"/>
      <x:c r="D468" s="81"/>
      <x:c r="E468" s="81"/>
      <x:c r="F468" s="81"/>
      <x:c r="G468" s="81"/>
      <x:c r="H468" s="81"/>
      <x:c r="I468" s="81"/>
      <x:c r="J468" s="81"/>
      <x:c r="K468" s="81"/>
      <x:c r="L468" s="81"/>
      <x:c r="M468" s="81"/>
      <x:c r="N468" s="81"/>
      <x:c r="O468" s="81"/>
      <x:c r="P468" s="81"/>
      <x:c r="Q468" s="81"/>
      <x:c r="R468" s="81"/>
      <x:c r="S468" s="81"/>
      <x:c r="T468" s="81"/>
      <x:c r="U468" s="81"/>
      <x:c r="V468" s="81"/>
      <x:c r="W468" s="81"/>
      <x:c r="X468" s="81"/>
      <x:c r="Y468" s="81"/>
      <x:c r="Z468" s="81"/>
    </x:row>
    <x:row r="469">
      <x:c r="A469" s="81"/>
      <x:c r="B469" s="81"/>
      <x:c r="C469" s="81"/>
      <x:c r="D469" s="81"/>
      <x:c r="E469" s="81"/>
      <x:c r="F469" s="81"/>
      <x:c r="G469" s="81"/>
      <x:c r="H469" s="81"/>
      <x:c r="I469" s="81"/>
      <x:c r="J469" s="81"/>
      <x:c r="K469" s="81"/>
      <x:c r="L469" s="81"/>
      <x:c r="M469" s="81"/>
      <x:c r="N469" s="81"/>
      <x:c r="O469" s="81"/>
      <x:c r="P469" s="81"/>
      <x:c r="Q469" s="81"/>
      <x:c r="R469" s="81"/>
      <x:c r="S469" s="81"/>
      <x:c r="T469" s="81"/>
      <x:c r="U469" s="81"/>
      <x:c r="V469" s="81"/>
      <x:c r="W469" s="81"/>
      <x:c r="X469" s="81"/>
      <x:c r="Y469" s="81"/>
      <x:c r="Z469" s="81"/>
    </x:row>
    <x:row r="470">
      <x:c r="A470" s="81"/>
      <x:c r="B470" s="81"/>
      <x:c r="C470" s="81"/>
      <x:c r="D470" s="81"/>
      <x:c r="E470" s="81"/>
      <x:c r="F470" s="81"/>
      <x:c r="G470" s="81"/>
      <x:c r="H470" s="81"/>
      <x:c r="I470" s="81"/>
      <x:c r="J470" s="81"/>
      <x:c r="K470" s="81"/>
      <x:c r="L470" s="81"/>
      <x:c r="M470" s="81"/>
      <x:c r="N470" s="81"/>
      <x:c r="O470" s="81"/>
      <x:c r="P470" s="81"/>
      <x:c r="Q470" s="81"/>
      <x:c r="R470" s="81"/>
      <x:c r="S470" s="81"/>
      <x:c r="T470" s="81"/>
      <x:c r="U470" s="81"/>
      <x:c r="V470" s="81"/>
      <x:c r="W470" s="81"/>
      <x:c r="X470" s="81"/>
      <x:c r="Y470" s="81"/>
      <x:c r="Z470" s="81"/>
    </x:row>
    <x:row r="471">
      <x:c r="A471" s="81"/>
      <x:c r="B471" s="81"/>
      <x:c r="C471" s="81"/>
      <x:c r="D471" s="81"/>
      <x:c r="E471" s="81"/>
      <x:c r="F471" s="81"/>
      <x:c r="G471" s="81"/>
      <x:c r="H471" s="81"/>
      <x:c r="I471" s="81"/>
      <x:c r="J471" s="81"/>
      <x:c r="K471" s="81"/>
      <x:c r="L471" s="81"/>
      <x:c r="M471" s="81"/>
      <x:c r="N471" s="81"/>
      <x:c r="O471" s="81"/>
      <x:c r="P471" s="81"/>
      <x:c r="Q471" s="81"/>
      <x:c r="R471" s="81"/>
      <x:c r="S471" s="81"/>
      <x:c r="T471" s="81"/>
      <x:c r="U471" s="81"/>
      <x:c r="V471" s="81"/>
      <x:c r="W471" s="81"/>
      <x:c r="X471" s="81"/>
      <x:c r="Y471" s="81"/>
      <x:c r="Z471" s="81"/>
    </x:row>
    <x:row r="472">
      <x:c r="A472" s="81"/>
      <x:c r="B472" s="81"/>
      <x:c r="C472" s="81"/>
      <x:c r="D472" s="81"/>
      <x:c r="E472" s="81"/>
      <x:c r="F472" s="81"/>
      <x:c r="G472" s="81"/>
      <x:c r="H472" s="81"/>
      <x:c r="I472" s="81"/>
      <x:c r="J472" s="81"/>
      <x:c r="K472" s="81"/>
      <x:c r="L472" s="81"/>
      <x:c r="M472" s="81"/>
      <x:c r="N472" s="81"/>
      <x:c r="O472" s="81"/>
      <x:c r="P472" s="81"/>
      <x:c r="Q472" s="81"/>
      <x:c r="R472" s="81"/>
      <x:c r="S472" s="81"/>
      <x:c r="T472" s="81"/>
      <x:c r="U472" s="81"/>
      <x:c r="V472" s="81"/>
      <x:c r="W472" s="81"/>
      <x:c r="X472" s="81"/>
      <x:c r="Y472" s="81"/>
      <x:c r="Z472" s="81"/>
    </x:row>
    <x:row r="473">
      <x:c r="A473" s="81"/>
      <x:c r="B473" s="81"/>
      <x:c r="C473" s="81"/>
      <x:c r="D473" s="81"/>
      <x:c r="E473" s="81"/>
      <x:c r="F473" s="81"/>
      <x:c r="G473" s="81"/>
      <x:c r="H473" s="81"/>
      <x:c r="I473" s="81"/>
      <x:c r="J473" s="81"/>
      <x:c r="K473" s="81"/>
      <x:c r="L473" s="81"/>
      <x:c r="M473" s="81"/>
      <x:c r="N473" s="81"/>
      <x:c r="O473" s="81"/>
      <x:c r="P473" s="81"/>
      <x:c r="Q473" s="81"/>
      <x:c r="R473" s="81"/>
      <x:c r="S473" s="81"/>
      <x:c r="T473" s="81"/>
      <x:c r="U473" s="81"/>
      <x:c r="V473" s="81"/>
      <x:c r="W473" s="81"/>
      <x:c r="X473" s="81"/>
      <x:c r="Y473" s="81"/>
      <x:c r="Z473" s="81"/>
    </x:row>
    <x:row r="474">
      <x:c r="A474" s="81"/>
      <x:c r="B474" s="81"/>
      <x:c r="C474" s="81"/>
      <x:c r="D474" s="81"/>
      <x:c r="E474" s="81"/>
      <x:c r="F474" s="81"/>
      <x:c r="G474" s="81"/>
      <x:c r="H474" s="81"/>
      <x:c r="I474" s="81"/>
      <x:c r="J474" s="81"/>
      <x:c r="K474" s="81"/>
      <x:c r="L474" s="81"/>
      <x:c r="M474" s="81"/>
      <x:c r="N474" s="81"/>
      <x:c r="O474" s="81"/>
      <x:c r="P474" s="81"/>
      <x:c r="Q474" s="81"/>
      <x:c r="R474" s="81"/>
      <x:c r="S474" s="81"/>
      <x:c r="T474" s="81"/>
      <x:c r="U474" s="81"/>
      <x:c r="V474" s="81"/>
      <x:c r="W474" s="81"/>
      <x:c r="X474" s="81"/>
      <x:c r="Y474" s="81"/>
      <x:c r="Z474" s="81"/>
    </x:row>
    <x:row r="475">
      <x:c r="A475" s="81"/>
      <x:c r="B475" s="81"/>
      <x:c r="C475" s="81"/>
      <x:c r="D475" s="81"/>
      <x:c r="E475" s="81"/>
      <x:c r="F475" s="81"/>
      <x:c r="G475" s="81"/>
      <x:c r="H475" s="81"/>
      <x:c r="I475" s="81"/>
      <x:c r="J475" s="81"/>
      <x:c r="K475" s="81"/>
      <x:c r="L475" s="81"/>
      <x:c r="M475" s="81"/>
      <x:c r="N475" s="81"/>
      <x:c r="O475" s="81"/>
      <x:c r="P475" s="81"/>
      <x:c r="Q475" s="81"/>
      <x:c r="R475" s="81"/>
      <x:c r="S475" s="81"/>
      <x:c r="T475" s="81"/>
      <x:c r="U475" s="81"/>
      <x:c r="V475" s="81"/>
      <x:c r="W475" s="81"/>
      <x:c r="X475" s="81"/>
      <x:c r="Y475" s="81"/>
      <x:c r="Z475" s="81"/>
    </x:row>
    <x:row r="476">
      <x:c r="A476" s="81"/>
      <x:c r="B476" s="81"/>
      <x:c r="C476" s="81"/>
      <x:c r="D476" s="81"/>
      <x:c r="E476" s="81"/>
      <x:c r="F476" s="81"/>
      <x:c r="G476" s="81"/>
      <x:c r="H476" s="81"/>
      <x:c r="I476" s="81"/>
      <x:c r="J476" s="81"/>
      <x:c r="K476" s="81"/>
      <x:c r="L476" s="81"/>
      <x:c r="M476" s="81"/>
      <x:c r="N476" s="81"/>
      <x:c r="O476" s="81"/>
      <x:c r="P476" s="81"/>
      <x:c r="Q476" s="81"/>
      <x:c r="R476" s="81"/>
      <x:c r="S476" s="81"/>
      <x:c r="T476" s="81"/>
      <x:c r="U476" s="81"/>
      <x:c r="V476" s="81"/>
      <x:c r="W476" s="81"/>
      <x:c r="X476" s="81"/>
      <x:c r="Y476" s="81"/>
      <x:c r="Z476" s="81"/>
    </x:row>
    <x:row r="477">
      <x:c r="A477" s="81"/>
      <x:c r="B477" s="81"/>
      <x:c r="C477" s="81"/>
      <x:c r="D477" s="81"/>
      <x:c r="E477" s="81"/>
      <x:c r="F477" s="81"/>
      <x:c r="G477" s="81"/>
      <x:c r="H477" s="81"/>
      <x:c r="I477" s="81"/>
      <x:c r="J477" s="81"/>
      <x:c r="K477" s="81"/>
      <x:c r="L477" s="81"/>
      <x:c r="M477" s="81"/>
      <x:c r="N477" s="81"/>
      <x:c r="O477" s="81"/>
      <x:c r="P477" s="81"/>
      <x:c r="Q477" s="81"/>
      <x:c r="R477" s="81"/>
      <x:c r="S477" s="81"/>
      <x:c r="T477" s="81"/>
      <x:c r="U477" s="81"/>
      <x:c r="V477" s="81"/>
      <x:c r="W477" s="81"/>
      <x:c r="X477" s="81"/>
      <x:c r="Y477" s="81"/>
      <x:c r="Z477" s="81"/>
    </x:row>
    <x:row r="478">
      <x:c r="A478" s="81"/>
      <x:c r="B478" s="81"/>
      <x:c r="C478" s="81"/>
      <x:c r="D478" s="81"/>
      <x:c r="E478" s="81"/>
      <x:c r="F478" s="81"/>
      <x:c r="G478" s="81"/>
      <x:c r="H478" s="81"/>
      <x:c r="I478" s="81"/>
      <x:c r="J478" s="81"/>
      <x:c r="K478" s="81"/>
      <x:c r="L478" s="81"/>
      <x:c r="M478" s="81"/>
      <x:c r="N478" s="81"/>
      <x:c r="O478" s="81"/>
      <x:c r="P478" s="81"/>
      <x:c r="Q478" s="81"/>
      <x:c r="R478" s="81"/>
      <x:c r="S478" s="81"/>
      <x:c r="T478" s="81"/>
      <x:c r="U478" s="81"/>
      <x:c r="V478" s="81"/>
      <x:c r="W478" s="81"/>
      <x:c r="X478" s="81"/>
      <x:c r="Y478" s="81"/>
      <x:c r="Z478" s="81"/>
    </x:row>
    <x:row r="479">
      <x:c r="A479" s="81"/>
      <x:c r="B479" s="81"/>
      <x:c r="C479" s="81"/>
      <x:c r="D479" s="81"/>
      <x:c r="E479" s="81"/>
      <x:c r="F479" s="81"/>
      <x:c r="G479" s="81"/>
      <x:c r="H479" s="81"/>
      <x:c r="I479" s="81"/>
      <x:c r="J479" s="81"/>
      <x:c r="K479" s="81"/>
      <x:c r="L479" s="81"/>
      <x:c r="M479" s="81"/>
      <x:c r="N479" s="81"/>
      <x:c r="O479" s="81"/>
      <x:c r="P479" s="81"/>
      <x:c r="Q479" s="81"/>
      <x:c r="R479" s="81"/>
      <x:c r="S479" s="81"/>
      <x:c r="T479" s="81"/>
      <x:c r="U479" s="81"/>
      <x:c r="V479" s="81"/>
      <x:c r="W479" s="81"/>
      <x:c r="X479" s="81"/>
      <x:c r="Y479" s="81"/>
      <x:c r="Z479" s="81"/>
    </x:row>
    <x:row r="480">
      <x:c r="A480" s="81"/>
      <x:c r="B480" s="81"/>
      <x:c r="C480" s="81"/>
      <x:c r="D480" s="81"/>
      <x:c r="E480" s="81"/>
      <x:c r="F480" s="81"/>
      <x:c r="G480" s="81"/>
      <x:c r="H480" s="81"/>
      <x:c r="I480" s="81"/>
      <x:c r="J480" s="81"/>
      <x:c r="K480" s="81"/>
      <x:c r="L480" s="81"/>
      <x:c r="M480" s="81"/>
      <x:c r="N480" s="81"/>
      <x:c r="O480" s="81"/>
      <x:c r="P480" s="81"/>
      <x:c r="Q480" s="81"/>
      <x:c r="R480" s="81"/>
      <x:c r="S480" s="81"/>
      <x:c r="T480" s="81"/>
      <x:c r="U480" s="81"/>
      <x:c r="V480" s="81"/>
      <x:c r="W480" s="81"/>
      <x:c r="X480" s="81"/>
      <x:c r="Y480" s="81"/>
      <x:c r="Z480" s="81"/>
    </x:row>
    <x:row r="481">
      <x:c r="A481" s="81"/>
      <x:c r="B481" s="81"/>
      <x:c r="C481" s="81"/>
      <x:c r="D481" s="81"/>
      <x:c r="E481" s="81"/>
      <x:c r="F481" s="81"/>
      <x:c r="G481" s="81"/>
      <x:c r="H481" s="81"/>
      <x:c r="I481" s="81"/>
      <x:c r="J481" s="81"/>
      <x:c r="K481" s="81"/>
      <x:c r="L481" s="81"/>
      <x:c r="M481" s="81"/>
      <x:c r="N481" s="81"/>
      <x:c r="O481" s="81"/>
      <x:c r="P481" s="81"/>
      <x:c r="Q481" s="81"/>
      <x:c r="R481" s="81"/>
      <x:c r="S481" s="81"/>
      <x:c r="T481" s="81"/>
      <x:c r="U481" s="81"/>
      <x:c r="V481" s="81"/>
      <x:c r="W481" s="81"/>
      <x:c r="X481" s="81"/>
      <x:c r="Y481" s="81"/>
      <x:c r="Z481" s="81"/>
    </x:row>
    <x:row r="482">
      <x:c r="A482" s="81"/>
      <x:c r="B482" s="81"/>
      <x:c r="C482" s="81"/>
      <x:c r="D482" s="81"/>
      <x:c r="E482" s="81"/>
      <x:c r="F482" s="81"/>
      <x:c r="G482" s="81"/>
      <x:c r="H482" s="81"/>
      <x:c r="I482" s="81"/>
      <x:c r="J482" s="81"/>
      <x:c r="K482" s="81"/>
      <x:c r="L482" s="81"/>
      <x:c r="M482" s="81"/>
      <x:c r="N482" s="81"/>
      <x:c r="O482" s="81"/>
      <x:c r="P482" s="81"/>
      <x:c r="Q482" s="81"/>
      <x:c r="R482" s="81"/>
      <x:c r="S482" s="81"/>
      <x:c r="T482" s="81"/>
      <x:c r="U482" s="81"/>
      <x:c r="V482" s="81"/>
      <x:c r="W482" s="81"/>
      <x:c r="X482" s="81"/>
      <x:c r="Y482" s="81"/>
      <x:c r="Z482" s="81"/>
    </x:row>
    <x:row r="483">
      <x:c r="A483" s="81"/>
      <x:c r="B483" s="81"/>
      <x:c r="C483" s="81"/>
      <x:c r="D483" s="81"/>
      <x:c r="E483" s="81"/>
      <x:c r="F483" s="81"/>
      <x:c r="G483" s="81"/>
      <x:c r="H483" s="81"/>
      <x:c r="I483" s="81"/>
      <x:c r="J483" s="81"/>
      <x:c r="K483" s="81"/>
      <x:c r="L483" s="81"/>
      <x:c r="M483" s="81"/>
      <x:c r="N483" s="81"/>
      <x:c r="O483" s="81"/>
      <x:c r="P483" s="81"/>
      <x:c r="Q483" s="81"/>
      <x:c r="R483" s="81"/>
      <x:c r="S483" s="81"/>
      <x:c r="T483" s="81"/>
      <x:c r="U483" s="81"/>
      <x:c r="V483" s="81"/>
      <x:c r="W483" s="81"/>
      <x:c r="X483" s="81"/>
      <x:c r="Y483" s="81"/>
      <x:c r="Z483" s="81"/>
    </x:row>
    <x:row r="484">
      <x:c r="A484" s="81"/>
      <x:c r="B484" s="81"/>
      <x:c r="C484" s="81"/>
      <x:c r="D484" s="81"/>
      <x:c r="E484" s="81"/>
      <x:c r="F484" s="81"/>
      <x:c r="G484" s="81"/>
      <x:c r="H484" s="81"/>
      <x:c r="I484" s="81"/>
      <x:c r="J484" s="81"/>
      <x:c r="K484" s="81"/>
      <x:c r="L484" s="81"/>
      <x:c r="M484" s="81"/>
      <x:c r="N484" s="81"/>
      <x:c r="O484" s="81"/>
      <x:c r="P484" s="81"/>
      <x:c r="Q484" s="81"/>
      <x:c r="R484" s="81"/>
      <x:c r="S484" s="81"/>
      <x:c r="T484" s="81"/>
      <x:c r="U484" s="81"/>
      <x:c r="V484" s="81"/>
      <x:c r="W484" s="81"/>
      <x:c r="X484" s="81"/>
      <x:c r="Y484" s="81"/>
      <x:c r="Z484" s="81"/>
    </x:row>
    <x:row r="485">
      <x:c r="A485" s="81"/>
      <x:c r="B485" s="81"/>
      <x:c r="C485" s="81"/>
      <x:c r="D485" s="81"/>
      <x:c r="E485" s="81"/>
      <x:c r="F485" s="81"/>
      <x:c r="G485" s="81"/>
      <x:c r="H485" s="81"/>
      <x:c r="I485" s="81"/>
      <x:c r="J485" s="81"/>
      <x:c r="K485" s="81"/>
      <x:c r="L485" s="81"/>
      <x:c r="M485" s="81"/>
      <x:c r="N485" s="81"/>
      <x:c r="O485" s="81"/>
      <x:c r="P485" s="81"/>
      <x:c r="Q485" s="81"/>
      <x:c r="R485" s="81"/>
      <x:c r="S485" s="81"/>
      <x:c r="T485" s="81"/>
      <x:c r="U485" s="81"/>
      <x:c r="V485" s="81"/>
      <x:c r="W485" s="81"/>
      <x:c r="X485" s="81"/>
      <x:c r="Y485" s="81"/>
      <x:c r="Z485" s="81"/>
    </x:row>
    <x:row r="486">
      <x:c r="A486" s="81"/>
      <x:c r="B486" s="81"/>
      <x:c r="C486" s="81"/>
      <x:c r="D486" s="81"/>
      <x:c r="E486" s="81"/>
      <x:c r="F486" s="81"/>
      <x:c r="G486" s="81"/>
      <x:c r="H486" s="81"/>
      <x:c r="I486" s="81"/>
      <x:c r="J486" s="81"/>
      <x:c r="K486" s="81"/>
      <x:c r="L486" s="81"/>
      <x:c r="M486" s="81"/>
      <x:c r="N486" s="81"/>
      <x:c r="O486" s="81"/>
      <x:c r="P486" s="81"/>
      <x:c r="Q486" s="81"/>
      <x:c r="R486" s="81"/>
      <x:c r="S486" s="81"/>
      <x:c r="T486" s="81"/>
      <x:c r="U486" s="81"/>
      <x:c r="V486" s="81"/>
      <x:c r="W486" s="81"/>
      <x:c r="X486" s="81"/>
      <x:c r="Y486" s="81"/>
      <x:c r="Z486" s="81"/>
    </x:row>
    <x:row r="487">
      <x:c r="A487" s="81"/>
      <x:c r="B487" s="81"/>
      <x:c r="C487" s="81"/>
      <x:c r="D487" s="81"/>
      <x:c r="E487" s="81"/>
      <x:c r="F487" s="81"/>
      <x:c r="G487" s="81"/>
      <x:c r="H487" s="81"/>
      <x:c r="I487" s="81"/>
      <x:c r="J487" s="81"/>
      <x:c r="K487" s="81"/>
      <x:c r="L487" s="81"/>
      <x:c r="M487" s="81"/>
      <x:c r="N487" s="81"/>
      <x:c r="O487" s="81"/>
      <x:c r="P487" s="81"/>
      <x:c r="Q487" s="81"/>
      <x:c r="R487" s="81"/>
      <x:c r="S487" s="81"/>
      <x:c r="T487" s="81"/>
      <x:c r="U487" s="81"/>
      <x:c r="V487" s="81"/>
      <x:c r="W487" s="81"/>
      <x:c r="X487" s="81"/>
      <x:c r="Y487" s="81"/>
      <x:c r="Z487" s="81"/>
    </x:row>
    <x:row r="488">
      <x:c r="A488" s="81"/>
      <x:c r="B488" s="81"/>
      <x:c r="C488" s="81"/>
      <x:c r="D488" s="81"/>
      <x:c r="E488" s="81"/>
      <x:c r="F488" s="81"/>
      <x:c r="G488" s="81"/>
      <x:c r="H488" s="81"/>
      <x:c r="I488" s="81"/>
      <x:c r="J488" s="81"/>
      <x:c r="K488" s="81"/>
      <x:c r="L488" s="81"/>
      <x:c r="M488" s="81"/>
      <x:c r="N488" s="81"/>
      <x:c r="O488" s="81"/>
      <x:c r="P488" s="81"/>
      <x:c r="Q488" s="81"/>
      <x:c r="R488" s="81"/>
      <x:c r="S488" s="81"/>
      <x:c r="T488" s="81"/>
      <x:c r="U488" s="81"/>
      <x:c r="V488" s="81"/>
      <x:c r="W488" s="81"/>
      <x:c r="X488" s="81"/>
      <x:c r="Y488" s="81"/>
      <x:c r="Z488" s="81"/>
    </x:row>
    <x:row r="489">
      <x:c r="A489" s="81"/>
      <x:c r="B489" s="81"/>
      <x:c r="C489" s="81"/>
      <x:c r="D489" s="81"/>
      <x:c r="E489" s="81"/>
      <x:c r="F489" s="81"/>
      <x:c r="G489" s="81"/>
      <x:c r="H489" s="81"/>
      <x:c r="I489" s="81"/>
      <x:c r="J489" s="81"/>
      <x:c r="K489" s="81"/>
      <x:c r="L489" s="81"/>
      <x:c r="M489" s="81"/>
      <x:c r="N489" s="81"/>
      <x:c r="O489" s="81"/>
      <x:c r="P489" s="81"/>
      <x:c r="Q489" s="81"/>
      <x:c r="R489" s="81"/>
      <x:c r="S489" s="81"/>
      <x:c r="T489" s="81"/>
      <x:c r="U489" s="81"/>
      <x:c r="V489" s="81"/>
      <x:c r="W489" s="81"/>
      <x:c r="X489" s="81"/>
      <x:c r="Y489" s="81"/>
      <x:c r="Z489" s="81"/>
    </x:row>
    <x:row r="490">
      <x:c r="A490" s="81"/>
      <x:c r="B490" s="81"/>
      <x:c r="C490" s="81"/>
      <x:c r="D490" s="81"/>
      <x:c r="E490" s="81"/>
      <x:c r="F490" s="81"/>
      <x:c r="G490" s="81"/>
      <x:c r="H490" s="81"/>
      <x:c r="I490" s="81"/>
      <x:c r="J490" s="81"/>
      <x:c r="K490" s="81"/>
      <x:c r="L490" s="81"/>
      <x:c r="M490" s="81"/>
      <x:c r="N490" s="81"/>
      <x:c r="O490" s="81"/>
      <x:c r="P490" s="81"/>
      <x:c r="Q490" s="81"/>
      <x:c r="R490" s="81"/>
      <x:c r="S490" s="81"/>
      <x:c r="T490" s="81"/>
      <x:c r="U490" s="81"/>
      <x:c r="V490" s="81"/>
      <x:c r="W490" s="81"/>
      <x:c r="X490" s="81"/>
      <x:c r="Y490" s="81"/>
      <x:c r="Z490" s="81"/>
    </x:row>
    <x:row r="491">
      <x:c r="A491" s="81"/>
      <x:c r="B491" s="81"/>
      <x:c r="C491" s="81"/>
      <x:c r="D491" s="81"/>
      <x:c r="E491" s="81"/>
      <x:c r="F491" s="81"/>
      <x:c r="G491" s="81"/>
      <x:c r="H491" s="81"/>
      <x:c r="I491" s="81"/>
      <x:c r="J491" s="81"/>
      <x:c r="K491" s="81"/>
      <x:c r="L491" s="81"/>
      <x:c r="M491" s="81"/>
      <x:c r="N491" s="81"/>
      <x:c r="O491" s="81"/>
      <x:c r="P491" s="81"/>
      <x:c r="Q491" s="81"/>
      <x:c r="R491" s="81"/>
      <x:c r="S491" s="81"/>
      <x:c r="T491" s="81"/>
      <x:c r="U491" s="81"/>
      <x:c r="V491" s="81"/>
      <x:c r="W491" s="81"/>
      <x:c r="X491" s="81"/>
      <x:c r="Y491" s="81"/>
      <x:c r="Z491" s="81"/>
    </x:row>
    <x:row r="492">
      <x:c r="A492" s="81"/>
      <x:c r="B492" s="81"/>
      <x:c r="C492" s="81"/>
      <x:c r="D492" s="81"/>
      <x:c r="E492" s="81"/>
      <x:c r="F492" s="81"/>
      <x:c r="G492" s="81"/>
      <x:c r="H492" s="81"/>
      <x:c r="I492" s="81"/>
      <x:c r="J492" s="81"/>
      <x:c r="K492" s="81"/>
      <x:c r="L492" s="81"/>
      <x:c r="M492" s="81"/>
      <x:c r="N492" s="81"/>
      <x:c r="O492" s="81"/>
      <x:c r="P492" s="81"/>
      <x:c r="Q492" s="81"/>
      <x:c r="R492" s="81"/>
      <x:c r="S492" s="81"/>
      <x:c r="T492" s="81"/>
      <x:c r="U492" s="81"/>
      <x:c r="V492" s="81"/>
      <x:c r="W492" s="81"/>
      <x:c r="X492" s="81"/>
      <x:c r="Y492" s="81"/>
      <x:c r="Z492" s="81"/>
    </x:row>
    <x:row r="493">
      <x:c r="A493" s="81"/>
      <x:c r="B493" s="81"/>
      <x:c r="C493" s="81"/>
      <x:c r="D493" s="81"/>
      <x:c r="E493" s="81"/>
      <x:c r="F493" s="81"/>
      <x:c r="G493" s="81"/>
      <x:c r="H493" s="81"/>
      <x:c r="I493" s="81"/>
      <x:c r="J493" s="81"/>
      <x:c r="K493" s="81"/>
      <x:c r="L493" s="81"/>
      <x:c r="M493" s="81"/>
      <x:c r="N493" s="81"/>
      <x:c r="O493" s="81"/>
      <x:c r="P493" s="81"/>
      <x:c r="Q493" s="81"/>
      <x:c r="R493" s="81"/>
      <x:c r="S493" s="81"/>
      <x:c r="T493" s="81"/>
      <x:c r="U493" s="81"/>
      <x:c r="V493" s="81"/>
      <x:c r="W493" s="81"/>
      <x:c r="X493" s="81"/>
      <x:c r="Y493" s="81"/>
      <x:c r="Z493" s="81"/>
    </x:row>
    <x:row r="494">
      <x:c r="A494" s="81"/>
      <x:c r="B494" s="81"/>
      <x:c r="C494" s="81"/>
      <x:c r="D494" s="81"/>
      <x:c r="E494" s="81"/>
      <x:c r="F494" s="81"/>
      <x:c r="G494" s="81"/>
      <x:c r="H494" s="81"/>
      <x:c r="I494" s="81"/>
      <x:c r="J494" s="81"/>
      <x:c r="K494" s="81"/>
      <x:c r="L494" s="81"/>
      <x:c r="M494" s="81"/>
      <x:c r="N494" s="81"/>
      <x:c r="O494" s="81"/>
      <x:c r="P494" s="81"/>
      <x:c r="Q494" s="81"/>
      <x:c r="R494" s="81"/>
      <x:c r="S494" s="81"/>
      <x:c r="T494" s="81"/>
      <x:c r="U494" s="81"/>
      <x:c r="V494" s="81"/>
      <x:c r="W494" s="81"/>
      <x:c r="X494" s="81"/>
      <x:c r="Y494" s="81"/>
      <x:c r="Z494" s="81"/>
    </x:row>
    <x:row r="495">
      <x:c r="A495" s="81"/>
      <x:c r="B495" s="81"/>
      <x:c r="C495" s="81"/>
      <x:c r="D495" s="81"/>
      <x:c r="E495" s="81"/>
      <x:c r="F495" s="81"/>
      <x:c r="G495" s="81"/>
      <x:c r="H495" s="81"/>
      <x:c r="I495" s="81"/>
      <x:c r="J495" s="81"/>
      <x:c r="K495" s="81"/>
      <x:c r="L495" s="81"/>
      <x:c r="M495" s="81"/>
      <x:c r="N495" s="81"/>
      <x:c r="O495" s="81"/>
      <x:c r="P495" s="81"/>
      <x:c r="Q495" s="81"/>
      <x:c r="R495" s="81"/>
      <x:c r="S495" s="81"/>
      <x:c r="T495" s="81"/>
      <x:c r="U495" s="81"/>
      <x:c r="V495" s="81"/>
      <x:c r="W495" s="81"/>
      <x:c r="X495" s="81"/>
      <x:c r="Y495" s="81"/>
      <x:c r="Z495" s="81"/>
    </x:row>
    <x:row r="496">
      <x:c r="A496" s="81"/>
      <x:c r="B496" s="81"/>
      <x:c r="C496" s="81"/>
      <x:c r="D496" s="81"/>
      <x:c r="E496" s="81"/>
      <x:c r="F496" s="81"/>
      <x:c r="G496" s="81"/>
      <x:c r="H496" s="81"/>
      <x:c r="I496" s="81"/>
      <x:c r="J496" s="81"/>
      <x:c r="K496" s="81"/>
      <x:c r="L496" s="81"/>
      <x:c r="M496" s="81"/>
      <x:c r="N496" s="81"/>
      <x:c r="O496" s="81"/>
      <x:c r="P496" s="81"/>
      <x:c r="Q496" s="81"/>
      <x:c r="R496" s="81"/>
      <x:c r="S496" s="81"/>
      <x:c r="T496" s="81"/>
      <x:c r="U496" s="81"/>
      <x:c r="V496" s="81"/>
      <x:c r="W496" s="81"/>
      <x:c r="X496" s="81"/>
      <x:c r="Y496" s="81"/>
      <x:c r="Z496" s="81"/>
    </x:row>
    <x:row r="497">
      <x:c r="A497" s="81"/>
      <x:c r="B497" s="81"/>
      <x:c r="C497" s="81"/>
      <x:c r="D497" s="81"/>
      <x:c r="E497" s="81"/>
      <x:c r="F497" s="81"/>
      <x:c r="G497" s="81"/>
      <x:c r="H497" s="81"/>
      <x:c r="I497" s="81"/>
      <x:c r="J497" s="81"/>
      <x:c r="K497" s="81"/>
      <x:c r="L497" s="81"/>
      <x:c r="M497" s="81"/>
      <x:c r="N497" s="81"/>
      <x:c r="O497" s="81"/>
      <x:c r="P497" s="81"/>
      <x:c r="Q497" s="81"/>
      <x:c r="R497" s="81"/>
      <x:c r="S497" s="81"/>
      <x:c r="T497" s="81"/>
      <x:c r="U497" s="81"/>
      <x:c r="V497" s="81"/>
      <x:c r="W497" s="81"/>
      <x:c r="X497" s="81"/>
      <x:c r="Y497" s="81"/>
      <x:c r="Z497" s="81"/>
    </x:row>
    <x:row r="498">
      <x:c r="A498" s="81"/>
      <x:c r="B498" s="81"/>
      <x:c r="C498" s="81"/>
      <x:c r="D498" s="81"/>
      <x:c r="E498" s="81"/>
      <x:c r="F498" s="81"/>
      <x:c r="G498" s="81"/>
      <x:c r="H498" s="81"/>
      <x:c r="I498" s="81"/>
      <x:c r="J498" s="81"/>
      <x:c r="K498" s="81"/>
      <x:c r="L498" s="81"/>
      <x:c r="M498" s="81"/>
      <x:c r="N498" s="81"/>
      <x:c r="O498" s="81"/>
      <x:c r="P498" s="81"/>
      <x:c r="Q498" s="81"/>
      <x:c r="R498" s="81"/>
      <x:c r="S498" s="81"/>
      <x:c r="T498" s="81"/>
      <x:c r="U498" s="81"/>
      <x:c r="V498" s="81"/>
      <x:c r="W498" s="81"/>
      <x:c r="X498" s="81"/>
      <x:c r="Y498" s="81"/>
      <x:c r="Z498" s="81"/>
    </x:row>
    <x:row r="499">
      <x:c r="A499" s="81"/>
      <x:c r="B499" s="81"/>
      <x:c r="C499" s="81"/>
      <x:c r="D499" s="81"/>
      <x:c r="E499" s="81"/>
      <x:c r="F499" s="81"/>
      <x:c r="G499" s="81"/>
      <x:c r="H499" s="81"/>
      <x:c r="I499" s="81"/>
      <x:c r="J499" s="81"/>
      <x:c r="K499" s="81"/>
      <x:c r="L499" s="81"/>
      <x:c r="M499" s="81"/>
      <x:c r="N499" s="81"/>
      <x:c r="O499" s="81"/>
      <x:c r="P499" s="81"/>
      <x:c r="Q499" s="81"/>
      <x:c r="R499" s="81"/>
      <x:c r="S499" s="81"/>
      <x:c r="T499" s="81"/>
      <x:c r="U499" s="81"/>
      <x:c r="V499" s="81"/>
      <x:c r="W499" s="81"/>
      <x:c r="X499" s="81"/>
      <x:c r="Y499" s="81"/>
      <x:c r="Z499" s="81"/>
    </x:row>
    <x:row r="500">
      <x:c r="A500" s="81"/>
      <x:c r="B500" s="81"/>
      <x:c r="C500" s="81"/>
      <x:c r="D500" s="81"/>
      <x:c r="E500" s="81"/>
      <x:c r="F500" s="81"/>
      <x:c r="G500" s="81"/>
      <x:c r="H500" s="81"/>
      <x:c r="I500" s="81"/>
      <x:c r="J500" s="81"/>
      <x:c r="K500" s="81"/>
      <x:c r="L500" s="81"/>
      <x:c r="M500" s="81"/>
      <x:c r="N500" s="81"/>
      <x:c r="O500" s="81"/>
      <x:c r="P500" s="81"/>
      <x:c r="Q500" s="81"/>
      <x:c r="R500" s="81"/>
      <x:c r="S500" s="81"/>
      <x:c r="T500" s="81"/>
      <x:c r="U500" s="81"/>
      <x:c r="V500" s="81"/>
      <x:c r="W500" s="81"/>
      <x:c r="X500" s="81"/>
      <x:c r="Y500" s="81"/>
      <x:c r="Z500" s="81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3.889999389648438" hidden="0" customWidth="1"/>
    <x:col min="3" max="3" width="10.779999732971191" hidden="0" customWidth="1"/>
    <x:col min="4" max="4" width="6.21999979019165" hidden="0" customWidth="1"/>
    <x:col min="5" max="5" width="13.5600004196167" hidden="0" customWidth="1"/>
    <x:col min="6" max="6" width="32.779998779296875" hidden="0" customWidth="1"/>
    <x:col min="7" max="7" width="7.78000020980835" hidden="0" customWidth="1"/>
  </x:cols>
  <x:sheetData>
    <x:row r="1">
      <x:c r="A1" s="86" t="str">
        <x:v>Risk_Type</x:v>
      </x:c>
      <x:c r="B1" s="86" t="str">
        <x:v>Trigger</x:v>
      </x:c>
      <x:c r="C1" s="86" t="str">
        <x:v>Current_Score</x:v>
      </x:c>
      <x:c r="D1" s="86" t="str">
        <x:v>Severity</x:v>
      </x:c>
      <x:c r="E1" s="86" t="str">
        <x:v>Owner</x:v>
      </x:c>
      <x:c r="F1" s="86" t="str">
        <x:v>Recommended_Action</x:v>
      </x:c>
      <x:c r="G1" s="86" t="str">
        <x:v>Source_ID</x:v>
      </x:c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  <x:c r="T1" s="88"/>
      <x:c r="U1" s="88"/>
      <x:c r="V1" s="88"/>
      <x:c r="W1" s="88"/>
      <x:c r="X1" s="88"/>
      <x:c r="Y1" s="88"/>
      <x:c r="Z1" s="88"/>
    </x:row>
    <x:row r="2">
      <x:c r="A2" s="81" t="str">
        <x:v>Market Risk</x:v>
      </x:c>
      <x:c r="B2" s="81" t="str">
        <x:v>VNINDEX drawdown &gt; 12% in 3m</x:v>
      </x:c>
      <x:c r="C2" s="81" t="n">
        <x:v>65</x:v>
      </x:c>
      <x:c r="D2" s="81" t="str">
        <x:v>High</x:v>
      </x:c>
      <x:c r="E2" s="81" t="str">
        <x:v>CIO</x:v>
      </x:c>
      <x:c r="F2" s="81" t="str">
        <x:v>Reduce beta / review concentration</x:v>
      </x:c>
      <x:c r="G2" s="81" t="str">
        <x:v>S004</x:v>
      </x:c>
      <x:c r="H2" s="81"/>
      <x:c r="I2" s="81"/>
      <x:c r="J2" s="81"/>
      <x:c r="K2" s="81"/>
      <x:c r="L2" s="81"/>
      <x:c r="M2" s="81"/>
      <x:c r="N2" s="81"/>
      <x:c r="O2" s="81"/>
      <x:c r="P2" s="81"/>
      <x:c r="Q2" s="81"/>
      <x:c r="R2" s="81"/>
      <x:c r="S2" s="81"/>
      <x:c r="T2" s="81"/>
      <x:c r="U2" s="81"/>
      <x:c r="V2" s="81"/>
      <x:c r="W2" s="81"/>
      <x:c r="X2" s="81"/>
      <x:c r="Y2" s="81"/>
      <x:c r="Z2" s="81"/>
    </x:row>
    <x:row r="3">
      <x:c r="A3" s="81" t="str">
        <x:v>Redemption Risk</x:v>
      </x:c>
      <x:c r="B3" s="81" t="str">
        <x:v>3m cumulative net flow &lt; -5% AUM</x:v>
      </x:c>
      <x:c r="C3" s="81" t="n">
        <x:v>48</x:v>
      </x:c>
      <x:c r="D3" s="81" t="str">
        <x:v>Medium</x:v>
      </x:c>
      <x:c r="E3" s="81" t="str">
        <x:v>Head of Distribution</x:v>
      </x:c>
      <x:c r="F3" s="81" t="str">
        <x:v>Liquidity buffer + client communication</x:v>
      </x:c>
      <x:c r="G3" s="81" t="str">
        <x:v>S004</x:v>
      </x:c>
      <x:c r="H3" s="81"/>
      <x:c r="I3" s="81"/>
      <x:c r="J3" s="81"/>
      <x:c r="K3" s="81"/>
      <x:c r="L3" s="81"/>
      <x:c r="M3" s="81"/>
      <x:c r="N3" s="81"/>
      <x:c r="O3" s="81"/>
      <x:c r="P3" s="81"/>
      <x:c r="Q3" s="81"/>
      <x:c r="R3" s="81"/>
      <x:c r="S3" s="81"/>
      <x:c r="T3" s="81"/>
      <x:c r="U3" s="81"/>
      <x:c r="V3" s="81"/>
      <x:c r="W3" s="81"/>
      <x:c r="X3" s="81"/>
      <x:c r="Y3" s="81"/>
      <x:c r="Z3" s="81"/>
    </x:row>
    <x:row r="4">
      <x:c r="A4" s="81" t="str">
        <x:v>Performance Risk</x:v>
      </x:c>
      <x:c r="B4" s="81" t="str">
        <x:v>3m alpha &lt; -3%</x:v>
      </x:c>
      <x:c r="C4" s="81" t="n">
        <x:v>57</x:v>
      </x:c>
      <x:c r="D4" s="81" t="str">
        <x:v>Medium</x:v>
      </x:c>
      <x:c r="E4" s="81" t="str">
        <x:v>CIO</x:v>
      </x:c>
      <x:c r="F4" s="81" t="str">
        <x:v>Attribution review / active weight challenge</x:v>
      </x:c>
      <x:c r="G4" s="81" t="str">
        <x:v>S004</x:v>
      </x:c>
      <x:c r="H4" s="81"/>
      <x:c r="I4" s="81"/>
      <x:c r="J4" s="81"/>
      <x:c r="K4" s="81"/>
      <x:c r="L4" s="81"/>
      <x:c r="M4" s="81"/>
      <x:c r="N4" s="81"/>
      <x:c r="O4" s="81"/>
      <x:c r="P4" s="81"/>
      <x:c r="Q4" s="81"/>
      <x:c r="R4" s="81"/>
      <x:c r="S4" s="81"/>
      <x:c r="T4" s="81"/>
      <x:c r="U4" s="81"/>
      <x:c r="V4" s="81"/>
      <x:c r="W4" s="81"/>
      <x:c r="X4" s="81"/>
      <x:c r="Y4" s="81"/>
      <x:c r="Z4" s="81"/>
    </x:row>
    <x:row r="5">
      <x:c r="A5" s="81" t="str">
        <x:v>Concentration Risk</x:v>
      </x:c>
      <x:c r="B5" s="81" t="str">
        <x:v>Top 10 &gt; 55%</x:v>
      </x:c>
      <x:c r="C5" s="81" t="n">
        <x:v>42</x:v>
      </x:c>
      <x:c r="D5" s="81" t="str">
        <x:v>Medium</x:v>
      </x:c>
      <x:c r="E5" s="81" t="str">
        <x:v>Risk</x:v>
      </x:c>
      <x:c r="F5" s="81" t="str">
        <x:v>Position limit review</x:v>
      </x:c>
      <x:c r="G5" s="81" t="str">
        <x:v>S004</x:v>
      </x:c>
      <x:c r="H5" s="81"/>
      <x:c r="I5" s="81"/>
      <x:c r="J5" s="81"/>
      <x:c r="K5" s="81"/>
      <x:c r="L5" s="81"/>
      <x:c r="M5" s="81"/>
      <x:c r="N5" s="81"/>
      <x:c r="O5" s="81"/>
      <x:c r="P5" s="81"/>
      <x:c r="Q5" s="81"/>
      <x:c r="R5" s="81"/>
      <x:c r="S5" s="81"/>
      <x:c r="T5" s="81"/>
      <x:c r="U5" s="81"/>
      <x:c r="V5" s="81"/>
      <x:c r="W5" s="81"/>
      <x:c r="X5" s="81"/>
      <x:c r="Y5" s="81"/>
      <x:c r="Z5" s="81"/>
    </x:row>
    <x:row r="6">
      <x:c r="A6" s="81" t="str">
        <x:v>Governance/M&amp;A</x:v>
      </x:c>
      <x:c r="B6" s="81" t="str">
        <x:v>M&amp;A signal score &gt; 50</x:v>
      </x:c>
      <x:c r="C6" s="81" t="n">
        <x:v>61</x:v>
      </x:c>
      <x:c r="D6" s="81" t="str">
        <x:v>High</x:v>
      </x:c>
      <x:c r="E6" s="81" t="str">
        <x:v>CEO/Board</x:v>
      </x:c>
      <x:c r="F6" s="81" t="str">
        <x:v>Validate ownership changes and buyer scenarios</x:v>
      </x:c>
      <x:c r="G6" s="81" t="str">
        <x:v>S004</x:v>
      </x:c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</x:row>
    <x:row r="7">
      <x:c r="A7" s="81" t="str">
        <x:v>Financial Risk</x:v>
      </x:c>
      <x:c r="B7" s="81" t="str">
        <x:v>Revenue/AUM compression &gt; 15bp</x:v>
      </x:c>
      <x:c r="C7" s="81" t="n">
        <x:v>35</x:v>
      </x:c>
      <x:c r="D7" s="81" t="str">
        <x:v>Low</x:v>
      </x:c>
      <x:c r="E7" s="81" t="str">
        <x:v>CFO</x:v>
      </x:c>
      <x:c r="F7" s="81" t="str">
        <x:v>Cost discipline / product mix</x:v>
      </x:c>
      <x:c r="G7" s="81" t="str">
        <x:v>S004</x:v>
      </x:c>
      <x:c r="H7" s="81"/>
      <x:c r="I7" s="81"/>
      <x:c r="J7" s="81"/>
      <x:c r="K7" s="81"/>
      <x:c r="L7" s="81"/>
      <x:c r="M7" s="81"/>
      <x:c r="N7" s="81"/>
      <x:c r="O7" s="81"/>
      <x:c r="P7" s="81"/>
      <x:c r="Q7" s="81"/>
      <x:c r="R7" s="81"/>
      <x:c r="S7" s="81"/>
      <x:c r="T7" s="81"/>
      <x:c r="U7" s="81"/>
      <x:c r="V7" s="81"/>
      <x:c r="W7" s="81"/>
      <x:c r="X7" s="81"/>
      <x:c r="Y7" s="81"/>
      <x:c r="Z7" s="81"/>
    </x:row>
    <x:row r="8">
      <x:c r="A8" s="81"/>
      <x:c r="B8" s="81"/>
      <x:c r="C8" s="81"/>
      <x:c r="D8" s="81"/>
      <x:c r="E8" s="81"/>
      <x:c r="F8" s="81"/>
      <x:c r="G8" s="81"/>
      <x:c r="H8" s="81"/>
      <x:c r="I8" s="81"/>
      <x:c r="J8" s="81"/>
      <x:c r="K8" s="81"/>
      <x:c r="L8" s="81"/>
      <x:c r="M8" s="81"/>
      <x:c r="N8" s="81"/>
      <x:c r="O8" s="81"/>
      <x:c r="P8" s="81"/>
      <x:c r="Q8" s="81"/>
      <x:c r="R8" s="81"/>
      <x:c r="S8" s="81"/>
      <x:c r="T8" s="81"/>
      <x:c r="U8" s="81"/>
      <x:c r="V8" s="81"/>
      <x:c r="W8" s="81"/>
      <x:c r="X8" s="81"/>
      <x:c r="Y8" s="81"/>
      <x:c r="Z8" s="81"/>
    </x:row>
    <x:row r="9">
      <x:c r="A9" s="81"/>
      <x:c r="B9" s="81"/>
      <x:c r="C9" s="81"/>
      <x:c r="D9" s="81"/>
      <x:c r="E9" s="81"/>
      <x:c r="F9" s="81"/>
      <x:c r="G9" s="81"/>
      <x:c r="H9" s="81"/>
      <x:c r="I9" s="81"/>
      <x:c r="J9" s="81"/>
      <x:c r="K9" s="81"/>
      <x:c r="L9" s="81"/>
      <x:c r="M9" s="81"/>
      <x:c r="N9" s="81"/>
      <x:c r="O9" s="81"/>
      <x:c r="P9" s="81"/>
      <x:c r="Q9" s="81"/>
      <x:c r="R9" s="81"/>
      <x:c r="S9" s="81"/>
      <x:c r="T9" s="81"/>
      <x:c r="U9" s="81"/>
      <x:c r="V9" s="81"/>
      <x:c r="W9" s="81"/>
      <x:c r="X9" s="81"/>
      <x:c r="Y9" s="81"/>
      <x:c r="Z9" s="81"/>
    </x:row>
    <x:row r="10">
      <x:c r="A10" s="81"/>
      <x:c r="B10" s="81"/>
      <x:c r="C10" s="81"/>
      <x:c r="D10" s="81"/>
      <x:c r="E10" s="81"/>
      <x:c r="F10" s="81"/>
      <x:c r="G10" s="81"/>
      <x:c r="H10" s="81"/>
      <x:c r="I10" s="81"/>
      <x:c r="J10" s="81"/>
      <x:c r="K10" s="81"/>
      <x:c r="L10" s="81"/>
      <x:c r="M10" s="81"/>
      <x:c r="N10" s="81"/>
      <x:c r="O10" s="81"/>
      <x:c r="P10" s="81"/>
      <x:c r="Q10" s="81"/>
      <x:c r="R10" s="81"/>
      <x:c r="S10" s="81"/>
      <x:c r="T10" s="81"/>
      <x:c r="U10" s="81"/>
      <x:c r="V10" s="81"/>
      <x:c r="W10" s="81"/>
      <x:c r="X10" s="81"/>
      <x:c r="Y10" s="81"/>
      <x:c r="Z10" s="81"/>
    </x:row>
    <x:row r="11">
      <x:c r="A11" s="81"/>
      <x:c r="B11" s="81"/>
      <x:c r="C11" s="81"/>
      <x:c r="D11" s="81"/>
      <x:c r="E11" s="81"/>
      <x:c r="F11" s="81"/>
      <x:c r="G11" s="81"/>
      <x:c r="H11" s="81"/>
      <x:c r="I11" s="81"/>
      <x:c r="J11" s="81"/>
      <x:c r="K11" s="81"/>
      <x:c r="L11" s="81"/>
      <x:c r="M11" s="81"/>
      <x:c r="N11" s="81"/>
      <x:c r="O11" s="81"/>
      <x:c r="P11" s="81"/>
      <x:c r="Q11" s="81"/>
      <x:c r="R11" s="81"/>
      <x:c r="S11" s="81"/>
      <x:c r="T11" s="81"/>
      <x:c r="U11" s="81"/>
      <x:c r="V11" s="81"/>
      <x:c r="W11" s="81"/>
      <x:c r="X11" s="81"/>
      <x:c r="Y11" s="81"/>
      <x:c r="Z11" s="81"/>
    </x:row>
    <x:row r="12">
      <x:c r="A12" s="81"/>
      <x:c r="B12" s="81"/>
      <x:c r="C12" s="81"/>
      <x:c r="D12" s="81"/>
      <x:c r="E12" s="81"/>
      <x:c r="F12" s="81"/>
      <x:c r="G12" s="81"/>
      <x:c r="H12" s="81"/>
      <x:c r="I12" s="81"/>
      <x:c r="J12" s="81"/>
      <x:c r="K12" s="81"/>
      <x:c r="L12" s="81"/>
      <x:c r="M12" s="81"/>
      <x:c r="N12" s="81"/>
      <x:c r="O12" s="81"/>
      <x:c r="P12" s="81"/>
      <x:c r="Q12" s="81"/>
      <x:c r="R12" s="81"/>
      <x:c r="S12" s="81"/>
      <x:c r="T12" s="81"/>
      <x:c r="U12" s="81"/>
      <x:c r="V12" s="81"/>
      <x:c r="W12" s="81"/>
      <x:c r="X12" s="81"/>
      <x:c r="Y12" s="81"/>
      <x:c r="Z12" s="81"/>
    </x:row>
    <x:row r="13">
      <x:c r="A13" s="81"/>
      <x:c r="B13" s="81"/>
      <x:c r="C13" s="81"/>
      <x:c r="D13" s="81"/>
      <x:c r="E13" s="81"/>
      <x:c r="F13" s="81"/>
      <x:c r="G13" s="81"/>
      <x:c r="H13" s="81"/>
      <x:c r="I13" s="81"/>
      <x:c r="J13" s="81"/>
      <x:c r="K13" s="81"/>
      <x:c r="L13" s="81"/>
      <x:c r="M13" s="81"/>
      <x:c r="N13" s="81"/>
      <x:c r="O13" s="81"/>
      <x:c r="P13" s="81"/>
      <x:c r="Q13" s="81"/>
      <x:c r="R13" s="81"/>
      <x:c r="S13" s="81"/>
      <x:c r="T13" s="81"/>
      <x:c r="U13" s="81"/>
      <x:c r="V13" s="81"/>
      <x:c r="W13" s="81"/>
      <x:c r="X13" s="81"/>
      <x:c r="Y13" s="81"/>
      <x:c r="Z13" s="81"/>
    </x:row>
    <x:row r="14">
      <x:c r="A14" s="81"/>
      <x:c r="B14" s="81"/>
      <x:c r="C14" s="81"/>
      <x:c r="D14" s="81"/>
      <x:c r="E14" s="81"/>
      <x:c r="F14" s="81"/>
      <x:c r="G14" s="81"/>
      <x:c r="H14" s="81"/>
      <x:c r="I14" s="81"/>
      <x:c r="J14" s="81"/>
      <x:c r="K14" s="81"/>
      <x:c r="L14" s="81"/>
      <x:c r="M14" s="81"/>
      <x:c r="N14" s="81"/>
      <x:c r="O14" s="81"/>
      <x:c r="P14" s="81"/>
      <x:c r="Q14" s="81"/>
      <x:c r="R14" s="81"/>
      <x:c r="S14" s="81"/>
      <x:c r="T14" s="81"/>
      <x:c r="U14" s="81"/>
      <x:c r="V14" s="81"/>
      <x:c r="W14" s="81"/>
      <x:c r="X14" s="81"/>
      <x:c r="Y14" s="81"/>
      <x:c r="Z14" s="81"/>
    </x:row>
    <x:row r="15">
      <x:c r="A15" s="81"/>
      <x:c r="B15" s="81"/>
      <x:c r="C15" s="81"/>
      <x:c r="D15" s="81"/>
      <x:c r="E15" s="81"/>
      <x:c r="F15" s="81"/>
      <x:c r="G15" s="81"/>
      <x:c r="H15" s="81"/>
      <x:c r="I15" s="81"/>
      <x:c r="J15" s="81"/>
      <x:c r="K15" s="81"/>
      <x:c r="L15" s="81"/>
      <x:c r="M15" s="81"/>
      <x:c r="N15" s="81"/>
      <x:c r="O15" s="81"/>
      <x:c r="P15" s="81"/>
      <x:c r="Q15" s="81"/>
      <x:c r="R15" s="81"/>
      <x:c r="S15" s="81"/>
      <x:c r="T15" s="81"/>
      <x:c r="U15" s="81"/>
      <x:c r="V15" s="81"/>
      <x:c r="W15" s="81"/>
      <x:c r="X15" s="81"/>
      <x:c r="Y15" s="81"/>
      <x:c r="Z15" s="81"/>
    </x:row>
    <x:row r="16">
      <x:c r="A16" s="81"/>
      <x:c r="B16" s="81"/>
      <x:c r="C16" s="81"/>
      <x:c r="D16" s="81"/>
      <x:c r="E16" s="81"/>
      <x:c r="F16" s="81"/>
      <x:c r="G16" s="81"/>
      <x:c r="H16" s="81"/>
      <x:c r="I16" s="81"/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81"/>
      <x:c r="W16" s="81"/>
      <x:c r="X16" s="81"/>
      <x:c r="Y16" s="81"/>
      <x:c r="Z16" s="81"/>
    </x:row>
    <x:row r="17">
      <x:c r="A17" s="81"/>
      <x:c r="B17" s="81"/>
      <x:c r="C17" s="81"/>
      <x:c r="D17" s="81"/>
      <x:c r="E17" s="81"/>
      <x:c r="F17" s="81"/>
      <x:c r="G17" s="81"/>
      <x:c r="H17" s="81"/>
      <x:c r="I17" s="81"/>
      <x:c r="J17" s="81"/>
      <x:c r="K17" s="81"/>
      <x:c r="L17" s="81"/>
      <x:c r="M17" s="81"/>
      <x:c r="N17" s="81"/>
      <x:c r="O17" s="81"/>
      <x:c r="P17" s="81"/>
      <x:c r="Q17" s="81"/>
      <x:c r="R17" s="81"/>
      <x:c r="S17" s="81"/>
      <x:c r="T17" s="81"/>
      <x:c r="U17" s="81"/>
      <x:c r="V17" s="81"/>
      <x:c r="W17" s="81"/>
      <x:c r="X17" s="81"/>
      <x:c r="Y17" s="81"/>
      <x:c r="Z17" s="81"/>
    </x:row>
    <x:row r="18">
      <x:c r="A18" s="81"/>
      <x:c r="B18" s="81"/>
      <x:c r="C18" s="81"/>
      <x:c r="D18" s="81"/>
      <x:c r="E18" s="81"/>
      <x:c r="F18" s="81"/>
      <x:c r="G18" s="81"/>
      <x:c r="H18" s="81"/>
      <x:c r="I18" s="81"/>
      <x:c r="J18" s="81"/>
      <x:c r="K18" s="81"/>
      <x:c r="L18" s="81"/>
      <x:c r="M18" s="81"/>
      <x:c r="N18" s="81"/>
      <x:c r="O18" s="81"/>
      <x:c r="P18" s="81"/>
      <x:c r="Q18" s="81"/>
      <x:c r="R18" s="81"/>
      <x:c r="S18" s="81"/>
      <x:c r="T18" s="81"/>
      <x:c r="U18" s="81"/>
      <x:c r="V18" s="81"/>
      <x:c r="W18" s="81"/>
      <x:c r="X18" s="81"/>
      <x:c r="Y18" s="81"/>
      <x:c r="Z18" s="81"/>
    </x:row>
    <x:row r="19">
      <x:c r="A19" s="81"/>
      <x:c r="B19" s="81"/>
      <x:c r="C19" s="81"/>
      <x:c r="D19" s="81"/>
      <x:c r="E19" s="81"/>
      <x:c r="F19" s="81"/>
      <x:c r="G19" s="81"/>
      <x:c r="H19" s="81"/>
      <x:c r="I19" s="81"/>
      <x:c r="J19" s="81"/>
      <x:c r="K19" s="81"/>
      <x:c r="L19" s="81"/>
      <x:c r="M19" s="81"/>
      <x:c r="N19" s="81"/>
      <x:c r="O19" s="81"/>
      <x:c r="P19" s="81"/>
      <x:c r="Q19" s="81"/>
      <x:c r="R19" s="81"/>
      <x:c r="S19" s="81"/>
      <x:c r="T19" s="81"/>
      <x:c r="U19" s="81"/>
      <x:c r="V19" s="81"/>
      <x:c r="W19" s="81"/>
      <x:c r="X19" s="81"/>
      <x:c r="Y19" s="81"/>
      <x:c r="Z19" s="81"/>
    </x:row>
    <x:row r="20">
      <x:c r="A20" s="81"/>
      <x:c r="B20" s="81"/>
      <x:c r="C20" s="81"/>
      <x:c r="D20" s="81"/>
      <x:c r="E20" s="81"/>
      <x:c r="F20" s="81"/>
      <x:c r="G20" s="81"/>
      <x:c r="H20" s="81"/>
      <x:c r="I20" s="81"/>
      <x:c r="J20" s="81"/>
      <x:c r="K20" s="81"/>
      <x:c r="L20" s="81"/>
      <x:c r="M20" s="81"/>
      <x:c r="N20" s="81"/>
      <x:c r="O20" s="81"/>
      <x:c r="P20" s="81"/>
      <x:c r="Q20" s="81"/>
      <x:c r="R20" s="81"/>
      <x:c r="S20" s="81"/>
      <x:c r="T20" s="81"/>
      <x:c r="U20" s="81"/>
      <x:c r="V20" s="81"/>
      <x:c r="W20" s="81"/>
      <x:c r="X20" s="81"/>
      <x:c r="Y20" s="81"/>
      <x:c r="Z20" s="81"/>
    </x:row>
    <x:row r="21">
      <x:c r="A21" s="81"/>
      <x:c r="B21" s="81"/>
      <x:c r="C21" s="81"/>
      <x:c r="D21" s="81"/>
      <x:c r="E21" s="81"/>
      <x:c r="F21" s="81"/>
      <x:c r="G21" s="81"/>
      <x:c r="H21" s="81"/>
      <x:c r="I21" s="81"/>
      <x:c r="J21" s="81"/>
      <x:c r="K21" s="81"/>
      <x:c r="L21" s="81"/>
      <x:c r="M21" s="81"/>
      <x:c r="N21" s="81"/>
      <x:c r="O21" s="81"/>
      <x:c r="P21" s="81"/>
      <x:c r="Q21" s="81"/>
      <x:c r="R21" s="81"/>
      <x:c r="S21" s="81"/>
      <x:c r="T21" s="81"/>
      <x:c r="U21" s="81"/>
      <x:c r="V21" s="81"/>
      <x:c r="W21" s="81"/>
      <x:c r="X21" s="81"/>
      <x:c r="Y21" s="81"/>
      <x:c r="Z21" s="81"/>
    </x:row>
    <x:row r="22">
      <x:c r="A22" s="81"/>
      <x:c r="B22" s="81"/>
      <x:c r="C22" s="81"/>
      <x:c r="D22" s="81"/>
      <x:c r="E22" s="81"/>
      <x:c r="F22" s="81"/>
      <x:c r="G22" s="81"/>
      <x:c r="H22" s="81"/>
      <x:c r="I22" s="81"/>
      <x:c r="J22" s="81"/>
      <x:c r="K22" s="81"/>
      <x:c r="L22" s="81"/>
      <x:c r="M22" s="81"/>
      <x:c r="N22" s="81"/>
      <x:c r="O22" s="81"/>
      <x:c r="P22" s="81"/>
      <x:c r="Q22" s="81"/>
      <x:c r="R22" s="81"/>
      <x:c r="S22" s="81"/>
      <x:c r="T22" s="81"/>
      <x:c r="U22" s="81"/>
      <x:c r="V22" s="81"/>
      <x:c r="W22" s="81"/>
      <x:c r="X22" s="81"/>
      <x:c r="Y22" s="81"/>
      <x:c r="Z22" s="81"/>
    </x:row>
    <x:row r="23">
      <x:c r="A23" s="81"/>
      <x:c r="B23" s="81"/>
      <x:c r="C23" s="81"/>
      <x:c r="D23" s="81"/>
      <x:c r="E23" s="81"/>
      <x:c r="F23" s="81"/>
      <x:c r="G23" s="81"/>
      <x:c r="H23" s="81"/>
      <x:c r="I23" s="81"/>
      <x:c r="J23" s="81"/>
      <x:c r="K23" s="81"/>
      <x:c r="L23" s="81"/>
      <x:c r="M23" s="81"/>
      <x:c r="N23" s="81"/>
      <x:c r="O23" s="81"/>
      <x:c r="P23" s="81"/>
      <x:c r="Q23" s="81"/>
      <x:c r="R23" s="81"/>
      <x:c r="S23" s="81"/>
      <x:c r="T23" s="81"/>
      <x:c r="U23" s="81"/>
      <x:c r="V23" s="81"/>
      <x:c r="W23" s="81"/>
      <x:c r="X23" s="81"/>
      <x:c r="Y23" s="81"/>
      <x:c r="Z23" s="81"/>
    </x:row>
    <x:row r="24">
      <x:c r="A24" s="81"/>
      <x:c r="B24" s="81"/>
      <x:c r="C24" s="81"/>
      <x:c r="D24" s="81"/>
      <x:c r="E24" s="81"/>
      <x:c r="F24" s="81"/>
      <x:c r="G24" s="81"/>
      <x:c r="H24" s="81"/>
      <x:c r="I24" s="81"/>
      <x:c r="J24" s="81"/>
      <x:c r="K24" s="81"/>
      <x:c r="L24" s="81"/>
      <x:c r="M24" s="81"/>
      <x:c r="N24" s="81"/>
      <x:c r="O24" s="81"/>
      <x:c r="P24" s="81"/>
      <x:c r="Q24" s="81"/>
      <x:c r="R24" s="81"/>
      <x:c r="S24" s="81"/>
      <x:c r="T24" s="81"/>
      <x:c r="U24" s="81"/>
      <x:c r="V24" s="81"/>
      <x:c r="W24" s="81"/>
      <x:c r="X24" s="81"/>
      <x:c r="Y24" s="81"/>
      <x:c r="Z24" s="81"/>
    </x:row>
    <x:row r="25">
      <x:c r="A25" s="81"/>
      <x:c r="B25" s="81"/>
      <x:c r="C25" s="81"/>
      <x:c r="D25" s="81"/>
      <x:c r="E25" s="81"/>
      <x:c r="F25" s="81"/>
      <x:c r="G25" s="81"/>
      <x:c r="H25" s="81"/>
      <x:c r="I25" s="81"/>
      <x:c r="J25" s="81"/>
      <x:c r="K25" s="81"/>
      <x:c r="L25" s="81"/>
      <x:c r="M25" s="81"/>
      <x:c r="N25" s="81"/>
      <x:c r="O25" s="81"/>
      <x:c r="P25" s="81"/>
      <x:c r="Q25" s="81"/>
      <x:c r="R25" s="81"/>
      <x:c r="S25" s="81"/>
      <x:c r="T25" s="81"/>
      <x:c r="U25" s="81"/>
      <x:c r="V25" s="81"/>
      <x:c r="W25" s="81"/>
      <x:c r="X25" s="81"/>
      <x:c r="Y25" s="81"/>
      <x:c r="Z25" s="81"/>
    </x:row>
    <x:row r="26">
      <x:c r="A26" s="81"/>
      <x:c r="B26" s="81"/>
      <x:c r="C26" s="81"/>
      <x:c r="D26" s="81"/>
      <x:c r="E26" s="81"/>
      <x:c r="F26" s="81"/>
      <x:c r="G26" s="81"/>
      <x:c r="H26" s="81"/>
      <x:c r="I26" s="81"/>
      <x:c r="J26" s="81"/>
      <x:c r="K26" s="81"/>
      <x:c r="L26" s="81"/>
      <x:c r="M26" s="81"/>
      <x:c r="N26" s="81"/>
      <x:c r="O26" s="81"/>
      <x:c r="P26" s="81"/>
      <x:c r="Q26" s="81"/>
      <x:c r="R26" s="81"/>
      <x:c r="S26" s="81"/>
      <x:c r="T26" s="81"/>
      <x:c r="U26" s="81"/>
      <x:c r="V26" s="81"/>
      <x:c r="W26" s="81"/>
      <x:c r="X26" s="81"/>
      <x:c r="Y26" s="81"/>
      <x:c r="Z26" s="81"/>
    </x:row>
    <x:row r="27">
      <x:c r="A27" s="81"/>
      <x:c r="B27" s="81"/>
      <x:c r="C27" s="81"/>
      <x:c r="D27" s="81"/>
      <x:c r="E27" s="81"/>
      <x:c r="F27" s="81"/>
      <x:c r="G27" s="81"/>
      <x:c r="H27" s="81"/>
      <x:c r="I27" s="81"/>
      <x:c r="J27" s="81"/>
      <x:c r="K27" s="81"/>
      <x:c r="L27" s="81"/>
      <x:c r="M27" s="81"/>
      <x:c r="N27" s="81"/>
      <x:c r="O27" s="81"/>
      <x:c r="P27" s="81"/>
      <x:c r="Q27" s="81"/>
      <x:c r="R27" s="81"/>
      <x:c r="S27" s="81"/>
      <x:c r="T27" s="81"/>
      <x:c r="U27" s="81"/>
      <x:c r="V27" s="81"/>
      <x:c r="W27" s="81"/>
      <x:c r="X27" s="81"/>
      <x:c r="Y27" s="81"/>
      <x:c r="Z27" s="81"/>
    </x:row>
    <x:row r="28">
      <x:c r="A28" s="81"/>
      <x:c r="B28" s="81"/>
      <x:c r="C28" s="81"/>
      <x:c r="D28" s="81"/>
      <x:c r="E28" s="81"/>
      <x:c r="F28" s="81"/>
      <x:c r="G28" s="81"/>
      <x:c r="H28" s="81"/>
      <x:c r="I28" s="81"/>
      <x:c r="J28" s="81"/>
      <x:c r="K28" s="81"/>
      <x:c r="L28" s="81"/>
      <x:c r="M28" s="81"/>
      <x:c r="N28" s="81"/>
      <x:c r="O28" s="81"/>
      <x:c r="P28" s="81"/>
      <x:c r="Q28" s="81"/>
      <x:c r="R28" s="81"/>
      <x:c r="S28" s="81"/>
      <x:c r="T28" s="81"/>
      <x:c r="U28" s="81"/>
      <x:c r="V28" s="81"/>
      <x:c r="W28" s="81"/>
      <x:c r="X28" s="81"/>
      <x:c r="Y28" s="81"/>
      <x:c r="Z28" s="81"/>
    </x:row>
    <x:row r="29">
      <x:c r="A29" s="81"/>
      <x:c r="B29" s="81"/>
      <x:c r="C29" s="81"/>
      <x:c r="D29" s="81"/>
      <x:c r="E29" s="81"/>
      <x:c r="F29" s="81"/>
      <x:c r="G29" s="81"/>
      <x:c r="H29" s="81"/>
      <x:c r="I29" s="81"/>
      <x:c r="J29" s="81"/>
      <x:c r="K29" s="81"/>
      <x:c r="L29" s="81"/>
      <x:c r="M29" s="81"/>
      <x:c r="N29" s="81"/>
      <x:c r="O29" s="81"/>
      <x:c r="P29" s="81"/>
      <x:c r="Q29" s="81"/>
      <x:c r="R29" s="81"/>
      <x:c r="S29" s="81"/>
      <x:c r="T29" s="81"/>
      <x:c r="U29" s="81"/>
      <x:c r="V29" s="81"/>
      <x:c r="W29" s="81"/>
      <x:c r="X29" s="81"/>
      <x:c r="Y29" s="81"/>
      <x:c r="Z29" s="81"/>
    </x:row>
    <x:row r="30">
      <x:c r="A30" s="81"/>
      <x:c r="B30" s="81"/>
      <x:c r="C30" s="81"/>
      <x:c r="D30" s="81"/>
      <x:c r="E30" s="81"/>
      <x:c r="F30" s="81"/>
      <x:c r="G30" s="81"/>
      <x:c r="H30" s="81"/>
      <x:c r="I30" s="81"/>
      <x:c r="J30" s="81"/>
      <x:c r="K30" s="81"/>
      <x:c r="L30" s="81"/>
      <x:c r="M30" s="81"/>
      <x:c r="N30" s="81"/>
      <x:c r="O30" s="81"/>
      <x:c r="P30" s="81"/>
      <x:c r="Q30" s="81"/>
      <x:c r="R30" s="81"/>
      <x:c r="S30" s="81"/>
      <x:c r="T30" s="81"/>
      <x:c r="U30" s="81"/>
      <x:c r="V30" s="81"/>
      <x:c r="W30" s="81"/>
      <x:c r="X30" s="81"/>
      <x:c r="Y30" s="81"/>
      <x:c r="Z30" s="81"/>
    </x:row>
    <x:row r="31">
      <x:c r="A31" s="81"/>
      <x:c r="B31" s="81"/>
      <x:c r="C31" s="81"/>
      <x:c r="D31" s="81"/>
      <x:c r="E31" s="81"/>
      <x:c r="F31" s="81"/>
      <x:c r="G31" s="81"/>
      <x:c r="H31" s="81"/>
      <x:c r="I31" s="81"/>
      <x:c r="J31" s="81"/>
      <x:c r="K31" s="81"/>
      <x:c r="L31" s="81"/>
      <x:c r="M31" s="81"/>
      <x:c r="N31" s="81"/>
      <x:c r="O31" s="81"/>
      <x:c r="P31" s="81"/>
      <x:c r="Q31" s="81"/>
      <x:c r="R31" s="81"/>
      <x:c r="S31" s="81"/>
      <x:c r="T31" s="81"/>
      <x:c r="U31" s="81"/>
      <x:c r="V31" s="81"/>
      <x:c r="W31" s="81"/>
      <x:c r="X31" s="81"/>
      <x:c r="Y31" s="81"/>
      <x:c r="Z31" s="81"/>
    </x:row>
    <x:row r="32">
      <x:c r="A32" s="81"/>
      <x:c r="B32" s="81"/>
      <x:c r="C32" s="81"/>
      <x:c r="D32" s="81"/>
      <x:c r="E32" s="81"/>
      <x:c r="F32" s="81"/>
      <x:c r="G32" s="81"/>
      <x:c r="H32" s="81"/>
      <x:c r="I32" s="81"/>
      <x:c r="J32" s="81"/>
      <x:c r="K32" s="81"/>
      <x:c r="L32" s="81"/>
      <x:c r="M32" s="81"/>
      <x:c r="N32" s="81"/>
      <x:c r="O32" s="81"/>
      <x:c r="P32" s="81"/>
      <x:c r="Q32" s="81"/>
      <x:c r="R32" s="81"/>
      <x:c r="S32" s="81"/>
      <x:c r="T32" s="81"/>
      <x:c r="U32" s="81"/>
      <x:c r="V32" s="81"/>
      <x:c r="W32" s="81"/>
      <x:c r="X32" s="81"/>
      <x:c r="Y32" s="81"/>
      <x:c r="Z32" s="81"/>
    </x:row>
    <x:row r="33">
      <x:c r="A33" s="81"/>
      <x:c r="B33" s="81"/>
      <x:c r="C33" s="81"/>
      <x:c r="D33" s="81"/>
      <x:c r="E33" s="81"/>
      <x:c r="F33" s="81"/>
      <x:c r="G33" s="81"/>
      <x:c r="H33" s="81"/>
      <x:c r="I33" s="81"/>
      <x:c r="J33" s="81"/>
      <x:c r="K33" s="81"/>
      <x:c r="L33" s="81"/>
      <x:c r="M33" s="81"/>
      <x:c r="N33" s="81"/>
      <x:c r="O33" s="81"/>
      <x:c r="P33" s="81"/>
      <x:c r="Q33" s="81"/>
      <x:c r="R33" s="81"/>
      <x:c r="S33" s="81"/>
      <x:c r="T33" s="81"/>
      <x:c r="U33" s="81"/>
      <x:c r="V33" s="81"/>
      <x:c r="W33" s="81"/>
      <x:c r="X33" s="81"/>
      <x:c r="Y33" s="81"/>
      <x:c r="Z33" s="81"/>
    </x:row>
    <x:row r="34">
      <x:c r="A34" s="81"/>
      <x:c r="B34" s="81"/>
      <x:c r="C34" s="81"/>
      <x:c r="D34" s="81"/>
      <x:c r="E34" s="81"/>
      <x:c r="F34" s="81"/>
      <x:c r="G34" s="81"/>
      <x:c r="H34" s="81"/>
      <x:c r="I34" s="81"/>
      <x:c r="J34" s="81"/>
      <x:c r="K34" s="81"/>
      <x:c r="L34" s="81"/>
      <x:c r="M34" s="81"/>
      <x:c r="N34" s="81"/>
      <x:c r="O34" s="81"/>
      <x:c r="P34" s="81"/>
      <x:c r="Q34" s="81"/>
      <x:c r="R34" s="81"/>
      <x:c r="S34" s="81"/>
      <x:c r="T34" s="81"/>
      <x:c r="U34" s="81"/>
      <x:c r="V34" s="81"/>
      <x:c r="W34" s="81"/>
      <x:c r="X34" s="81"/>
      <x:c r="Y34" s="81"/>
      <x:c r="Z34" s="81"/>
    </x:row>
    <x:row r="35">
      <x:c r="A35" s="81"/>
      <x:c r="B35" s="81"/>
      <x:c r="C35" s="81"/>
      <x:c r="D35" s="81"/>
      <x:c r="E35" s="81"/>
      <x:c r="F35" s="81"/>
      <x:c r="G35" s="81"/>
      <x:c r="H35" s="81"/>
      <x:c r="I35" s="81"/>
      <x:c r="J35" s="81"/>
      <x:c r="K35" s="81"/>
      <x:c r="L35" s="81"/>
      <x:c r="M35" s="81"/>
      <x:c r="N35" s="81"/>
      <x:c r="O35" s="81"/>
      <x:c r="P35" s="81"/>
      <x:c r="Q35" s="81"/>
      <x:c r="R35" s="81"/>
      <x:c r="S35" s="81"/>
      <x:c r="T35" s="81"/>
      <x:c r="U35" s="81"/>
      <x:c r="V35" s="81"/>
      <x:c r="W35" s="81"/>
      <x:c r="X35" s="81"/>
      <x:c r="Y35" s="81"/>
      <x:c r="Z35" s="81"/>
    </x:row>
    <x:row r="36">
      <x:c r="A36" s="81"/>
      <x:c r="B36" s="81"/>
      <x:c r="C36" s="81"/>
      <x:c r="D36" s="81"/>
      <x:c r="E36" s="81"/>
      <x:c r="F36" s="81"/>
      <x:c r="G36" s="81"/>
      <x:c r="H36" s="81"/>
      <x:c r="I36" s="81"/>
      <x:c r="J36" s="81"/>
      <x:c r="K36" s="81"/>
      <x:c r="L36" s="81"/>
      <x:c r="M36" s="81"/>
      <x:c r="N36" s="81"/>
      <x:c r="O36" s="81"/>
      <x:c r="P36" s="81"/>
      <x:c r="Q36" s="81"/>
      <x:c r="R36" s="81"/>
      <x:c r="S36" s="81"/>
      <x:c r="T36" s="81"/>
      <x:c r="U36" s="81"/>
      <x:c r="V36" s="81"/>
      <x:c r="W36" s="81"/>
      <x:c r="X36" s="81"/>
      <x:c r="Y36" s="81"/>
      <x:c r="Z36" s="81"/>
    </x:row>
    <x:row r="37">
      <x:c r="A37" s="81"/>
      <x:c r="B37" s="81"/>
      <x:c r="C37" s="81"/>
      <x:c r="D37" s="81"/>
      <x:c r="E37" s="81"/>
      <x:c r="F37" s="81"/>
      <x:c r="G37" s="81"/>
      <x:c r="H37" s="81"/>
      <x:c r="I37" s="81"/>
      <x:c r="J37" s="81"/>
      <x:c r="K37" s="81"/>
      <x:c r="L37" s="81"/>
      <x:c r="M37" s="81"/>
      <x:c r="N37" s="81"/>
      <x:c r="O37" s="81"/>
      <x:c r="P37" s="81"/>
      <x:c r="Q37" s="81"/>
      <x:c r="R37" s="81"/>
      <x:c r="S37" s="81"/>
      <x:c r="T37" s="81"/>
      <x:c r="U37" s="81"/>
      <x:c r="V37" s="81"/>
      <x:c r="W37" s="81"/>
      <x:c r="X37" s="81"/>
      <x:c r="Y37" s="81"/>
      <x:c r="Z37" s="81"/>
    </x:row>
    <x:row r="38">
      <x:c r="A38" s="81"/>
      <x:c r="B38" s="81"/>
      <x:c r="C38" s="81"/>
      <x:c r="D38" s="81"/>
      <x:c r="E38" s="81"/>
      <x:c r="F38" s="81"/>
      <x:c r="G38" s="81"/>
      <x:c r="H38" s="81"/>
      <x:c r="I38" s="81"/>
      <x:c r="J38" s="81"/>
      <x:c r="K38" s="81"/>
      <x:c r="L38" s="81"/>
      <x:c r="M38" s="81"/>
      <x:c r="N38" s="81"/>
      <x:c r="O38" s="81"/>
      <x:c r="P38" s="81"/>
      <x:c r="Q38" s="81"/>
      <x:c r="R38" s="81"/>
      <x:c r="S38" s="81"/>
      <x:c r="T38" s="81"/>
      <x:c r="U38" s="81"/>
      <x:c r="V38" s="81"/>
      <x:c r="W38" s="81"/>
      <x:c r="X38" s="81"/>
      <x:c r="Y38" s="81"/>
      <x:c r="Z38" s="81"/>
    </x:row>
    <x:row r="39">
      <x:c r="A39" s="81"/>
      <x:c r="B39" s="81"/>
      <x:c r="C39" s="81"/>
      <x:c r="D39" s="81"/>
      <x:c r="E39" s="81"/>
      <x:c r="F39" s="81"/>
      <x:c r="G39" s="81"/>
      <x:c r="H39" s="81"/>
      <x:c r="I39" s="81"/>
      <x:c r="J39" s="81"/>
      <x:c r="K39" s="81"/>
      <x:c r="L39" s="81"/>
      <x:c r="M39" s="81"/>
      <x:c r="N39" s="81"/>
      <x:c r="O39" s="81"/>
      <x:c r="P39" s="81"/>
      <x:c r="Q39" s="81"/>
      <x:c r="R39" s="81"/>
      <x:c r="S39" s="81"/>
      <x:c r="T39" s="81"/>
      <x:c r="U39" s="81"/>
      <x:c r="V39" s="81"/>
      <x:c r="W39" s="81"/>
      <x:c r="X39" s="81"/>
      <x:c r="Y39" s="81"/>
      <x:c r="Z39" s="81"/>
    </x:row>
    <x:row r="40">
      <x:c r="A40" s="81"/>
      <x:c r="B40" s="81"/>
      <x:c r="C40" s="81"/>
      <x:c r="D40" s="81"/>
      <x:c r="E40" s="81"/>
      <x:c r="F40" s="81"/>
      <x:c r="G40" s="81"/>
      <x:c r="H40" s="81"/>
      <x:c r="I40" s="81"/>
      <x:c r="J40" s="81"/>
      <x:c r="K40" s="81"/>
      <x:c r="L40" s="81"/>
      <x:c r="M40" s="81"/>
      <x:c r="N40" s="81"/>
      <x:c r="O40" s="81"/>
      <x:c r="P40" s="81"/>
      <x:c r="Q40" s="81"/>
      <x:c r="R40" s="81"/>
      <x:c r="S40" s="81"/>
      <x:c r="T40" s="81"/>
      <x:c r="U40" s="81"/>
      <x:c r="V40" s="81"/>
      <x:c r="W40" s="81"/>
      <x:c r="X40" s="81"/>
      <x:c r="Y40" s="81"/>
      <x:c r="Z40" s="81"/>
    </x:row>
    <x:row r="41">
      <x:c r="A41" s="81"/>
      <x:c r="B41" s="81"/>
      <x:c r="C41" s="81"/>
      <x:c r="D41" s="81"/>
      <x:c r="E41" s="81"/>
      <x:c r="F41" s="81"/>
      <x:c r="G41" s="81"/>
      <x:c r="H41" s="81"/>
      <x:c r="I41" s="81"/>
      <x:c r="J41" s="81"/>
      <x:c r="K41" s="81"/>
      <x:c r="L41" s="81"/>
      <x:c r="M41" s="81"/>
      <x:c r="N41" s="81"/>
      <x:c r="O41" s="81"/>
      <x:c r="P41" s="81"/>
      <x:c r="Q41" s="81"/>
      <x:c r="R41" s="81"/>
      <x:c r="S41" s="81"/>
      <x:c r="T41" s="81"/>
      <x:c r="U41" s="81"/>
      <x:c r="V41" s="81"/>
      <x:c r="W41" s="81"/>
      <x:c r="X41" s="81"/>
      <x:c r="Y41" s="81"/>
      <x:c r="Z41" s="81"/>
    </x:row>
    <x:row r="42">
      <x:c r="A42" s="81"/>
      <x:c r="B42" s="81"/>
      <x:c r="C42" s="81"/>
      <x:c r="D42" s="81"/>
      <x:c r="E42" s="81"/>
      <x:c r="F42" s="81"/>
      <x:c r="G42" s="81"/>
      <x:c r="H42" s="81"/>
      <x:c r="I42" s="81"/>
      <x:c r="J42" s="81"/>
      <x:c r="K42" s="81"/>
      <x:c r="L42" s="81"/>
      <x:c r="M42" s="81"/>
      <x:c r="N42" s="81"/>
      <x:c r="O42" s="81"/>
      <x:c r="P42" s="81"/>
      <x:c r="Q42" s="81"/>
      <x:c r="R42" s="81"/>
      <x:c r="S42" s="81"/>
      <x:c r="T42" s="81"/>
      <x:c r="U42" s="81"/>
      <x:c r="V42" s="81"/>
      <x:c r="W42" s="81"/>
      <x:c r="X42" s="81"/>
      <x:c r="Y42" s="81"/>
      <x:c r="Z42" s="81"/>
    </x:row>
    <x:row r="43">
      <x:c r="A43" s="81"/>
      <x:c r="B43" s="81"/>
      <x:c r="C43" s="81"/>
      <x:c r="D43" s="81"/>
      <x:c r="E43" s="81"/>
      <x:c r="F43" s="81"/>
      <x:c r="G43" s="81"/>
      <x:c r="H43" s="81"/>
      <x:c r="I43" s="81"/>
      <x:c r="J43" s="81"/>
      <x:c r="K43" s="81"/>
      <x:c r="L43" s="81"/>
      <x:c r="M43" s="81"/>
      <x:c r="N43" s="81"/>
      <x:c r="O43" s="81"/>
      <x:c r="P43" s="81"/>
      <x:c r="Q43" s="81"/>
      <x:c r="R43" s="81"/>
      <x:c r="S43" s="81"/>
      <x:c r="T43" s="81"/>
      <x:c r="U43" s="81"/>
      <x:c r="V43" s="81"/>
      <x:c r="W43" s="81"/>
      <x:c r="X43" s="81"/>
      <x:c r="Y43" s="81"/>
      <x:c r="Z43" s="81"/>
    </x:row>
    <x:row r="44">
      <x:c r="A44" s="81"/>
      <x:c r="B44" s="81"/>
      <x:c r="C44" s="81"/>
      <x:c r="D44" s="81"/>
      <x:c r="E44" s="81"/>
      <x:c r="F44" s="81"/>
      <x:c r="G44" s="81"/>
      <x:c r="H44" s="81"/>
      <x:c r="I44" s="81"/>
      <x:c r="J44" s="81"/>
      <x:c r="K44" s="81"/>
      <x:c r="L44" s="81"/>
      <x:c r="M44" s="81"/>
      <x:c r="N44" s="81"/>
      <x:c r="O44" s="81"/>
      <x:c r="P44" s="81"/>
      <x:c r="Q44" s="81"/>
      <x:c r="R44" s="81"/>
      <x:c r="S44" s="81"/>
      <x:c r="T44" s="81"/>
      <x:c r="U44" s="81"/>
      <x:c r="V44" s="81"/>
      <x:c r="W44" s="81"/>
      <x:c r="X44" s="81"/>
      <x:c r="Y44" s="81"/>
      <x:c r="Z44" s="81"/>
    </x:row>
    <x:row r="45">
      <x:c r="A45" s="81"/>
      <x:c r="B45" s="81"/>
      <x:c r="C45" s="81"/>
      <x:c r="D45" s="81"/>
      <x:c r="E45" s="81"/>
      <x:c r="F45" s="81"/>
      <x:c r="G45" s="81"/>
      <x:c r="H45" s="81"/>
      <x:c r="I45" s="81"/>
      <x:c r="J45" s="81"/>
      <x:c r="K45" s="81"/>
      <x:c r="L45" s="81"/>
      <x:c r="M45" s="81"/>
      <x:c r="N45" s="81"/>
      <x:c r="O45" s="81"/>
      <x:c r="P45" s="81"/>
      <x:c r="Q45" s="81"/>
      <x:c r="R45" s="81"/>
      <x:c r="S45" s="81"/>
      <x:c r="T45" s="81"/>
      <x:c r="U45" s="81"/>
      <x:c r="V45" s="81"/>
      <x:c r="W45" s="81"/>
      <x:c r="X45" s="81"/>
      <x:c r="Y45" s="81"/>
      <x:c r="Z45" s="81"/>
    </x:row>
    <x:row r="46">
      <x:c r="A46" s="81"/>
      <x:c r="B46" s="81"/>
      <x:c r="C46" s="81"/>
      <x:c r="D46" s="81"/>
      <x:c r="E46" s="81"/>
      <x:c r="F46" s="81"/>
      <x:c r="G46" s="81"/>
      <x:c r="H46" s="81"/>
      <x:c r="I46" s="81"/>
      <x:c r="J46" s="81"/>
      <x:c r="K46" s="81"/>
      <x:c r="L46" s="81"/>
      <x:c r="M46" s="81"/>
      <x:c r="N46" s="81"/>
      <x:c r="O46" s="81"/>
      <x:c r="P46" s="81"/>
      <x:c r="Q46" s="81"/>
      <x:c r="R46" s="81"/>
      <x:c r="S46" s="81"/>
      <x:c r="T46" s="81"/>
      <x:c r="U46" s="81"/>
      <x:c r="V46" s="81"/>
      <x:c r="W46" s="81"/>
      <x:c r="X46" s="81"/>
      <x:c r="Y46" s="81"/>
      <x:c r="Z46" s="81"/>
    </x:row>
    <x:row r="47">
      <x:c r="A47" s="81"/>
      <x:c r="B47" s="81"/>
      <x:c r="C47" s="81"/>
      <x:c r="D47" s="81"/>
      <x:c r="E47" s="81"/>
      <x:c r="F47" s="81"/>
      <x:c r="G47" s="81"/>
      <x:c r="H47" s="81"/>
      <x:c r="I47" s="81"/>
      <x:c r="J47" s="81"/>
      <x:c r="K47" s="81"/>
      <x:c r="L47" s="81"/>
      <x:c r="M47" s="81"/>
      <x:c r="N47" s="81"/>
      <x:c r="O47" s="81"/>
      <x:c r="P47" s="81"/>
      <x:c r="Q47" s="81"/>
      <x:c r="R47" s="81"/>
      <x:c r="S47" s="81"/>
      <x:c r="T47" s="81"/>
      <x:c r="U47" s="81"/>
      <x:c r="V47" s="81"/>
      <x:c r="W47" s="81"/>
      <x:c r="X47" s="81"/>
      <x:c r="Y47" s="81"/>
      <x:c r="Z47" s="81"/>
    </x:row>
    <x:row r="48">
      <x:c r="A48" s="81"/>
      <x:c r="B48" s="81"/>
      <x:c r="C48" s="81"/>
      <x:c r="D48" s="81"/>
      <x:c r="E48" s="81"/>
      <x:c r="F48" s="81"/>
      <x:c r="G48" s="81"/>
      <x:c r="H48" s="81"/>
      <x:c r="I48" s="81"/>
      <x:c r="J48" s="81"/>
      <x:c r="K48" s="81"/>
      <x:c r="L48" s="81"/>
      <x:c r="M48" s="81"/>
      <x:c r="N48" s="81"/>
      <x:c r="O48" s="81"/>
      <x:c r="P48" s="81"/>
      <x:c r="Q48" s="81"/>
      <x:c r="R48" s="81"/>
      <x:c r="S48" s="81"/>
      <x:c r="T48" s="81"/>
      <x:c r="U48" s="81"/>
      <x:c r="V48" s="81"/>
      <x:c r="W48" s="81"/>
      <x:c r="X48" s="81"/>
      <x:c r="Y48" s="81"/>
      <x:c r="Z48" s="81"/>
    </x:row>
    <x:row r="49">
      <x:c r="A49" s="81"/>
      <x:c r="B49" s="81"/>
      <x:c r="C49" s="81"/>
      <x:c r="D49" s="81"/>
      <x:c r="E49" s="81"/>
      <x:c r="F49" s="81"/>
      <x:c r="G49" s="81"/>
      <x:c r="H49" s="81"/>
      <x:c r="I49" s="81"/>
      <x:c r="J49" s="81"/>
      <x:c r="K49" s="81"/>
      <x:c r="L49" s="81"/>
      <x:c r="M49" s="81"/>
      <x:c r="N49" s="81"/>
      <x:c r="O49" s="81"/>
      <x:c r="P49" s="81"/>
      <x:c r="Q49" s="81"/>
      <x:c r="R49" s="81"/>
      <x:c r="S49" s="81"/>
      <x:c r="T49" s="81"/>
      <x:c r="U49" s="81"/>
      <x:c r="V49" s="81"/>
      <x:c r="W49" s="81"/>
      <x:c r="X49" s="81"/>
      <x:c r="Y49" s="81"/>
      <x:c r="Z49" s="81"/>
    </x:row>
    <x:row r="50">
      <x:c r="A50" s="81"/>
      <x:c r="B50" s="81"/>
      <x:c r="C50" s="81"/>
      <x:c r="D50" s="81"/>
      <x:c r="E50" s="81"/>
      <x:c r="F50" s="81"/>
      <x:c r="G50" s="81"/>
      <x:c r="H50" s="81"/>
      <x:c r="I50" s="81"/>
      <x:c r="J50" s="81"/>
      <x:c r="K50" s="81"/>
      <x:c r="L50" s="81"/>
      <x:c r="M50" s="81"/>
      <x:c r="N50" s="81"/>
      <x:c r="O50" s="81"/>
      <x:c r="P50" s="81"/>
      <x:c r="Q50" s="81"/>
      <x:c r="R50" s="81"/>
      <x:c r="S50" s="81"/>
      <x:c r="T50" s="81"/>
      <x:c r="U50" s="81"/>
      <x:c r="V50" s="81"/>
      <x:c r="W50" s="81"/>
      <x:c r="X50" s="81"/>
      <x:c r="Y50" s="81"/>
      <x:c r="Z50" s="81"/>
    </x:row>
    <x:row r="51">
      <x:c r="A51" s="81"/>
      <x:c r="B51" s="81"/>
      <x:c r="C51" s="81"/>
      <x:c r="D51" s="81"/>
      <x:c r="E51" s="81"/>
      <x:c r="F51" s="81"/>
      <x:c r="G51" s="81"/>
      <x:c r="H51" s="81"/>
      <x:c r="I51" s="81"/>
      <x:c r="J51" s="81"/>
      <x:c r="K51" s="81"/>
      <x:c r="L51" s="81"/>
      <x:c r="M51" s="81"/>
      <x:c r="N51" s="81"/>
      <x:c r="O51" s="81"/>
      <x:c r="P51" s="81"/>
      <x:c r="Q51" s="81"/>
      <x:c r="R51" s="81"/>
      <x:c r="S51" s="81"/>
      <x:c r="T51" s="81"/>
      <x:c r="U51" s="81"/>
      <x:c r="V51" s="81"/>
      <x:c r="W51" s="81"/>
      <x:c r="X51" s="81"/>
      <x:c r="Y51" s="81"/>
      <x:c r="Z51" s="81"/>
    </x:row>
    <x:row r="52">
      <x:c r="A52" s="81"/>
      <x:c r="B52" s="81"/>
      <x:c r="C52" s="81"/>
      <x:c r="D52" s="81"/>
      <x:c r="E52" s="81"/>
      <x:c r="F52" s="81"/>
      <x:c r="G52" s="81"/>
      <x:c r="H52" s="81"/>
      <x:c r="I52" s="81"/>
      <x:c r="J52" s="81"/>
      <x:c r="K52" s="81"/>
      <x:c r="L52" s="81"/>
      <x:c r="M52" s="81"/>
      <x:c r="N52" s="81"/>
      <x:c r="O52" s="81"/>
      <x:c r="P52" s="81"/>
      <x:c r="Q52" s="81"/>
      <x:c r="R52" s="81"/>
      <x:c r="S52" s="81"/>
      <x:c r="T52" s="81"/>
      <x:c r="U52" s="81"/>
      <x:c r="V52" s="81"/>
      <x:c r="W52" s="81"/>
      <x:c r="X52" s="81"/>
      <x:c r="Y52" s="81"/>
      <x:c r="Z52" s="81"/>
    </x:row>
    <x:row r="53">
      <x:c r="A53" s="81"/>
      <x:c r="B53" s="81"/>
      <x:c r="C53" s="81"/>
      <x:c r="D53" s="81"/>
      <x:c r="E53" s="81"/>
      <x:c r="F53" s="81"/>
      <x:c r="G53" s="81"/>
      <x:c r="H53" s="81"/>
      <x:c r="I53" s="81"/>
      <x:c r="J53" s="81"/>
      <x:c r="K53" s="81"/>
      <x:c r="L53" s="81"/>
      <x:c r="M53" s="81"/>
      <x:c r="N53" s="81"/>
      <x:c r="O53" s="81"/>
      <x:c r="P53" s="81"/>
      <x:c r="Q53" s="81"/>
      <x:c r="R53" s="81"/>
      <x:c r="S53" s="81"/>
      <x:c r="T53" s="81"/>
      <x:c r="U53" s="81"/>
      <x:c r="V53" s="81"/>
      <x:c r="W53" s="81"/>
      <x:c r="X53" s="81"/>
      <x:c r="Y53" s="81"/>
      <x:c r="Z53" s="81"/>
    </x:row>
    <x:row r="54">
      <x:c r="A54" s="81"/>
      <x:c r="B54" s="81"/>
      <x:c r="C54" s="81"/>
      <x:c r="D54" s="81"/>
      <x:c r="E54" s="81"/>
      <x:c r="F54" s="81"/>
      <x:c r="G54" s="81"/>
      <x:c r="H54" s="81"/>
      <x:c r="I54" s="81"/>
      <x:c r="J54" s="81"/>
      <x:c r="K54" s="81"/>
      <x:c r="L54" s="81"/>
      <x:c r="M54" s="81"/>
      <x:c r="N54" s="81"/>
      <x:c r="O54" s="81"/>
      <x:c r="P54" s="81"/>
      <x:c r="Q54" s="81"/>
      <x:c r="R54" s="81"/>
      <x:c r="S54" s="81"/>
      <x:c r="T54" s="81"/>
      <x:c r="U54" s="81"/>
      <x:c r="V54" s="81"/>
      <x:c r="W54" s="81"/>
      <x:c r="X54" s="81"/>
      <x:c r="Y54" s="81"/>
      <x:c r="Z54" s="81"/>
    </x:row>
    <x:row r="55">
      <x:c r="A55" s="81"/>
      <x:c r="B55" s="81"/>
      <x:c r="C55" s="81"/>
      <x:c r="D55" s="81"/>
      <x:c r="E55" s="81"/>
      <x:c r="F55" s="81"/>
      <x:c r="G55" s="81"/>
      <x:c r="H55" s="81"/>
      <x:c r="I55" s="81"/>
      <x:c r="J55" s="81"/>
      <x:c r="K55" s="81"/>
      <x:c r="L55" s="81"/>
      <x:c r="M55" s="81"/>
      <x:c r="N55" s="81"/>
      <x:c r="O55" s="81"/>
      <x:c r="P55" s="81"/>
      <x:c r="Q55" s="81"/>
      <x:c r="R55" s="81"/>
      <x:c r="S55" s="81"/>
      <x:c r="T55" s="81"/>
      <x:c r="U55" s="81"/>
      <x:c r="V55" s="81"/>
      <x:c r="W55" s="81"/>
      <x:c r="X55" s="81"/>
      <x:c r="Y55" s="81"/>
      <x:c r="Z55" s="81"/>
    </x:row>
    <x:row r="56">
      <x:c r="A56" s="81"/>
      <x:c r="B56" s="81"/>
      <x:c r="C56" s="81"/>
      <x:c r="D56" s="81"/>
      <x:c r="E56" s="81"/>
      <x:c r="F56" s="81"/>
      <x:c r="G56" s="81"/>
      <x:c r="H56" s="81"/>
      <x:c r="I56" s="81"/>
      <x:c r="J56" s="81"/>
      <x:c r="K56" s="81"/>
      <x:c r="L56" s="81"/>
      <x:c r="M56" s="81"/>
      <x:c r="N56" s="81"/>
      <x:c r="O56" s="81"/>
      <x:c r="P56" s="81"/>
      <x:c r="Q56" s="81"/>
      <x:c r="R56" s="81"/>
      <x:c r="S56" s="81"/>
      <x:c r="T56" s="81"/>
      <x:c r="U56" s="81"/>
      <x:c r="V56" s="81"/>
      <x:c r="W56" s="81"/>
      <x:c r="X56" s="81"/>
      <x:c r="Y56" s="81"/>
      <x:c r="Z56" s="81"/>
    </x:row>
    <x:row r="57">
      <x:c r="A57" s="81"/>
      <x:c r="B57" s="81"/>
      <x:c r="C57" s="81"/>
      <x:c r="D57" s="81"/>
      <x:c r="E57" s="81"/>
      <x:c r="F57" s="81"/>
      <x:c r="G57" s="81"/>
      <x:c r="H57" s="81"/>
      <x:c r="I57" s="81"/>
      <x:c r="J57" s="81"/>
      <x:c r="K57" s="81"/>
      <x:c r="L57" s="81"/>
      <x:c r="M57" s="81"/>
      <x:c r="N57" s="81"/>
      <x:c r="O57" s="81"/>
      <x:c r="P57" s="81"/>
      <x:c r="Q57" s="81"/>
      <x:c r="R57" s="81"/>
      <x:c r="S57" s="81"/>
      <x:c r="T57" s="81"/>
      <x:c r="U57" s="81"/>
      <x:c r="V57" s="81"/>
      <x:c r="W57" s="81"/>
      <x:c r="X57" s="81"/>
      <x:c r="Y57" s="81"/>
      <x:c r="Z57" s="81"/>
    </x:row>
    <x:row r="58">
      <x:c r="A58" s="81"/>
      <x:c r="B58" s="81"/>
      <x:c r="C58" s="81"/>
      <x:c r="D58" s="81"/>
      <x:c r="E58" s="81"/>
      <x:c r="F58" s="81"/>
      <x:c r="G58" s="81"/>
      <x:c r="H58" s="81"/>
      <x:c r="I58" s="81"/>
      <x:c r="J58" s="81"/>
      <x:c r="K58" s="81"/>
      <x:c r="L58" s="81"/>
      <x:c r="M58" s="81"/>
      <x:c r="N58" s="81"/>
      <x:c r="O58" s="81"/>
      <x:c r="P58" s="81"/>
      <x:c r="Q58" s="81"/>
      <x:c r="R58" s="81"/>
      <x:c r="S58" s="81"/>
      <x:c r="T58" s="81"/>
      <x:c r="U58" s="81"/>
      <x:c r="V58" s="81"/>
      <x:c r="W58" s="81"/>
      <x:c r="X58" s="81"/>
      <x:c r="Y58" s="81"/>
      <x:c r="Z58" s="81"/>
    </x:row>
    <x:row r="59">
      <x:c r="A59" s="81"/>
      <x:c r="B59" s="81"/>
      <x:c r="C59" s="81"/>
      <x:c r="D59" s="81"/>
      <x:c r="E59" s="81"/>
      <x:c r="F59" s="81"/>
      <x:c r="G59" s="81"/>
      <x:c r="H59" s="81"/>
      <x:c r="I59" s="81"/>
      <x:c r="J59" s="81"/>
      <x:c r="K59" s="81"/>
      <x:c r="L59" s="81"/>
      <x:c r="M59" s="81"/>
      <x:c r="N59" s="81"/>
      <x:c r="O59" s="81"/>
      <x:c r="P59" s="81"/>
      <x:c r="Q59" s="81"/>
      <x:c r="R59" s="81"/>
      <x:c r="S59" s="81"/>
      <x:c r="T59" s="81"/>
      <x:c r="U59" s="81"/>
      <x:c r="V59" s="81"/>
      <x:c r="W59" s="81"/>
      <x:c r="X59" s="81"/>
      <x:c r="Y59" s="81"/>
      <x:c r="Z59" s="81"/>
    </x:row>
    <x:row r="60">
      <x:c r="A60" s="81"/>
      <x:c r="B60" s="81"/>
      <x:c r="C60" s="81"/>
      <x:c r="D60" s="81"/>
      <x:c r="E60" s="81"/>
      <x:c r="F60" s="81"/>
      <x:c r="G60" s="81"/>
      <x:c r="H60" s="81"/>
      <x:c r="I60" s="81"/>
      <x:c r="J60" s="81"/>
      <x:c r="K60" s="81"/>
      <x:c r="L60" s="81"/>
      <x:c r="M60" s="81"/>
      <x:c r="N60" s="81"/>
      <x:c r="O60" s="81"/>
      <x:c r="P60" s="81"/>
      <x:c r="Q60" s="81"/>
      <x:c r="R60" s="81"/>
      <x:c r="S60" s="81"/>
      <x:c r="T60" s="81"/>
      <x:c r="U60" s="81"/>
      <x:c r="V60" s="81"/>
      <x:c r="W60" s="81"/>
      <x:c r="X60" s="81"/>
      <x:c r="Y60" s="81"/>
      <x:c r="Z60" s="81"/>
    </x:row>
    <x:row r="61">
      <x:c r="A61" s="81"/>
      <x:c r="B61" s="81"/>
      <x:c r="C61" s="81"/>
      <x:c r="D61" s="81"/>
      <x:c r="E61" s="81"/>
      <x:c r="F61" s="81"/>
      <x:c r="G61" s="81"/>
      <x:c r="H61" s="81"/>
      <x:c r="I61" s="81"/>
      <x:c r="J61" s="81"/>
      <x:c r="K61" s="81"/>
      <x:c r="L61" s="81"/>
      <x:c r="M61" s="81"/>
      <x:c r="N61" s="81"/>
      <x:c r="O61" s="81"/>
      <x:c r="P61" s="81"/>
      <x:c r="Q61" s="81"/>
      <x:c r="R61" s="81"/>
      <x:c r="S61" s="81"/>
      <x:c r="T61" s="81"/>
      <x:c r="U61" s="81"/>
      <x:c r="V61" s="81"/>
      <x:c r="W61" s="81"/>
      <x:c r="X61" s="81"/>
      <x:c r="Y61" s="81"/>
      <x:c r="Z61" s="81"/>
    </x:row>
    <x:row r="62">
      <x:c r="A62" s="81"/>
      <x:c r="B62" s="81"/>
      <x:c r="C62" s="81"/>
      <x:c r="D62" s="81"/>
      <x:c r="E62" s="81"/>
      <x:c r="F62" s="81"/>
      <x:c r="G62" s="81"/>
      <x:c r="H62" s="81"/>
      <x:c r="I62" s="81"/>
      <x:c r="J62" s="81"/>
      <x:c r="K62" s="81"/>
      <x:c r="L62" s="81"/>
      <x:c r="M62" s="81"/>
      <x:c r="N62" s="81"/>
      <x:c r="O62" s="81"/>
      <x:c r="P62" s="81"/>
      <x:c r="Q62" s="81"/>
      <x:c r="R62" s="81"/>
      <x:c r="S62" s="81"/>
      <x:c r="T62" s="81"/>
      <x:c r="U62" s="81"/>
      <x:c r="V62" s="81"/>
      <x:c r="W62" s="81"/>
      <x:c r="X62" s="81"/>
      <x:c r="Y62" s="81"/>
      <x:c r="Z62" s="81"/>
    </x:row>
    <x:row r="63">
      <x:c r="A63" s="81"/>
      <x:c r="B63" s="81"/>
      <x:c r="C63" s="81"/>
      <x:c r="D63" s="81"/>
      <x:c r="E63" s="81"/>
      <x:c r="F63" s="81"/>
      <x:c r="G63" s="81"/>
      <x:c r="H63" s="81"/>
      <x:c r="I63" s="81"/>
      <x:c r="J63" s="81"/>
      <x:c r="K63" s="81"/>
      <x:c r="L63" s="81"/>
      <x:c r="M63" s="81"/>
      <x:c r="N63" s="81"/>
      <x:c r="O63" s="81"/>
      <x:c r="P63" s="81"/>
      <x:c r="Q63" s="81"/>
      <x:c r="R63" s="81"/>
      <x:c r="S63" s="81"/>
      <x:c r="T63" s="81"/>
      <x:c r="U63" s="81"/>
      <x:c r="V63" s="81"/>
      <x:c r="W63" s="81"/>
      <x:c r="X63" s="81"/>
      <x:c r="Y63" s="81"/>
      <x:c r="Z63" s="81"/>
    </x:row>
    <x:row r="64">
      <x:c r="A64" s="81"/>
      <x:c r="B64" s="81"/>
      <x:c r="C64" s="81"/>
      <x:c r="D64" s="81"/>
      <x:c r="E64" s="81"/>
      <x:c r="F64" s="81"/>
      <x:c r="G64" s="81"/>
      <x:c r="H64" s="81"/>
      <x:c r="I64" s="81"/>
      <x:c r="J64" s="81"/>
      <x:c r="K64" s="81"/>
      <x:c r="L64" s="81"/>
      <x:c r="M64" s="81"/>
      <x:c r="N64" s="81"/>
      <x:c r="O64" s="81"/>
      <x:c r="P64" s="81"/>
      <x:c r="Q64" s="81"/>
      <x:c r="R64" s="81"/>
      <x:c r="S64" s="81"/>
      <x:c r="T64" s="81"/>
      <x:c r="U64" s="81"/>
      <x:c r="V64" s="81"/>
      <x:c r="W64" s="81"/>
      <x:c r="X64" s="81"/>
      <x:c r="Y64" s="81"/>
      <x:c r="Z64" s="81"/>
    </x:row>
    <x:row r="65">
      <x:c r="A65" s="81"/>
      <x:c r="B65" s="81"/>
      <x:c r="C65" s="81"/>
      <x:c r="D65" s="81"/>
      <x:c r="E65" s="81"/>
      <x:c r="F65" s="81"/>
      <x:c r="G65" s="81"/>
      <x:c r="H65" s="81"/>
      <x:c r="I65" s="81"/>
      <x:c r="J65" s="81"/>
      <x:c r="K65" s="81"/>
      <x:c r="L65" s="81"/>
      <x:c r="M65" s="81"/>
      <x:c r="N65" s="81"/>
      <x:c r="O65" s="81"/>
      <x:c r="P65" s="81"/>
      <x:c r="Q65" s="81"/>
      <x:c r="R65" s="81"/>
      <x:c r="S65" s="81"/>
      <x:c r="T65" s="81"/>
      <x:c r="U65" s="81"/>
      <x:c r="V65" s="81"/>
      <x:c r="W65" s="81"/>
      <x:c r="X65" s="81"/>
      <x:c r="Y65" s="81"/>
      <x:c r="Z65" s="81"/>
    </x:row>
    <x:row r="66">
      <x:c r="A66" s="81"/>
      <x:c r="B66" s="81"/>
      <x:c r="C66" s="81"/>
      <x:c r="D66" s="81"/>
      <x:c r="E66" s="81"/>
      <x:c r="F66" s="81"/>
      <x:c r="G66" s="81"/>
      <x:c r="H66" s="81"/>
      <x:c r="I66" s="81"/>
      <x:c r="J66" s="81"/>
      <x:c r="K66" s="81"/>
      <x:c r="L66" s="81"/>
      <x:c r="M66" s="81"/>
      <x:c r="N66" s="81"/>
      <x:c r="O66" s="81"/>
      <x:c r="P66" s="81"/>
      <x:c r="Q66" s="81"/>
      <x:c r="R66" s="81"/>
      <x:c r="S66" s="81"/>
      <x:c r="T66" s="81"/>
      <x:c r="U66" s="81"/>
      <x:c r="V66" s="81"/>
      <x:c r="W66" s="81"/>
      <x:c r="X66" s="81"/>
      <x:c r="Y66" s="81"/>
      <x:c r="Z66" s="81"/>
    </x:row>
    <x:row r="67">
      <x:c r="A67" s="81"/>
      <x:c r="B67" s="81"/>
      <x:c r="C67" s="81"/>
      <x:c r="D67" s="81"/>
      <x:c r="E67" s="81"/>
      <x:c r="F67" s="81"/>
      <x:c r="G67" s="81"/>
      <x:c r="H67" s="81"/>
      <x:c r="I67" s="81"/>
      <x:c r="J67" s="81"/>
      <x:c r="K67" s="81"/>
      <x:c r="L67" s="81"/>
      <x:c r="M67" s="81"/>
      <x:c r="N67" s="81"/>
      <x:c r="O67" s="81"/>
      <x:c r="P67" s="81"/>
      <x:c r="Q67" s="81"/>
      <x:c r="R67" s="81"/>
      <x:c r="S67" s="81"/>
      <x:c r="T67" s="81"/>
      <x:c r="U67" s="81"/>
      <x:c r="V67" s="81"/>
      <x:c r="W67" s="81"/>
      <x:c r="X67" s="81"/>
      <x:c r="Y67" s="81"/>
      <x:c r="Z67" s="81"/>
    </x:row>
    <x:row r="68">
      <x:c r="A68" s="81"/>
      <x:c r="B68" s="81"/>
      <x:c r="C68" s="81"/>
      <x:c r="D68" s="81"/>
      <x:c r="E68" s="81"/>
      <x:c r="F68" s="81"/>
      <x:c r="G68" s="81"/>
      <x:c r="H68" s="81"/>
      <x:c r="I68" s="81"/>
      <x:c r="J68" s="81"/>
      <x:c r="K68" s="81"/>
      <x:c r="L68" s="81"/>
      <x:c r="M68" s="81"/>
      <x:c r="N68" s="81"/>
      <x:c r="O68" s="81"/>
      <x:c r="P68" s="81"/>
      <x:c r="Q68" s="81"/>
      <x:c r="R68" s="81"/>
      <x:c r="S68" s="81"/>
      <x:c r="T68" s="81"/>
      <x:c r="U68" s="81"/>
      <x:c r="V68" s="81"/>
      <x:c r="W68" s="81"/>
      <x:c r="X68" s="81"/>
      <x:c r="Y68" s="81"/>
      <x:c r="Z68" s="81"/>
    </x:row>
    <x:row r="69">
      <x:c r="A69" s="81"/>
      <x:c r="B69" s="81"/>
      <x:c r="C69" s="81"/>
      <x:c r="D69" s="81"/>
      <x:c r="E69" s="81"/>
      <x:c r="F69" s="81"/>
      <x:c r="G69" s="81"/>
      <x:c r="H69" s="81"/>
      <x:c r="I69" s="81"/>
      <x:c r="J69" s="81"/>
      <x:c r="K69" s="81"/>
      <x:c r="L69" s="81"/>
      <x:c r="M69" s="81"/>
      <x:c r="N69" s="81"/>
      <x:c r="O69" s="81"/>
      <x:c r="P69" s="81"/>
      <x:c r="Q69" s="81"/>
      <x:c r="R69" s="81"/>
      <x:c r="S69" s="81"/>
      <x:c r="T69" s="81"/>
      <x:c r="U69" s="81"/>
      <x:c r="V69" s="81"/>
      <x:c r="W69" s="81"/>
      <x:c r="X69" s="81"/>
      <x:c r="Y69" s="81"/>
      <x:c r="Z69" s="81"/>
    </x:row>
    <x:row r="70">
      <x:c r="A70" s="81"/>
      <x:c r="B70" s="81"/>
      <x:c r="C70" s="81"/>
      <x:c r="D70" s="81"/>
      <x:c r="E70" s="81"/>
      <x:c r="F70" s="81"/>
      <x:c r="G70" s="81"/>
      <x:c r="H70" s="81"/>
      <x:c r="I70" s="81"/>
      <x:c r="J70" s="81"/>
      <x:c r="K70" s="81"/>
      <x:c r="L70" s="81"/>
      <x:c r="M70" s="81"/>
      <x:c r="N70" s="81"/>
      <x:c r="O70" s="81"/>
      <x:c r="P70" s="81"/>
      <x:c r="Q70" s="81"/>
      <x:c r="R70" s="81"/>
      <x:c r="S70" s="81"/>
      <x:c r="T70" s="81"/>
      <x:c r="U70" s="81"/>
      <x:c r="V70" s="81"/>
      <x:c r="W70" s="81"/>
      <x:c r="X70" s="81"/>
      <x:c r="Y70" s="81"/>
      <x:c r="Z70" s="81"/>
    </x:row>
    <x:row r="71">
      <x:c r="A71" s="81"/>
      <x:c r="B71" s="81"/>
      <x:c r="C71" s="81"/>
      <x:c r="D71" s="81"/>
      <x:c r="E71" s="81"/>
      <x:c r="F71" s="81"/>
      <x:c r="G71" s="81"/>
      <x:c r="H71" s="81"/>
      <x:c r="I71" s="81"/>
      <x:c r="J71" s="81"/>
      <x:c r="K71" s="81"/>
      <x:c r="L71" s="81"/>
      <x:c r="M71" s="81"/>
      <x:c r="N71" s="81"/>
      <x:c r="O71" s="81"/>
      <x:c r="P71" s="81"/>
      <x:c r="Q71" s="81"/>
      <x:c r="R71" s="81"/>
      <x:c r="S71" s="81"/>
      <x:c r="T71" s="81"/>
      <x:c r="U71" s="81"/>
      <x:c r="V71" s="81"/>
      <x:c r="W71" s="81"/>
      <x:c r="X71" s="81"/>
      <x:c r="Y71" s="81"/>
      <x:c r="Z71" s="81"/>
    </x:row>
    <x:row r="72">
      <x:c r="A72" s="81"/>
      <x:c r="B72" s="81"/>
      <x:c r="C72" s="81"/>
      <x:c r="D72" s="81"/>
      <x:c r="E72" s="81"/>
      <x:c r="F72" s="81"/>
      <x:c r="G72" s="81"/>
      <x:c r="H72" s="81"/>
      <x:c r="I72" s="81"/>
      <x:c r="J72" s="81"/>
      <x:c r="K72" s="81"/>
      <x:c r="L72" s="81"/>
      <x:c r="M72" s="81"/>
      <x:c r="N72" s="81"/>
      <x:c r="O72" s="81"/>
      <x:c r="P72" s="81"/>
      <x:c r="Q72" s="81"/>
      <x:c r="R72" s="81"/>
      <x:c r="S72" s="81"/>
      <x:c r="T72" s="81"/>
      <x:c r="U72" s="81"/>
      <x:c r="V72" s="81"/>
      <x:c r="W72" s="81"/>
      <x:c r="X72" s="81"/>
      <x:c r="Y72" s="81"/>
      <x:c r="Z72" s="81"/>
    </x:row>
    <x:row r="73">
      <x:c r="A73" s="81"/>
      <x:c r="B73" s="81"/>
      <x:c r="C73" s="81"/>
      <x:c r="D73" s="81"/>
      <x:c r="E73" s="81"/>
      <x:c r="F73" s="81"/>
      <x:c r="G73" s="81"/>
      <x:c r="H73" s="81"/>
      <x:c r="I73" s="81"/>
      <x:c r="J73" s="81"/>
      <x:c r="K73" s="81"/>
      <x:c r="L73" s="81"/>
      <x:c r="M73" s="81"/>
      <x:c r="N73" s="81"/>
      <x:c r="O73" s="81"/>
      <x:c r="P73" s="81"/>
      <x:c r="Q73" s="81"/>
      <x:c r="R73" s="81"/>
      <x:c r="S73" s="81"/>
      <x:c r="T73" s="81"/>
      <x:c r="U73" s="81"/>
      <x:c r="V73" s="81"/>
      <x:c r="W73" s="81"/>
      <x:c r="X73" s="81"/>
      <x:c r="Y73" s="81"/>
      <x:c r="Z73" s="81"/>
    </x:row>
    <x:row r="74">
      <x:c r="A74" s="81"/>
      <x:c r="B74" s="81"/>
      <x:c r="C74" s="81"/>
      <x:c r="D74" s="81"/>
      <x:c r="E74" s="81"/>
      <x:c r="F74" s="81"/>
      <x:c r="G74" s="81"/>
      <x:c r="H74" s="81"/>
      <x:c r="I74" s="81"/>
      <x:c r="J74" s="81"/>
      <x:c r="K74" s="81"/>
      <x:c r="L74" s="81"/>
      <x:c r="M74" s="81"/>
      <x:c r="N74" s="81"/>
      <x:c r="O74" s="81"/>
      <x:c r="P74" s="81"/>
      <x:c r="Q74" s="81"/>
      <x:c r="R74" s="81"/>
      <x:c r="S74" s="81"/>
      <x:c r="T74" s="81"/>
      <x:c r="U74" s="81"/>
      <x:c r="V74" s="81"/>
      <x:c r="W74" s="81"/>
      <x:c r="X74" s="81"/>
      <x:c r="Y74" s="81"/>
      <x:c r="Z74" s="81"/>
    </x:row>
    <x:row r="75">
      <x:c r="A75" s="81"/>
      <x:c r="B75" s="81"/>
      <x:c r="C75" s="81"/>
      <x:c r="D75" s="81"/>
      <x:c r="E75" s="81"/>
      <x:c r="F75" s="81"/>
      <x:c r="G75" s="81"/>
      <x:c r="H75" s="81"/>
      <x:c r="I75" s="81"/>
      <x:c r="J75" s="81"/>
      <x:c r="K75" s="81"/>
      <x:c r="L75" s="81"/>
      <x:c r="M75" s="81"/>
      <x:c r="N75" s="81"/>
      <x:c r="O75" s="81"/>
      <x:c r="P75" s="81"/>
      <x:c r="Q75" s="81"/>
      <x:c r="R75" s="81"/>
      <x:c r="S75" s="81"/>
      <x:c r="T75" s="81"/>
      <x:c r="U75" s="81"/>
      <x:c r="V75" s="81"/>
      <x:c r="W75" s="81"/>
      <x:c r="X75" s="81"/>
      <x:c r="Y75" s="81"/>
      <x:c r="Z75" s="81"/>
    </x:row>
    <x:row r="76">
      <x:c r="A76" s="81"/>
      <x:c r="B76" s="81"/>
      <x:c r="C76" s="81"/>
      <x:c r="D76" s="81"/>
      <x:c r="E76" s="81"/>
      <x:c r="F76" s="81"/>
      <x:c r="G76" s="81"/>
      <x:c r="H76" s="81"/>
      <x:c r="I76" s="81"/>
      <x:c r="J76" s="81"/>
      <x:c r="K76" s="81"/>
      <x:c r="L76" s="81"/>
      <x:c r="M76" s="81"/>
      <x:c r="N76" s="81"/>
      <x:c r="O76" s="81"/>
      <x:c r="P76" s="81"/>
      <x:c r="Q76" s="81"/>
      <x:c r="R76" s="81"/>
      <x:c r="S76" s="81"/>
      <x:c r="T76" s="81"/>
      <x:c r="U76" s="81"/>
      <x:c r="V76" s="81"/>
      <x:c r="W76" s="81"/>
      <x:c r="X76" s="81"/>
      <x:c r="Y76" s="81"/>
      <x:c r="Z76" s="81"/>
    </x:row>
    <x:row r="77">
      <x:c r="A77" s="81"/>
      <x:c r="B77" s="81"/>
      <x:c r="C77" s="81"/>
      <x:c r="D77" s="81"/>
      <x:c r="E77" s="81"/>
      <x:c r="F77" s="81"/>
      <x:c r="G77" s="81"/>
      <x:c r="H77" s="81"/>
      <x:c r="I77" s="81"/>
      <x:c r="J77" s="81"/>
      <x:c r="K77" s="81"/>
      <x:c r="L77" s="81"/>
      <x:c r="M77" s="81"/>
      <x:c r="N77" s="81"/>
      <x:c r="O77" s="81"/>
      <x:c r="P77" s="81"/>
      <x:c r="Q77" s="81"/>
      <x:c r="R77" s="81"/>
      <x:c r="S77" s="81"/>
      <x:c r="T77" s="81"/>
      <x:c r="U77" s="81"/>
      <x:c r="V77" s="81"/>
      <x:c r="W77" s="81"/>
      <x:c r="X77" s="81"/>
      <x:c r="Y77" s="81"/>
      <x:c r="Z77" s="81"/>
    </x:row>
    <x:row r="78">
      <x:c r="A78" s="81"/>
      <x:c r="B78" s="81"/>
      <x:c r="C78" s="81"/>
      <x:c r="D78" s="81"/>
      <x:c r="E78" s="81"/>
      <x:c r="F78" s="81"/>
      <x:c r="G78" s="81"/>
      <x:c r="H78" s="81"/>
      <x:c r="I78" s="81"/>
      <x:c r="J78" s="81"/>
      <x:c r="K78" s="81"/>
      <x:c r="L78" s="81"/>
      <x:c r="M78" s="81"/>
      <x:c r="N78" s="81"/>
      <x:c r="O78" s="81"/>
      <x:c r="P78" s="81"/>
      <x:c r="Q78" s="81"/>
      <x:c r="R78" s="81"/>
      <x:c r="S78" s="81"/>
      <x:c r="T78" s="81"/>
      <x:c r="U78" s="81"/>
      <x:c r="V78" s="81"/>
      <x:c r="W78" s="81"/>
      <x:c r="X78" s="81"/>
      <x:c r="Y78" s="81"/>
      <x:c r="Z78" s="81"/>
    </x:row>
    <x:row r="79">
      <x:c r="A79" s="81"/>
      <x:c r="B79" s="81"/>
      <x:c r="C79" s="81"/>
      <x:c r="D79" s="81"/>
      <x:c r="E79" s="81"/>
      <x:c r="F79" s="81"/>
      <x:c r="G79" s="81"/>
      <x:c r="H79" s="81"/>
      <x:c r="I79" s="81"/>
      <x:c r="J79" s="81"/>
      <x:c r="K79" s="81"/>
      <x:c r="L79" s="81"/>
      <x:c r="M79" s="81"/>
      <x:c r="N79" s="81"/>
      <x:c r="O79" s="81"/>
      <x:c r="P79" s="81"/>
      <x:c r="Q79" s="81"/>
      <x:c r="R79" s="81"/>
      <x:c r="S79" s="81"/>
      <x:c r="T79" s="81"/>
      <x:c r="U79" s="81"/>
      <x:c r="V79" s="81"/>
      <x:c r="W79" s="81"/>
      <x:c r="X79" s="81"/>
      <x:c r="Y79" s="81"/>
      <x:c r="Z79" s="81"/>
    </x:row>
    <x:row r="80">
      <x:c r="A80" s="81"/>
      <x:c r="B80" s="81"/>
      <x:c r="C80" s="81"/>
      <x:c r="D80" s="81"/>
      <x:c r="E80" s="81"/>
      <x:c r="F80" s="81"/>
      <x:c r="G80" s="81"/>
      <x:c r="H80" s="81"/>
      <x:c r="I80" s="81"/>
      <x:c r="J80" s="81"/>
      <x:c r="K80" s="81"/>
      <x:c r="L80" s="81"/>
      <x:c r="M80" s="81"/>
      <x:c r="N80" s="81"/>
      <x:c r="O80" s="81"/>
      <x:c r="P80" s="81"/>
      <x:c r="Q80" s="81"/>
      <x:c r="R80" s="81"/>
      <x:c r="S80" s="81"/>
      <x:c r="T80" s="81"/>
      <x:c r="U80" s="81"/>
      <x:c r="V80" s="81"/>
      <x:c r="W80" s="81"/>
      <x:c r="X80" s="81"/>
      <x:c r="Y80" s="81"/>
      <x:c r="Z80" s="81"/>
    </x:row>
    <x:row r="81">
      <x:c r="A81" s="81"/>
      <x:c r="B81" s="81"/>
      <x:c r="C81" s="81"/>
      <x:c r="D81" s="81"/>
      <x:c r="E81" s="81"/>
      <x:c r="F81" s="81"/>
      <x:c r="G81" s="81"/>
      <x:c r="H81" s="81"/>
      <x:c r="I81" s="81"/>
      <x:c r="J81" s="81"/>
      <x:c r="K81" s="81"/>
      <x:c r="L81" s="81"/>
      <x:c r="M81" s="81"/>
      <x:c r="N81" s="81"/>
      <x:c r="O81" s="81"/>
      <x:c r="P81" s="81"/>
      <x:c r="Q81" s="81"/>
      <x:c r="R81" s="81"/>
      <x:c r="S81" s="81"/>
      <x:c r="T81" s="81"/>
      <x:c r="U81" s="81"/>
      <x:c r="V81" s="81"/>
      <x:c r="W81" s="81"/>
      <x:c r="X81" s="81"/>
      <x:c r="Y81" s="81"/>
      <x:c r="Z81" s="81"/>
    </x:row>
    <x:row r="82">
      <x:c r="A82" s="81"/>
      <x:c r="B82" s="81"/>
      <x:c r="C82" s="81"/>
      <x:c r="D82" s="81"/>
      <x:c r="E82" s="81"/>
      <x:c r="F82" s="81"/>
      <x:c r="G82" s="81"/>
      <x:c r="H82" s="81"/>
      <x:c r="I82" s="81"/>
      <x:c r="J82" s="81"/>
      <x:c r="K82" s="81"/>
      <x:c r="L82" s="81"/>
      <x:c r="M82" s="81"/>
      <x:c r="N82" s="81"/>
      <x:c r="O82" s="81"/>
      <x:c r="P82" s="81"/>
      <x:c r="Q82" s="81"/>
      <x:c r="R82" s="81"/>
      <x:c r="S82" s="81"/>
      <x:c r="T82" s="81"/>
      <x:c r="U82" s="81"/>
      <x:c r="V82" s="81"/>
      <x:c r="W82" s="81"/>
      <x:c r="X82" s="81"/>
      <x:c r="Y82" s="81"/>
      <x:c r="Z82" s="81"/>
    </x:row>
    <x:row r="83">
      <x:c r="A83" s="81"/>
      <x:c r="B83" s="81"/>
      <x:c r="C83" s="81"/>
      <x:c r="D83" s="81"/>
      <x:c r="E83" s="81"/>
      <x:c r="F83" s="81"/>
      <x:c r="G83" s="81"/>
      <x:c r="H83" s="81"/>
      <x:c r="I83" s="81"/>
      <x:c r="J83" s="81"/>
      <x:c r="K83" s="81"/>
      <x:c r="L83" s="81"/>
      <x:c r="M83" s="81"/>
      <x:c r="N83" s="81"/>
      <x:c r="O83" s="81"/>
      <x:c r="P83" s="81"/>
      <x:c r="Q83" s="81"/>
      <x:c r="R83" s="81"/>
      <x:c r="S83" s="81"/>
      <x:c r="T83" s="81"/>
      <x:c r="U83" s="81"/>
      <x:c r="V83" s="81"/>
      <x:c r="W83" s="81"/>
      <x:c r="X83" s="81"/>
      <x:c r="Y83" s="81"/>
      <x:c r="Z83" s="81"/>
    </x:row>
    <x:row r="84">
      <x:c r="A84" s="81"/>
      <x:c r="B84" s="81"/>
      <x:c r="C84" s="81"/>
      <x:c r="D84" s="81"/>
      <x:c r="E84" s="81"/>
      <x:c r="F84" s="81"/>
      <x:c r="G84" s="81"/>
      <x:c r="H84" s="81"/>
      <x:c r="I84" s="81"/>
      <x:c r="J84" s="81"/>
      <x:c r="K84" s="81"/>
      <x:c r="L84" s="81"/>
      <x:c r="M84" s="81"/>
      <x:c r="N84" s="81"/>
      <x:c r="O84" s="81"/>
      <x:c r="P84" s="81"/>
      <x:c r="Q84" s="81"/>
      <x:c r="R84" s="81"/>
      <x:c r="S84" s="81"/>
      <x:c r="T84" s="81"/>
      <x:c r="U84" s="81"/>
      <x:c r="V84" s="81"/>
      <x:c r="W84" s="81"/>
      <x:c r="X84" s="81"/>
      <x:c r="Y84" s="81"/>
      <x:c r="Z84" s="81"/>
    </x:row>
    <x:row r="85">
      <x:c r="A85" s="81"/>
      <x:c r="B85" s="81"/>
      <x:c r="C85" s="81"/>
      <x:c r="D85" s="81"/>
      <x:c r="E85" s="81"/>
      <x:c r="F85" s="81"/>
      <x:c r="G85" s="81"/>
      <x:c r="H85" s="81"/>
      <x:c r="I85" s="81"/>
      <x:c r="J85" s="81"/>
      <x:c r="K85" s="81"/>
      <x:c r="L85" s="81"/>
      <x:c r="M85" s="81"/>
      <x:c r="N85" s="81"/>
      <x:c r="O85" s="81"/>
      <x:c r="P85" s="81"/>
      <x:c r="Q85" s="81"/>
      <x:c r="R85" s="81"/>
      <x:c r="S85" s="81"/>
      <x:c r="T85" s="81"/>
      <x:c r="U85" s="81"/>
      <x:c r="V85" s="81"/>
      <x:c r="W85" s="81"/>
      <x:c r="X85" s="81"/>
      <x:c r="Y85" s="81"/>
      <x:c r="Z85" s="81"/>
    </x:row>
    <x:row r="86">
      <x:c r="A86" s="81"/>
      <x:c r="B86" s="81"/>
      <x:c r="C86" s="81"/>
      <x:c r="D86" s="81"/>
      <x:c r="E86" s="81"/>
      <x:c r="F86" s="81"/>
      <x:c r="G86" s="81"/>
      <x:c r="H86" s="81"/>
      <x:c r="I86" s="81"/>
      <x:c r="J86" s="81"/>
      <x:c r="K86" s="81"/>
      <x:c r="L86" s="81"/>
      <x:c r="M86" s="81"/>
      <x:c r="N86" s="81"/>
      <x:c r="O86" s="81"/>
      <x:c r="P86" s="81"/>
      <x:c r="Q86" s="81"/>
      <x:c r="R86" s="81"/>
      <x:c r="S86" s="81"/>
      <x:c r="T86" s="81"/>
      <x:c r="U86" s="81"/>
      <x:c r="V86" s="81"/>
      <x:c r="W86" s="81"/>
      <x:c r="X86" s="81"/>
      <x:c r="Y86" s="81"/>
      <x:c r="Z86" s="81"/>
    </x:row>
    <x:row r="87">
      <x:c r="A87" s="81"/>
      <x:c r="B87" s="81"/>
      <x:c r="C87" s="81"/>
      <x:c r="D87" s="81"/>
      <x:c r="E87" s="81"/>
      <x:c r="F87" s="81"/>
      <x:c r="G87" s="81"/>
      <x:c r="H87" s="81"/>
      <x:c r="I87" s="81"/>
      <x:c r="J87" s="81"/>
      <x:c r="K87" s="81"/>
      <x:c r="L87" s="81"/>
      <x:c r="M87" s="81"/>
      <x:c r="N87" s="81"/>
      <x:c r="O87" s="81"/>
      <x:c r="P87" s="81"/>
      <x:c r="Q87" s="81"/>
      <x:c r="R87" s="81"/>
      <x:c r="S87" s="81"/>
      <x:c r="T87" s="81"/>
      <x:c r="U87" s="81"/>
      <x:c r="V87" s="81"/>
      <x:c r="W87" s="81"/>
      <x:c r="X87" s="81"/>
      <x:c r="Y87" s="81"/>
      <x:c r="Z87" s="81"/>
    </x:row>
    <x:row r="88">
      <x:c r="A88" s="81"/>
      <x:c r="B88" s="81"/>
      <x:c r="C88" s="81"/>
      <x:c r="D88" s="81"/>
      <x:c r="E88" s="81"/>
      <x:c r="F88" s="81"/>
      <x:c r="G88" s="81"/>
      <x:c r="H88" s="81"/>
      <x:c r="I88" s="81"/>
      <x:c r="J88" s="81"/>
      <x:c r="K88" s="81"/>
      <x:c r="L88" s="81"/>
      <x:c r="M88" s="81"/>
      <x:c r="N88" s="81"/>
      <x:c r="O88" s="81"/>
      <x:c r="P88" s="81"/>
      <x:c r="Q88" s="81"/>
      <x:c r="R88" s="81"/>
      <x:c r="S88" s="81"/>
      <x:c r="T88" s="81"/>
      <x:c r="U88" s="81"/>
      <x:c r="V88" s="81"/>
      <x:c r="W88" s="81"/>
      <x:c r="X88" s="81"/>
      <x:c r="Y88" s="81"/>
      <x:c r="Z88" s="81"/>
    </x:row>
    <x:row r="89">
      <x:c r="A89" s="81"/>
      <x:c r="B89" s="81"/>
      <x:c r="C89" s="81"/>
      <x:c r="D89" s="81"/>
      <x:c r="E89" s="81"/>
      <x:c r="F89" s="81"/>
      <x:c r="G89" s="81"/>
      <x:c r="H89" s="81"/>
      <x:c r="I89" s="81"/>
      <x:c r="J89" s="81"/>
      <x:c r="K89" s="81"/>
      <x:c r="L89" s="81"/>
      <x:c r="M89" s="81"/>
      <x:c r="N89" s="81"/>
      <x:c r="O89" s="81"/>
      <x:c r="P89" s="81"/>
      <x:c r="Q89" s="81"/>
      <x:c r="R89" s="81"/>
      <x:c r="S89" s="81"/>
      <x:c r="T89" s="81"/>
      <x:c r="U89" s="81"/>
      <x:c r="V89" s="81"/>
      <x:c r="W89" s="81"/>
      <x:c r="X89" s="81"/>
      <x:c r="Y89" s="81"/>
      <x:c r="Z89" s="81"/>
    </x:row>
    <x:row r="90">
      <x:c r="A90" s="81"/>
      <x:c r="B90" s="81"/>
      <x:c r="C90" s="81"/>
      <x:c r="D90" s="81"/>
      <x:c r="E90" s="81"/>
      <x:c r="F90" s="81"/>
      <x:c r="G90" s="81"/>
      <x:c r="H90" s="81"/>
      <x:c r="I90" s="81"/>
      <x:c r="J90" s="81"/>
      <x:c r="K90" s="81"/>
      <x:c r="L90" s="81"/>
      <x:c r="M90" s="81"/>
      <x:c r="N90" s="81"/>
      <x:c r="O90" s="81"/>
      <x:c r="P90" s="81"/>
      <x:c r="Q90" s="81"/>
      <x:c r="R90" s="81"/>
      <x:c r="S90" s="81"/>
      <x:c r="T90" s="81"/>
      <x:c r="U90" s="81"/>
      <x:c r="V90" s="81"/>
      <x:c r="W90" s="81"/>
      <x:c r="X90" s="81"/>
      <x:c r="Y90" s="81"/>
      <x:c r="Z90" s="81"/>
    </x:row>
    <x:row r="91">
      <x:c r="A91" s="81"/>
      <x:c r="B91" s="81"/>
      <x:c r="C91" s="81"/>
      <x:c r="D91" s="81"/>
      <x:c r="E91" s="81"/>
      <x:c r="F91" s="81"/>
      <x:c r="G91" s="81"/>
      <x:c r="H91" s="81"/>
      <x:c r="I91" s="81"/>
      <x:c r="J91" s="81"/>
      <x:c r="K91" s="81"/>
      <x:c r="L91" s="81"/>
      <x:c r="M91" s="81"/>
      <x:c r="N91" s="81"/>
      <x:c r="O91" s="81"/>
      <x:c r="P91" s="81"/>
      <x:c r="Q91" s="81"/>
      <x:c r="R91" s="81"/>
      <x:c r="S91" s="81"/>
      <x:c r="T91" s="81"/>
      <x:c r="U91" s="81"/>
      <x:c r="V91" s="81"/>
      <x:c r="W91" s="81"/>
      <x:c r="X91" s="81"/>
      <x:c r="Y91" s="81"/>
      <x:c r="Z91" s="81"/>
    </x:row>
    <x:row r="92">
      <x:c r="A92" s="81"/>
      <x:c r="B92" s="81"/>
      <x:c r="C92" s="81"/>
      <x:c r="D92" s="81"/>
      <x:c r="E92" s="81"/>
      <x:c r="F92" s="81"/>
      <x:c r="G92" s="81"/>
      <x:c r="H92" s="81"/>
      <x:c r="I92" s="81"/>
      <x:c r="J92" s="81"/>
      <x:c r="K92" s="81"/>
      <x:c r="L92" s="81"/>
      <x:c r="M92" s="81"/>
      <x:c r="N92" s="81"/>
      <x:c r="O92" s="81"/>
      <x:c r="P92" s="81"/>
      <x:c r="Q92" s="81"/>
      <x:c r="R92" s="81"/>
      <x:c r="S92" s="81"/>
      <x:c r="T92" s="81"/>
      <x:c r="U92" s="81"/>
      <x:c r="V92" s="81"/>
      <x:c r="W92" s="81"/>
      <x:c r="X92" s="81"/>
      <x:c r="Y92" s="81"/>
      <x:c r="Z92" s="81"/>
    </x:row>
    <x:row r="93">
      <x:c r="A93" s="81"/>
      <x:c r="B93" s="81"/>
      <x:c r="C93" s="81"/>
      <x:c r="D93" s="81"/>
      <x:c r="E93" s="81"/>
      <x:c r="F93" s="81"/>
      <x:c r="G93" s="81"/>
      <x:c r="H93" s="81"/>
      <x:c r="I93" s="81"/>
      <x:c r="J93" s="81"/>
      <x:c r="K93" s="81"/>
      <x:c r="L93" s="81"/>
      <x:c r="M93" s="81"/>
      <x:c r="N93" s="81"/>
      <x:c r="O93" s="81"/>
      <x:c r="P93" s="81"/>
      <x:c r="Q93" s="81"/>
      <x:c r="R93" s="81"/>
      <x:c r="S93" s="81"/>
      <x:c r="T93" s="81"/>
      <x:c r="U93" s="81"/>
      <x:c r="V93" s="81"/>
      <x:c r="W93" s="81"/>
      <x:c r="X93" s="81"/>
      <x:c r="Y93" s="81"/>
      <x:c r="Z93" s="81"/>
    </x:row>
    <x:row r="94">
      <x:c r="A94" s="81"/>
      <x:c r="B94" s="81"/>
      <x:c r="C94" s="81"/>
      <x:c r="D94" s="81"/>
      <x:c r="E94" s="81"/>
      <x:c r="F94" s="81"/>
      <x:c r="G94" s="81"/>
      <x:c r="H94" s="81"/>
      <x:c r="I94" s="81"/>
      <x:c r="J94" s="81"/>
      <x:c r="K94" s="81"/>
      <x:c r="L94" s="81"/>
      <x:c r="M94" s="81"/>
      <x:c r="N94" s="81"/>
      <x:c r="O94" s="81"/>
      <x:c r="P94" s="81"/>
      <x:c r="Q94" s="81"/>
      <x:c r="R94" s="81"/>
      <x:c r="S94" s="81"/>
      <x:c r="T94" s="81"/>
      <x:c r="U94" s="81"/>
      <x:c r="V94" s="81"/>
      <x:c r="W94" s="81"/>
      <x:c r="X94" s="81"/>
      <x:c r="Y94" s="81"/>
      <x:c r="Z94" s="81"/>
    </x:row>
    <x:row r="95">
      <x:c r="A95" s="81"/>
      <x:c r="B95" s="81"/>
      <x:c r="C95" s="81"/>
      <x:c r="D95" s="81"/>
      <x:c r="E95" s="81"/>
      <x:c r="F95" s="81"/>
      <x:c r="G95" s="81"/>
      <x:c r="H95" s="81"/>
      <x:c r="I95" s="81"/>
      <x:c r="J95" s="81"/>
      <x:c r="K95" s="81"/>
      <x:c r="L95" s="81"/>
      <x:c r="M95" s="81"/>
      <x:c r="N95" s="81"/>
      <x:c r="O95" s="81"/>
      <x:c r="P95" s="81"/>
      <x:c r="Q95" s="81"/>
      <x:c r="R95" s="81"/>
      <x:c r="S95" s="81"/>
      <x:c r="T95" s="81"/>
      <x:c r="U95" s="81"/>
      <x:c r="V95" s="81"/>
      <x:c r="W95" s="81"/>
      <x:c r="X95" s="81"/>
      <x:c r="Y95" s="81"/>
      <x:c r="Z95" s="81"/>
    </x:row>
    <x:row r="96">
      <x:c r="A96" s="81"/>
      <x:c r="B96" s="81"/>
      <x:c r="C96" s="81"/>
      <x:c r="D96" s="81"/>
      <x:c r="E96" s="81"/>
      <x:c r="F96" s="81"/>
      <x:c r="G96" s="81"/>
      <x:c r="H96" s="81"/>
      <x:c r="I96" s="81"/>
      <x:c r="J96" s="81"/>
      <x:c r="K96" s="81"/>
      <x:c r="L96" s="81"/>
      <x:c r="M96" s="81"/>
      <x:c r="N96" s="81"/>
      <x:c r="O96" s="81"/>
      <x:c r="P96" s="81"/>
      <x:c r="Q96" s="81"/>
      <x:c r="R96" s="81"/>
      <x:c r="S96" s="81"/>
      <x:c r="T96" s="81"/>
      <x:c r="U96" s="81"/>
      <x:c r="V96" s="81"/>
      <x:c r="W96" s="81"/>
      <x:c r="X96" s="81"/>
      <x:c r="Y96" s="81"/>
      <x:c r="Z96" s="81"/>
    </x:row>
    <x:row r="97">
      <x:c r="A97" s="81"/>
      <x:c r="B97" s="81"/>
      <x:c r="C97" s="81"/>
      <x:c r="D97" s="81"/>
      <x:c r="E97" s="81"/>
      <x:c r="F97" s="81"/>
      <x:c r="G97" s="81"/>
      <x:c r="H97" s="81"/>
      <x:c r="I97" s="81"/>
      <x:c r="J97" s="81"/>
      <x:c r="K97" s="81"/>
      <x:c r="L97" s="81"/>
      <x:c r="M97" s="81"/>
      <x:c r="N97" s="81"/>
      <x:c r="O97" s="81"/>
      <x:c r="P97" s="81"/>
      <x:c r="Q97" s="81"/>
      <x:c r="R97" s="81"/>
      <x:c r="S97" s="81"/>
      <x:c r="T97" s="81"/>
      <x:c r="U97" s="81"/>
      <x:c r="V97" s="81"/>
      <x:c r="W97" s="81"/>
      <x:c r="X97" s="81"/>
      <x:c r="Y97" s="81"/>
      <x:c r="Z97" s="81"/>
    </x:row>
    <x:row r="98">
      <x:c r="A98" s="81"/>
      <x:c r="B98" s="81"/>
      <x:c r="C98" s="81"/>
      <x:c r="D98" s="81"/>
      <x:c r="E98" s="81"/>
      <x:c r="F98" s="81"/>
      <x:c r="G98" s="81"/>
      <x:c r="H98" s="81"/>
      <x:c r="I98" s="81"/>
      <x:c r="J98" s="81"/>
      <x:c r="K98" s="81"/>
      <x:c r="L98" s="81"/>
      <x:c r="M98" s="81"/>
      <x:c r="N98" s="81"/>
      <x:c r="O98" s="81"/>
      <x:c r="P98" s="81"/>
      <x:c r="Q98" s="81"/>
      <x:c r="R98" s="81"/>
      <x:c r="S98" s="81"/>
      <x:c r="T98" s="81"/>
      <x:c r="U98" s="81"/>
      <x:c r="V98" s="81"/>
      <x:c r="W98" s="81"/>
      <x:c r="X98" s="81"/>
      <x:c r="Y98" s="81"/>
      <x:c r="Z98" s="81"/>
    </x:row>
    <x:row r="99">
      <x:c r="A99" s="81"/>
      <x:c r="B99" s="81"/>
      <x:c r="C99" s="81"/>
      <x:c r="D99" s="81"/>
      <x:c r="E99" s="81"/>
      <x:c r="F99" s="81"/>
      <x:c r="G99" s="81"/>
      <x:c r="H99" s="81"/>
      <x:c r="I99" s="81"/>
      <x:c r="J99" s="81"/>
      <x:c r="K99" s="81"/>
      <x:c r="L99" s="81"/>
      <x:c r="M99" s="81"/>
      <x:c r="N99" s="81"/>
      <x:c r="O99" s="81"/>
      <x:c r="P99" s="81"/>
      <x:c r="Q99" s="81"/>
      <x:c r="R99" s="81"/>
      <x:c r="S99" s="81"/>
      <x:c r="T99" s="81"/>
      <x:c r="U99" s="81"/>
      <x:c r="V99" s="81"/>
      <x:c r="W99" s="81"/>
      <x:c r="X99" s="81"/>
      <x:c r="Y99" s="81"/>
      <x:c r="Z99" s="81"/>
    </x:row>
    <x:row r="100">
      <x:c r="A100" s="81"/>
      <x:c r="B100" s="81"/>
      <x:c r="C100" s="81"/>
      <x:c r="D100" s="81"/>
      <x:c r="E100" s="81"/>
      <x:c r="F100" s="81"/>
      <x:c r="G100" s="81"/>
      <x:c r="H100" s="81"/>
      <x:c r="I100" s="81"/>
      <x:c r="J100" s="81"/>
      <x:c r="K100" s="81"/>
      <x:c r="L100" s="81"/>
      <x:c r="M100" s="81"/>
      <x:c r="N100" s="81"/>
      <x:c r="O100" s="81"/>
      <x:c r="P100" s="81"/>
      <x:c r="Q100" s="81"/>
      <x:c r="R100" s="81"/>
      <x:c r="S100" s="81"/>
      <x:c r="T100" s="81"/>
      <x:c r="U100" s="81"/>
      <x:c r="V100" s="81"/>
      <x:c r="W100" s="81"/>
      <x:c r="X100" s="81"/>
      <x:c r="Y100" s="81"/>
      <x:c r="Z100" s="81"/>
    </x:row>
    <x:row r="101">
      <x:c r="A101" s="81"/>
      <x:c r="B101" s="81"/>
      <x:c r="C101" s="81"/>
      <x:c r="D101" s="81"/>
      <x:c r="E101" s="81"/>
      <x:c r="F101" s="81"/>
      <x:c r="G101" s="81"/>
      <x:c r="H101" s="81"/>
      <x:c r="I101" s="81"/>
      <x:c r="J101" s="81"/>
      <x:c r="K101" s="81"/>
      <x:c r="L101" s="81"/>
      <x:c r="M101" s="81"/>
      <x:c r="N101" s="81"/>
      <x:c r="O101" s="81"/>
      <x:c r="P101" s="81"/>
      <x:c r="Q101" s="81"/>
      <x:c r="R101" s="81"/>
      <x:c r="S101" s="81"/>
      <x:c r="T101" s="81"/>
      <x:c r="U101" s="81"/>
      <x:c r="V101" s="81"/>
      <x:c r="W101" s="81"/>
      <x:c r="X101" s="81"/>
      <x:c r="Y101" s="81"/>
      <x:c r="Z101" s="81"/>
    </x:row>
    <x:row r="102">
      <x:c r="A102" s="81"/>
      <x:c r="B102" s="81"/>
      <x:c r="C102" s="81"/>
      <x:c r="D102" s="81"/>
      <x:c r="E102" s="81"/>
      <x:c r="F102" s="81"/>
      <x:c r="G102" s="81"/>
      <x:c r="H102" s="81"/>
      <x:c r="I102" s="81"/>
      <x:c r="J102" s="81"/>
      <x:c r="K102" s="81"/>
      <x:c r="L102" s="81"/>
      <x:c r="M102" s="81"/>
      <x:c r="N102" s="81"/>
      <x:c r="O102" s="81"/>
      <x:c r="P102" s="81"/>
      <x:c r="Q102" s="81"/>
      <x:c r="R102" s="81"/>
      <x:c r="S102" s="81"/>
      <x:c r="T102" s="81"/>
      <x:c r="U102" s="81"/>
      <x:c r="V102" s="81"/>
      <x:c r="W102" s="81"/>
      <x:c r="X102" s="81"/>
      <x:c r="Y102" s="81"/>
      <x:c r="Z102" s="81"/>
    </x:row>
    <x:row r="103">
      <x:c r="A103" s="81"/>
      <x:c r="B103" s="81"/>
      <x:c r="C103" s="81"/>
      <x:c r="D103" s="81"/>
      <x:c r="E103" s="81"/>
      <x:c r="F103" s="81"/>
      <x:c r="G103" s="81"/>
      <x:c r="H103" s="81"/>
      <x:c r="I103" s="81"/>
      <x:c r="J103" s="81"/>
      <x:c r="K103" s="81"/>
      <x:c r="L103" s="81"/>
      <x:c r="M103" s="81"/>
      <x:c r="N103" s="81"/>
      <x:c r="O103" s="81"/>
      <x:c r="P103" s="81"/>
      <x:c r="Q103" s="81"/>
      <x:c r="R103" s="81"/>
      <x:c r="S103" s="81"/>
      <x:c r="T103" s="81"/>
      <x:c r="U103" s="81"/>
      <x:c r="V103" s="81"/>
      <x:c r="W103" s="81"/>
      <x:c r="X103" s="81"/>
      <x:c r="Y103" s="81"/>
      <x:c r="Z103" s="81"/>
    </x:row>
    <x:row r="104">
      <x:c r="A104" s="81"/>
      <x:c r="B104" s="81"/>
      <x:c r="C104" s="81"/>
      <x:c r="D104" s="81"/>
      <x:c r="E104" s="81"/>
      <x:c r="F104" s="81"/>
      <x:c r="G104" s="81"/>
      <x:c r="H104" s="81"/>
      <x:c r="I104" s="81"/>
      <x:c r="J104" s="81"/>
      <x:c r="K104" s="81"/>
      <x:c r="L104" s="81"/>
      <x:c r="M104" s="81"/>
      <x:c r="N104" s="81"/>
      <x:c r="O104" s="81"/>
      <x:c r="P104" s="81"/>
      <x:c r="Q104" s="81"/>
      <x:c r="R104" s="81"/>
      <x:c r="S104" s="81"/>
      <x:c r="T104" s="81"/>
      <x:c r="U104" s="81"/>
      <x:c r="V104" s="81"/>
      <x:c r="W104" s="81"/>
      <x:c r="X104" s="81"/>
      <x:c r="Y104" s="81"/>
      <x:c r="Z104" s="81"/>
    </x:row>
    <x:row r="105">
      <x:c r="A105" s="81"/>
      <x:c r="B105" s="81"/>
      <x:c r="C105" s="81"/>
      <x:c r="D105" s="81"/>
      <x:c r="E105" s="81"/>
      <x:c r="F105" s="81"/>
      <x:c r="G105" s="81"/>
      <x:c r="H105" s="81"/>
      <x:c r="I105" s="81"/>
      <x:c r="J105" s="81"/>
      <x:c r="K105" s="81"/>
      <x:c r="L105" s="81"/>
      <x:c r="M105" s="81"/>
      <x:c r="N105" s="81"/>
      <x:c r="O105" s="81"/>
      <x:c r="P105" s="81"/>
      <x:c r="Q105" s="81"/>
      <x:c r="R105" s="81"/>
      <x:c r="S105" s="81"/>
      <x:c r="T105" s="81"/>
      <x:c r="U105" s="81"/>
      <x:c r="V105" s="81"/>
      <x:c r="W105" s="81"/>
      <x:c r="X105" s="81"/>
      <x:c r="Y105" s="81"/>
      <x:c r="Z105" s="81"/>
    </x:row>
    <x:row r="106">
      <x:c r="A106" s="81"/>
      <x:c r="B106" s="81"/>
      <x:c r="C106" s="81"/>
      <x:c r="D106" s="81"/>
      <x:c r="E106" s="81"/>
      <x:c r="F106" s="81"/>
      <x:c r="G106" s="81"/>
      <x:c r="H106" s="81"/>
      <x:c r="I106" s="81"/>
      <x:c r="J106" s="81"/>
      <x:c r="K106" s="81"/>
      <x:c r="L106" s="81"/>
      <x:c r="M106" s="81"/>
      <x:c r="N106" s="81"/>
      <x:c r="O106" s="81"/>
      <x:c r="P106" s="81"/>
      <x:c r="Q106" s="81"/>
      <x:c r="R106" s="81"/>
      <x:c r="S106" s="81"/>
      <x:c r="T106" s="81"/>
      <x:c r="U106" s="81"/>
      <x:c r="V106" s="81"/>
      <x:c r="W106" s="81"/>
      <x:c r="X106" s="81"/>
      <x:c r="Y106" s="81"/>
      <x:c r="Z106" s="81"/>
    </x:row>
    <x:row r="107">
      <x:c r="A107" s="81"/>
      <x:c r="B107" s="81"/>
      <x:c r="C107" s="81"/>
      <x:c r="D107" s="81"/>
      <x:c r="E107" s="81"/>
      <x:c r="F107" s="81"/>
      <x:c r="G107" s="81"/>
      <x:c r="H107" s="81"/>
      <x:c r="I107" s="81"/>
      <x:c r="J107" s="81"/>
      <x:c r="K107" s="81"/>
      <x:c r="L107" s="81"/>
      <x:c r="M107" s="81"/>
      <x:c r="N107" s="81"/>
      <x:c r="O107" s="81"/>
      <x:c r="P107" s="81"/>
      <x:c r="Q107" s="81"/>
      <x:c r="R107" s="81"/>
      <x:c r="S107" s="81"/>
      <x:c r="T107" s="81"/>
      <x:c r="U107" s="81"/>
      <x:c r="V107" s="81"/>
      <x:c r="W107" s="81"/>
      <x:c r="X107" s="81"/>
      <x:c r="Y107" s="81"/>
      <x:c r="Z107" s="81"/>
    </x:row>
    <x:row r="108">
      <x:c r="A108" s="81"/>
      <x:c r="B108" s="81"/>
      <x:c r="C108" s="81"/>
      <x:c r="D108" s="81"/>
      <x:c r="E108" s="81"/>
      <x:c r="F108" s="81"/>
      <x:c r="G108" s="81"/>
      <x:c r="H108" s="81"/>
      <x:c r="I108" s="81"/>
      <x:c r="J108" s="81"/>
      <x:c r="K108" s="81"/>
      <x:c r="L108" s="81"/>
      <x:c r="M108" s="81"/>
      <x:c r="N108" s="81"/>
      <x:c r="O108" s="81"/>
      <x:c r="P108" s="81"/>
      <x:c r="Q108" s="81"/>
      <x:c r="R108" s="81"/>
      <x:c r="S108" s="81"/>
      <x:c r="T108" s="81"/>
      <x:c r="U108" s="81"/>
      <x:c r="V108" s="81"/>
      <x:c r="W108" s="81"/>
      <x:c r="X108" s="81"/>
      <x:c r="Y108" s="81"/>
      <x:c r="Z108" s="81"/>
    </x:row>
    <x:row r="109">
      <x:c r="A109" s="81"/>
      <x:c r="B109" s="81"/>
      <x:c r="C109" s="81"/>
      <x:c r="D109" s="81"/>
      <x:c r="E109" s="81"/>
      <x:c r="F109" s="81"/>
      <x:c r="G109" s="81"/>
      <x:c r="H109" s="81"/>
      <x:c r="I109" s="81"/>
      <x:c r="J109" s="81"/>
      <x:c r="K109" s="81"/>
      <x:c r="L109" s="81"/>
      <x:c r="M109" s="81"/>
      <x:c r="N109" s="81"/>
      <x:c r="O109" s="81"/>
      <x:c r="P109" s="81"/>
      <x:c r="Q109" s="81"/>
      <x:c r="R109" s="81"/>
      <x:c r="S109" s="81"/>
      <x:c r="T109" s="81"/>
      <x:c r="U109" s="81"/>
      <x:c r="V109" s="81"/>
      <x:c r="W109" s="81"/>
      <x:c r="X109" s="81"/>
      <x:c r="Y109" s="81"/>
      <x:c r="Z109" s="81"/>
    </x:row>
    <x:row r="110">
      <x:c r="A110" s="81"/>
      <x:c r="B110" s="81"/>
      <x:c r="C110" s="81"/>
      <x:c r="D110" s="81"/>
      <x:c r="E110" s="81"/>
      <x:c r="F110" s="81"/>
      <x:c r="G110" s="81"/>
      <x:c r="H110" s="81"/>
      <x:c r="I110" s="81"/>
      <x:c r="J110" s="81"/>
      <x:c r="K110" s="81"/>
      <x:c r="L110" s="81"/>
      <x:c r="M110" s="81"/>
      <x:c r="N110" s="81"/>
      <x:c r="O110" s="81"/>
      <x:c r="P110" s="81"/>
      <x:c r="Q110" s="81"/>
      <x:c r="R110" s="81"/>
      <x:c r="S110" s="81"/>
      <x:c r="T110" s="81"/>
      <x:c r="U110" s="81"/>
      <x:c r="V110" s="81"/>
      <x:c r="W110" s="81"/>
      <x:c r="X110" s="81"/>
      <x:c r="Y110" s="81"/>
      <x:c r="Z110" s="81"/>
    </x:row>
    <x:row r="111">
      <x:c r="A111" s="81"/>
      <x:c r="B111" s="81"/>
      <x:c r="C111" s="81"/>
      <x:c r="D111" s="81"/>
      <x:c r="E111" s="81"/>
      <x:c r="F111" s="81"/>
      <x:c r="G111" s="81"/>
      <x:c r="H111" s="81"/>
      <x:c r="I111" s="81"/>
      <x:c r="J111" s="81"/>
      <x:c r="K111" s="81"/>
      <x:c r="L111" s="81"/>
      <x:c r="M111" s="81"/>
      <x:c r="N111" s="81"/>
      <x:c r="O111" s="81"/>
      <x:c r="P111" s="81"/>
      <x:c r="Q111" s="81"/>
      <x:c r="R111" s="81"/>
      <x:c r="S111" s="81"/>
      <x:c r="T111" s="81"/>
      <x:c r="U111" s="81"/>
      <x:c r="V111" s="81"/>
      <x:c r="W111" s="81"/>
      <x:c r="X111" s="81"/>
      <x:c r="Y111" s="81"/>
      <x:c r="Z111" s="81"/>
    </x:row>
    <x:row r="112">
      <x:c r="A112" s="81"/>
      <x:c r="B112" s="81"/>
      <x:c r="C112" s="81"/>
      <x:c r="D112" s="81"/>
      <x:c r="E112" s="81"/>
      <x:c r="F112" s="81"/>
      <x:c r="G112" s="81"/>
      <x:c r="H112" s="81"/>
      <x:c r="I112" s="81"/>
      <x:c r="J112" s="81"/>
      <x:c r="K112" s="81"/>
      <x:c r="L112" s="81"/>
      <x:c r="M112" s="81"/>
      <x:c r="N112" s="81"/>
      <x:c r="O112" s="81"/>
      <x:c r="P112" s="81"/>
      <x:c r="Q112" s="81"/>
      <x:c r="R112" s="81"/>
      <x:c r="S112" s="81"/>
      <x:c r="T112" s="81"/>
      <x:c r="U112" s="81"/>
      <x:c r="V112" s="81"/>
      <x:c r="W112" s="81"/>
      <x:c r="X112" s="81"/>
      <x:c r="Y112" s="81"/>
      <x:c r="Z112" s="81"/>
    </x:row>
    <x:row r="113">
      <x:c r="A113" s="81"/>
      <x:c r="B113" s="81"/>
      <x:c r="C113" s="81"/>
      <x:c r="D113" s="81"/>
      <x:c r="E113" s="81"/>
      <x:c r="F113" s="81"/>
      <x:c r="G113" s="81"/>
      <x:c r="H113" s="81"/>
      <x:c r="I113" s="81"/>
      <x:c r="J113" s="81"/>
      <x:c r="K113" s="81"/>
      <x:c r="L113" s="81"/>
      <x:c r="M113" s="81"/>
      <x:c r="N113" s="81"/>
      <x:c r="O113" s="81"/>
      <x:c r="P113" s="81"/>
      <x:c r="Q113" s="81"/>
      <x:c r="R113" s="81"/>
      <x:c r="S113" s="81"/>
      <x:c r="T113" s="81"/>
      <x:c r="U113" s="81"/>
      <x:c r="V113" s="81"/>
      <x:c r="W113" s="81"/>
      <x:c r="X113" s="81"/>
      <x:c r="Y113" s="81"/>
      <x:c r="Z113" s="81"/>
    </x:row>
    <x:row r="114">
      <x:c r="A114" s="81"/>
      <x:c r="B114" s="81"/>
      <x:c r="C114" s="81"/>
      <x:c r="D114" s="81"/>
      <x:c r="E114" s="81"/>
      <x:c r="F114" s="81"/>
      <x:c r="G114" s="81"/>
      <x:c r="H114" s="81"/>
      <x:c r="I114" s="81"/>
      <x:c r="J114" s="81"/>
      <x:c r="K114" s="81"/>
      <x:c r="L114" s="81"/>
      <x:c r="M114" s="81"/>
      <x:c r="N114" s="81"/>
      <x:c r="O114" s="81"/>
      <x:c r="P114" s="81"/>
      <x:c r="Q114" s="81"/>
      <x:c r="R114" s="81"/>
      <x:c r="S114" s="81"/>
      <x:c r="T114" s="81"/>
      <x:c r="U114" s="81"/>
      <x:c r="V114" s="81"/>
      <x:c r="W114" s="81"/>
      <x:c r="X114" s="81"/>
      <x:c r="Y114" s="81"/>
      <x:c r="Z114" s="81"/>
    </x:row>
    <x:row r="115">
      <x:c r="A115" s="81"/>
      <x:c r="B115" s="81"/>
      <x:c r="C115" s="81"/>
      <x:c r="D115" s="81"/>
      <x:c r="E115" s="81"/>
      <x:c r="F115" s="81"/>
      <x:c r="G115" s="81"/>
      <x:c r="H115" s="81"/>
      <x:c r="I115" s="81"/>
      <x:c r="J115" s="81"/>
      <x:c r="K115" s="81"/>
      <x:c r="L115" s="81"/>
      <x:c r="M115" s="81"/>
      <x:c r="N115" s="81"/>
      <x:c r="O115" s="81"/>
      <x:c r="P115" s="81"/>
      <x:c r="Q115" s="81"/>
      <x:c r="R115" s="81"/>
      <x:c r="S115" s="81"/>
      <x:c r="T115" s="81"/>
      <x:c r="U115" s="81"/>
      <x:c r="V115" s="81"/>
      <x:c r="W115" s="81"/>
      <x:c r="X115" s="81"/>
      <x:c r="Y115" s="81"/>
      <x:c r="Z115" s="81"/>
    </x:row>
    <x:row r="116">
      <x:c r="A116" s="81"/>
      <x:c r="B116" s="81"/>
      <x:c r="C116" s="81"/>
      <x:c r="D116" s="81"/>
      <x:c r="E116" s="81"/>
      <x:c r="F116" s="81"/>
      <x:c r="G116" s="81"/>
      <x:c r="H116" s="81"/>
      <x:c r="I116" s="81"/>
      <x:c r="J116" s="81"/>
      <x:c r="K116" s="81"/>
      <x:c r="L116" s="81"/>
      <x:c r="M116" s="81"/>
      <x:c r="N116" s="81"/>
      <x:c r="O116" s="81"/>
      <x:c r="P116" s="81"/>
      <x:c r="Q116" s="81"/>
      <x:c r="R116" s="81"/>
      <x:c r="S116" s="81"/>
      <x:c r="T116" s="81"/>
      <x:c r="U116" s="81"/>
      <x:c r="V116" s="81"/>
      <x:c r="W116" s="81"/>
      <x:c r="X116" s="81"/>
      <x:c r="Y116" s="81"/>
      <x:c r="Z116" s="81"/>
    </x:row>
    <x:row r="117">
      <x:c r="A117" s="81"/>
      <x:c r="B117" s="81"/>
      <x:c r="C117" s="81"/>
      <x:c r="D117" s="81"/>
      <x:c r="E117" s="81"/>
      <x:c r="F117" s="81"/>
      <x:c r="G117" s="81"/>
      <x:c r="H117" s="81"/>
      <x:c r="I117" s="81"/>
      <x:c r="J117" s="81"/>
      <x:c r="K117" s="81"/>
      <x:c r="L117" s="81"/>
      <x:c r="M117" s="81"/>
      <x:c r="N117" s="81"/>
      <x:c r="O117" s="81"/>
      <x:c r="P117" s="81"/>
      <x:c r="Q117" s="81"/>
      <x:c r="R117" s="81"/>
      <x:c r="S117" s="81"/>
      <x:c r="T117" s="81"/>
      <x:c r="U117" s="81"/>
      <x:c r="V117" s="81"/>
      <x:c r="W117" s="81"/>
      <x:c r="X117" s="81"/>
      <x:c r="Y117" s="81"/>
      <x:c r="Z117" s="81"/>
    </x:row>
    <x:row r="118">
      <x:c r="A118" s="81"/>
      <x:c r="B118" s="81"/>
      <x:c r="C118" s="81"/>
      <x:c r="D118" s="81"/>
      <x:c r="E118" s="81"/>
      <x:c r="F118" s="81"/>
      <x:c r="G118" s="81"/>
      <x:c r="H118" s="81"/>
      <x:c r="I118" s="81"/>
      <x:c r="J118" s="81"/>
      <x:c r="K118" s="81"/>
      <x:c r="L118" s="81"/>
      <x:c r="M118" s="81"/>
      <x:c r="N118" s="81"/>
      <x:c r="O118" s="81"/>
      <x:c r="P118" s="81"/>
      <x:c r="Q118" s="81"/>
      <x:c r="R118" s="81"/>
      <x:c r="S118" s="81"/>
      <x:c r="T118" s="81"/>
      <x:c r="U118" s="81"/>
      <x:c r="V118" s="81"/>
      <x:c r="W118" s="81"/>
      <x:c r="X118" s="81"/>
      <x:c r="Y118" s="81"/>
      <x:c r="Z118" s="81"/>
    </x:row>
    <x:row r="119">
      <x:c r="A119" s="81"/>
      <x:c r="B119" s="81"/>
      <x:c r="C119" s="81"/>
      <x:c r="D119" s="81"/>
      <x:c r="E119" s="81"/>
      <x:c r="F119" s="81"/>
      <x:c r="G119" s="81"/>
      <x:c r="H119" s="81"/>
      <x:c r="I119" s="81"/>
      <x:c r="J119" s="81"/>
      <x:c r="K119" s="81"/>
      <x:c r="L119" s="81"/>
      <x:c r="M119" s="81"/>
      <x:c r="N119" s="81"/>
      <x:c r="O119" s="81"/>
      <x:c r="P119" s="81"/>
      <x:c r="Q119" s="81"/>
      <x:c r="R119" s="81"/>
      <x:c r="S119" s="81"/>
      <x:c r="T119" s="81"/>
      <x:c r="U119" s="81"/>
      <x:c r="V119" s="81"/>
      <x:c r="W119" s="81"/>
      <x:c r="X119" s="81"/>
      <x:c r="Y119" s="81"/>
      <x:c r="Z119" s="81"/>
    </x:row>
    <x:row r="120">
      <x:c r="A120" s="81"/>
      <x:c r="B120" s="81"/>
      <x:c r="C120" s="81"/>
      <x:c r="D120" s="81"/>
      <x:c r="E120" s="81"/>
      <x:c r="F120" s="81"/>
      <x:c r="G120" s="81"/>
      <x:c r="H120" s="81"/>
      <x:c r="I120" s="81"/>
      <x:c r="J120" s="81"/>
      <x:c r="K120" s="81"/>
      <x:c r="L120" s="81"/>
      <x:c r="M120" s="81"/>
      <x:c r="N120" s="81"/>
      <x:c r="O120" s="81"/>
      <x:c r="P120" s="81"/>
      <x:c r="Q120" s="81"/>
      <x:c r="R120" s="81"/>
      <x:c r="S120" s="81"/>
      <x:c r="T120" s="81"/>
      <x:c r="U120" s="81"/>
      <x:c r="V120" s="81"/>
      <x:c r="W120" s="81"/>
      <x:c r="X120" s="81"/>
      <x:c r="Y120" s="81"/>
      <x:c r="Z120" s="81"/>
    </x:row>
    <x:row r="121">
      <x:c r="A121" s="81"/>
      <x:c r="B121" s="81"/>
      <x:c r="C121" s="81"/>
      <x:c r="D121" s="81"/>
      <x:c r="E121" s="81"/>
      <x:c r="F121" s="81"/>
      <x:c r="G121" s="81"/>
      <x:c r="H121" s="81"/>
      <x:c r="I121" s="81"/>
      <x:c r="J121" s="81"/>
      <x:c r="K121" s="81"/>
      <x:c r="L121" s="81"/>
      <x:c r="M121" s="81"/>
      <x:c r="N121" s="81"/>
      <x:c r="O121" s="81"/>
      <x:c r="P121" s="81"/>
      <x:c r="Q121" s="81"/>
      <x:c r="R121" s="81"/>
      <x:c r="S121" s="81"/>
      <x:c r="T121" s="81"/>
      <x:c r="U121" s="81"/>
      <x:c r="V121" s="81"/>
      <x:c r="W121" s="81"/>
      <x:c r="X121" s="81"/>
      <x:c r="Y121" s="81"/>
      <x:c r="Z121" s="81"/>
    </x:row>
    <x:row r="122">
      <x:c r="A122" s="81"/>
      <x:c r="B122" s="81"/>
      <x:c r="C122" s="81"/>
      <x:c r="D122" s="81"/>
      <x:c r="E122" s="81"/>
      <x:c r="F122" s="81"/>
      <x:c r="G122" s="81"/>
      <x:c r="H122" s="81"/>
      <x:c r="I122" s="81"/>
      <x:c r="J122" s="81"/>
      <x:c r="K122" s="81"/>
      <x:c r="L122" s="81"/>
      <x:c r="M122" s="81"/>
      <x:c r="N122" s="81"/>
      <x:c r="O122" s="81"/>
      <x:c r="P122" s="81"/>
      <x:c r="Q122" s="81"/>
      <x:c r="R122" s="81"/>
      <x:c r="S122" s="81"/>
      <x:c r="T122" s="81"/>
      <x:c r="U122" s="81"/>
      <x:c r="V122" s="81"/>
      <x:c r="W122" s="81"/>
      <x:c r="X122" s="81"/>
      <x:c r="Y122" s="81"/>
      <x:c r="Z122" s="81"/>
    </x:row>
    <x:row r="123">
      <x:c r="A123" s="81"/>
      <x:c r="B123" s="81"/>
      <x:c r="C123" s="81"/>
      <x:c r="D123" s="81"/>
      <x:c r="E123" s="81"/>
      <x:c r="F123" s="81"/>
      <x:c r="G123" s="81"/>
      <x:c r="H123" s="81"/>
      <x:c r="I123" s="81"/>
      <x:c r="J123" s="81"/>
      <x:c r="K123" s="81"/>
      <x:c r="L123" s="81"/>
      <x:c r="M123" s="81"/>
      <x:c r="N123" s="81"/>
      <x:c r="O123" s="81"/>
      <x:c r="P123" s="81"/>
      <x:c r="Q123" s="81"/>
      <x:c r="R123" s="81"/>
      <x:c r="S123" s="81"/>
      <x:c r="T123" s="81"/>
      <x:c r="U123" s="81"/>
      <x:c r="V123" s="81"/>
      <x:c r="W123" s="81"/>
      <x:c r="X123" s="81"/>
      <x:c r="Y123" s="81"/>
      <x:c r="Z123" s="81"/>
    </x:row>
    <x:row r="124">
      <x:c r="A124" s="81"/>
      <x:c r="B124" s="81"/>
      <x:c r="C124" s="81"/>
      <x:c r="D124" s="81"/>
      <x:c r="E124" s="81"/>
      <x:c r="F124" s="81"/>
      <x:c r="G124" s="81"/>
      <x:c r="H124" s="81"/>
      <x:c r="I124" s="81"/>
      <x:c r="J124" s="81"/>
      <x:c r="K124" s="81"/>
      <x:c r="L124" s="81"/>
      <x:c r="M124" s="81"/>
      <x:c r="N124" s="81"/>
      <x:c r="O124" s="81"/>
      <x:c r="P124" s="81"/>
      <x:c r="Q124" s="81"/>
      <x:c r="R124" s="81"/>
      <x:c r="S124" s="81"/>
      <x:c r="T124" s="81"/>
      <x:c r="U124" s="81"/>
      <x:c r="V124" s="81"/>
      <x:c r="W124" s="81"/>
      <x:c r="X124" s="81"/>
      <x:c r="Y124" s="81"/>
      <x:c r="Z124" s="81"/>
    </x:row>
    <x:row r="125">
      <x:c r="A125" s="81"/>
      <x:c r="B125" s="81"/>
      <x:c r="C125" s="81"/>
      <x:c r="D125" s="81"/>
      <x:c r="E125" s="81"/>
      <x:c r="F125" s="81"/>
      <x:c r="G125" s="81"/>
      <x:c r="H125" s="81"/>
      <x:c r="I125" s="81"/>
      <x:c r="J125" s="81"/>
      <x:c r="K125" s="81"/>
      <x:c r="L125" s="81"/>
      <x:c r="M125" s="81"/>
      <x:c r="N125" s="81"/>
      <x:c r="O125" s="81"/>
      <x:c r="P125" s="81"/>
      <x:c r="Q125" s="81"/>
      <x:c r="R125" s="81"/>
      <x:c r="S125" s="81"/>
      <x:c r="T125" s="81"/>
      <x:c r="U125" s="81"/>
      <x:c r="V125" s="81"/>
      <x:c r="W125" s="81"/>
      <x:c r="X125" s="81"/>
      <x:c r="Y125" s="81"/>
      <x:c r="Z125" s="81"/>
    </x:row>
    <x:row r="126">
      <x:c r="A126" s="81"/>
      <x:c r="B126" s="81"/>
      <x:c r="C126" s="81"/>
      <x:c r="D126" s="81"/>
      <x:c r="E126" s="81"/>
      <x:c r="F126" s="81"/>
      <x:c r="G126" s="81"/>
      <x:c r="H126" s="81"/>
      <x:c r="I126" s="81"/>
      <x:c r="J126" s="81"/>
      <x:c r="K126" s="81"/>
      <x:c r="L126" s="81"/>
      <x:c r="M126" s="81"/>
      <x:c r="N126" s="81"/>
      <x:c r="O126" s="81"/>
      <x:c r="P126" s="81"/>
      <x:c r="Q126" s="81"/>
      <x:c r="R126" s="81"/>
      <x:c r="S126" s="81"/>
      <x:c r="T126" s="81"/>
      <x:c r="U126" s="81"/>
      <x:c r="V126" s="81"/>
      <x:c r="W126" s="81"/>
      <x:c r="X126" s="81"/>
      <x:c r="Y126" s="81"/>
      <x:c r="Z126" s="81"/>
    </x:row>
    <x:row r="127">
      <x:c r="A127" s="81"/>
      <x:c r="B127" s="81"/>
      <x:c r="C127" s="81"/>
      <x:c r="D127" s="81"/>
      <x:c r="E127" s="81"/>
      <x:c r="F127" s="81"/>
      <x:c r="G127" s="81"/>
      <x:c r="H127" s="81"/>
      <x:c r="I127" s="81"/>
      <x:c r="J127" s="81"/>
      <x:c r="K127" s="81"/>
      <x:c r="L127" s="81"/>
      <x:c r="M127" s="81"/>
      <x:c r="N127" s="81"/>
      <x:c r="O127" s="81"/>
      <x:c r="P127" s="81"/>
      <x:c r="Q127" s="81"/>
      <x:c r="R127" s="81"/>
      <x:c r="S127" s="81"/>
      <x:c r="T127" s="81"/>
      <x:c r="U127" s="81"/>
      <x:c r="V127" s="81"/>
      <x:c r="W127" s="81"/>
      <x:c r="X127" s="81"/>
      <x:c r="Y127" s="81"/>
      <x:c r="Z127" s="81"/>
    </x:row>
    <x:row r="128">
      <x:c r="A128" s="81"/>
      <x:c r="B128" s="81"/>
      <x:c r="C128" s="81"/>
      <x:c r="D128" s="81"/>
      <x:c r="E128" s="81"/>
      <x:c r="F128" s="81"/>
      <x:c r="G128" s="81"/>
      <x:c r="H128" s="81"/>
      <x:c r="I128" s="81"/>
      <x:c r="J128" s="81"/>
      <x:c r="K128" s="81"/>
      <x:c r="L128" s="81"/>
      <x:c r="M128" s="81"/>
      <x:c r="N128" s="81"/>
      <x:c r="O128" s="81"/>
      <x:c r="P128" s="81"/>
      <x:c r="Q128" s="81"/>
      <x:c r="R128" s="81"/>
      <x:c r="S128" s="81"/>
      <x:c r="T128" s="81"/>
      <x:c r="U128" s="81"/>
      <x:c r="V128" s="81"/>
      <x:c r="W128" s="81"/>
      <x:c r="X128" s="81"/>
      <x:c r="Y128" s="81"/>
      <x:c r="Z128" s="81"/>
    </x:row>
    <x:row r="129">
      <x:c r="A129" s="81"/>
      <x:c r="B129" s="81"/>
      <x:c r="C129" s="81"/>
      <x:c r="D129" s="81"/>
      <x:c r="E129" s="81"/>
      <x:c r="F129" s="81"/>
      <x:c r="G129" s="81"/>
      <x:c r="H129" s="81"/>
      <x:c r="I129" s="81"/>
      <x:c r="J129" s="81"/>
      <x:c r="K129" s="81"/>
      <x:c r="L129" s="81"/>
      <x:c r="M129" s="81"/>
      <x:c r="N129" s="81"/>
      <x:c r="O129" s="81"/>
      <x:c r="P129" s="81"/>
      <x:c r="Q129" s="81"/>
      <x:c r="R129" s="81"/>
      <x:c r="S129" s="81"/>
      <x:c r="T129" s="81"/>
      <x:c r="U129" s="81"/>
      <x:c r="V129" s="81"/>
      <x:c r="W129" s="81"/>
      <x:c r="X129" s="81"/>
      <x:c r="Y129" s="81"/>
      <x:c r="Z129" s="81"/>
    </x:row>
    <x:row r="130">
      <x:c r="A130" s="81"/>
      <x:c r="B130" s="81"/>
      <x:c r="C130" s="81"/>
      <x:c r="D130" s="81"/>
      <x:c r="E130" s="81"/>
      <x:c r="F130" s="81"/>
      <x:c r="G130" s="81"/>
      <x:c r="H130" s="81"/>
      <x:c r="I130" s="81"/>
      <x:c r="J130" s="81"/>
      <x:c r="K130" s="81"/>
      <x:c r="L130" s="81"/>
      <x:c r="M130" s="81"/>
      <x:c r="N130" s="81"/>
      <x:c r="O130" s="81"/>
      <x:c r="P130" s="81"/>
      <x:c r="Q130" s="81"/>
      <x:c r="R130" s="81"/>
      <x:c r="S130" s="81"/>
      <x:c r="T130" s="81"/>
      <x:c r="U130" s="81"/>
      <x:c r="V130" s="81"/>
      <x:c r="W130" s="81"/>
      <x:c r="X130" s="81"/>
      <x:c r="Y130" s="81"/>
      <x:c r="Z130" s="81"/>
    </x:row>
    <x:row r="131">
      <x:c r="A131" s="81"/>
      <x:c r="B131" s="81"/>
      <x:c r="C131" s="81"/>
      <x:c r="D131" s="81"/>
      <x:c r="E131" s="81"/>
      <x:c r="F131" s="81"/>
      <x:c r="G131" s="81"/>
      <x:c r="H131" s="81"/>
      <x:c r="I131" s="81"/>
      <x:c r="J131" s="81"/>
      <x:c r="K131" s="81"/>
      <x:c r="L131" s="81"/>
      <x:c r="M131" s="81"/>
      <x:c r="N131" s="81"/>
      <x:c r="O131" s="81"/>
      <x:c r="P131" s="81"/>
      <x:c r="Q131" s="81"/>
      <x:c r="R131" s="81"/>
      <x:c r="S131" s="81"/>
      <x:c r="T131" s="81"/>
      <x:c r="U131" s="81"/>
      <x:c r="V131" s="81"/>
      <x:c r="W131" s="81"/>
      <x:c r="X131" s="81"/>
      <x:c r="Y131" s="81"/>
      <x:c r="Z131" s="81"/>
    </x:row>
    <x:row r="132">
      <x:c r="A132" s="81"/>
      <x:c r="B132" s="81"/>
      <x:c r="C132" s="81"/>
      <x:c r="D132" s="81"/>
      <x:c r="E132" s="81"/>
      <x:c r="F132" s="81"/>
      <x:c r="G132" s="81"/>
      <x:c r="H132" s="81"/>
      <x:c r="I132" s="81"/>
      <x:c r="J132" s="81"/>
      <x:c r="K132" s="81"/>
      <x:c r="L132" s="81"/>
      <x:c r="M132" s="81"/>
      <x:c r="N132" s="81"/>
      <x:c r="O132" s="81"/>
      <x:c r="P132" s="81"/>
      <x:c r="Q132" s="81"/>
      <x:c r="R132" s="81"/>
      <x:c r="S132" s="81"/>
      <x:c r="T132" s="81"/>
      <x:c r="U132" s="81"/>
      <x:c r="V132" s="81"/>
      <x:c r="W132" s="81"/>
      <x:c r="X132" s="81"/>
      <x:c r="Y132" s="81"/>
      <x:c r="Z132" s="81"/>
    </x:row>
    <x:row r="133">
      <x:c r="A133" s="81"/>
      <x:c r="B133" s="81"/>
      <x:c r="C133" s="81"/>
      <x:c r="D133" s="81"/>
      <x:c r="E133" s="81"/>
      <x:c r="F133" s="81"/>
      <x:c r="G133" s="81"/>
      <x:c r="H133" s="81"/>
      <x:c r="I133" s="81"/>
      <x:c r="J133" s="81"/>
      <x:c r="K133" s="81"/>
      <x:c r="L133" s="81"/>
      <x:c r="M133" s="81"/>
      <x:c r="N133" s="81"/>
      <x:c r="O133" s="81"/>
      <x:c r="P133" s="81"/>
      <x:c r="Q133" s="81"/>
      <x:c r="R133" s="81"/>
      <x:c r="S133" s="81"/>
      <x:c r="T133" s="81"/>
      <x:c r="U133" s="81"/>
      <x:c r="V133" s="81"/>
      <x:c r="W133" s="81"/>
      <x:c r="X133" s="81"/>
      <x:c r="Y133" s="81"/>
      <x:c r="Z133" s="81"/>
    </x:row>
    <x:row r="134">
      <x:c r="A134" s="81"/>
      <x:c r="B134" s="81"/>
      <x:c r="C134" s="81"/>
      <x:c r="D134" s="81"/>
      <x:c r="E134" s="81"/>
      <x:c r="F134" s="81"/>
      <x:c r="G134" s="81"/>
      <x:c r="H134" s="81"/>
      <x:c r="I134" s="81"/>
      <x:c r="J134" s="81"/>
      <x:c r="K134" s="81"/>
      <x:c r="L134" s="81"/>
      <x:c r="M134" s="81"/>
      <x:c r="N134" s="81"/>
      <x:c r="O134" s="81"/>
      <x:c r="P134" s="81"/>
      <x:c r="Q134" s="81"/>
      <x:c r="R134" s="81"/>
      <x:c r="S134" s="81"/>
      <x:c r="T134" s="81"/>
      <x:c r="U134" s="81"/>
      <x:c r="V134" s="81"/>
      <x:c r="W134" s="81"/>
      <x:c r="X134" s="81"/>
      <x:c r="Y134" s="81"/>
      <x:c r="Z134" s="81"/>
    </x:row>
    <x:row r="135">
      <x:c r="A135" s="81"/>
      <x:c r="B135" s="81"/>
      <x:c r="C135" s="81"/>
      <x:c r="D135" s="81"/>
      <x:c r="E135" s="81"/>
      <x:c r="F135" s="81"/>
      <x:c r="G135" s="81"/>
      <x:c r="H135" s="81"/>
      <x:c r="I135" s="81"/>
      <x:c r="J135" s="81"/>
      <x:c r="K135" s="81"/>
      <x:c r="L135" s="81"/>
      <x:c r="M135" s="81"/>
      <x:c r="N135" s="81"/>
      <x:c r="O135" s="81"/>
      <x:c r="P135" s="81"/>
      <x:c r="Q135" s="81"/>
      <x:c r="R135" s="81"/>
      <x:c r="S135" s="81"/>
      <x:c r="T135" s="81"/>
      <x:c r="U135" s="81"/>
      <x:c r="V135" s="81"/>
      <x:c r="W135" s="81"/>
      <x:c r="X135" s="81"/>
      <x:c r="Y135" s="81"/>
      <x:c r="Z135" s="81"/>
    </x:row>
    <x:row r="136">
      <x:c r="A136" s="81"/>
      <x:c r="B136" s="81"/>
      <x:c r="C136" s="81"/>
      <x:c r="D136" s="81"/>
      <x:c r="E136" s="81"/>
      <x:c r="F136" s="81"/>
      <x:c r="G136" s="81"/>
      <x:c r="H136" s="81"/>
      <x:c r="I136" s="81"/>
      <x:c r="J136" s="81"/>
      <x:c r="K136" s="81"/>
      <x:c r="L136" s="81"/>
      <x:c r="M136" s="81"/>
      <x:c r="N136" s="81"/>
      <x:c r="O136" s="81"/>
      <x:c r="P136" s="81"/>
      <x:c r="Q136" s="81"/>
      <x:c r="R136" s="81"/>
      <x:c r="S136" s="81"/>
      <x:c r="T136" s="81"/>
      <x:c r="U136" s="81"/>
      <x:c r="V136" s="81"/>
      <x:c r="W136" s="81"/>
      <x:c r="X136" s="81"/>
      <x:c r="Y136" s="81"/>
      <x:c r="Z136" s="81"/>
    </x:row>
    <x:row r="137">
      <x:c r="A137" s="81"/>
      <x:c r="B137" s="81"/>
      <x:c r="C137" s="81"/>
      <x:c r="D137" s="81"/>
      <x:c r="E137" s="81"/>
      <x:c r="F137" s="81"/>
      <x:c r="G137" s="81"/>
      <x:c r="H137" s="81"/>
      <x:c r="I137" s="81"/>
      <x:c r="J137" s="81"/>
      <x:c r="K137" s="81"/>
      <x:c r="L137" s="81"/>
      <x:c r="M137" s="81"/>
      <x:c r="N137" s="81"/>
      <x:c r="O137" s="81"/>
      <x:c r="P137" s="81"/>
      <x:c r="Q137" s="81"/>
      <x:c r="R137" s="81"/>
      <x:c r="S137" s="81"/>
      <x:c r="T137" s="81"/>
      <x:c r="U137" s="81"/>
      <x:c r="V137" s="81"/>
      <x:c r="W137" s="81"/>
      <x:c r="X137" s="81"/>
      <x:c r="Y137" s="81"/>
      <x:c r="Z137" s="81"/>
    </x:row>
    <x:row r="138">
      <x:c r="A138" s="81"/>
      <x:c r="B138" s="81"/>
      <x:c r="C138" s="81"/>
      <x:c r="D138" s="81"/>
      <x:c r="E138" s="81"/>
      <x:c r="F138" s="81"/>
      <x:c r="G138" s="81"/>
      <x:c r="H138" s="81"/>
      <x:c r="I138" s="81"/>
      <x:c r="J138" s="81"/>
      <x:c r="K138" s="81"/>
      <x:c r="L138" s="81"/>
      <x:c r="M138" s="81"/>
      <x:c r="N138" s="81"/>
      <x:c r="O138" s="81"/>
      <x:c r="P138" s="81"/>
      <x:c r="Q138" s="81"/>
      <x:c r="R138" s="81"/>
      <x:c r="S138" s="81"/>
      <x:c r="T138" s="81"/>
      <x:c r="U138" s="81"/>
      <x:c r="V138" s="81"/>
      <x:c r="W138" s="81"/>
      <x:c r="X138" s="81"/>
      <x:c r="Y138" s="81"/>
      <x:c r="Z138" s="81"/>
    </x:row>
    <x:row r="139">
      <x:c r="A139" s="81"/>
      <x:c r="B139" s="81"/>
      <x:c r="C139" s="81"/>
      <x:c r="D139" s="81"/>
      <x:c r="E139" s="81"/>
      <x:c r="F139" s="81"/>
      <x:c r="G139" s="81"/>
      <x:c r="H139" s="81"/>
      <x:c r="I139" s="81"/>
      <x:c r="J139" s="81"/>
      <x:c r="K139" s="81"/>
      <x:c r="L139" s="81"/>
      <x:c r="M139" s="81"/>
      <x:c r="N139" s="81"/>
      <x:c r="O139" s="81"/>
      <x:c r="P139" s="81"/>
      <x:c r="Q139" s="81"/>
      <x:c r="R139" s="81"/>
      <x:c r="S139" s="81"/>
      <x:c r="T139" s="81"/>
      <x:c r="U139" s="81"/>
      <x:c r="V139" s="81"/>
      <x:c r="W139" s="81"/>
      <x:c r="X139" s="81"/>
      <x:c r="Y139" s="81"/>
      <x:c r="Z139" s="81"/>
    </x:row>
    <x:row r="140">
      <x:c r="A140" s="81"/>
      <x:c r="B140" s="81"/>
      <x:c r="C140" s="81"/>
      <x:c r="D140" s="81"/>
      <x:c r="E140" s="81"/>
      <x:c r="F140" s="81"/>
      <x:c r="G140" s="81"/>
      <x:c r="H140" s="81"/>
      <x:c r="I140" s="81"/>
      <x:c r="J140" s="81"/>
      <x:c r="K140" s="81"/>
      <x:c r="L140" s="81"/>
      <x:c r="M140" s="81"/>
      <x:c r="N140" s="81"/>
      <x:c r="O140" s="81"/>
      <x:c r="P140" s="81"/>
      <x:c r="Q140" s="81"/>
      <x:c r="R140" s="81"/>
      <x:c r="S140" s="81"/>
      <x:c r="T140" s="81"/>
      <x:c r="U140" s="81"/>
      <x:c r="V140" s="81"/>
      <x:c r="W140" s="81"/>
      <x:c r="X140" s="81"/>
      <x:c r="Y140" s="81"/>
      <x:c r="Z140" s="81"/>
    </x:row>
    <x:row r="141">
      <x:c r="A141" s="81"/>
      <x:c r="B141" s="81"/>
      <x:c r="C141" s="81"/>
      <x:c r="D141" s="81"/>
      <x:c r="E141" s="81"/>
      <x:c r="F141" s="81"/>
      <x:c r="G141" s="81"/>
      <x:c r="H141" s="81"/>
      <x:c r="I141" s="81"/>
      <x:c r="J141" s="81"/>
      <x:c r="K141" s="81"/>
      <x:c r="L141" s="81"/>
      <x:c r="M141" s="81"/>
      <x:c r="N141" s="81"/>
      <x:c r="O141" s="81"/>
      <x:c r="P141" s="81"/>
      <x:c r="Q141" s="81"/>
      <x:c r="R141" s="81"/>
      <x:c r="S141" s="81"/>
      <x:c r="T141" s="81"/>
      <x:c r="U141" s="81"/>
      <x:c r="V141" s="81"/>
      <x:c r="W141" s="81"/>
      <x:c r="X141" s="81"/>
      <x:c r="Y141" s="81"/>
      <x:c r="Z141" s="81"/>
    </x:row>
    <x:row r="142">
      <x:c r="A142" s="81"/>
      <x:c r="B142" s="81"/>
      <x:c r="C142" s="81"/>
      <x:c r="D142" s="81"/>
      <x:c r="E142" s="81"/>
      <x:c r="F142" s="81"/>
      <x:c r="G142" s="81"/>
      <x:c r="H142" s="81"/>
      <x:c r="I142" s="81"/>
      <x:c r="J142" s="81"/>
      <x:c r="K142" s="81"/>
      <x:c r="L142" s="81"/>
      <x:c r="M142" s="81"/>
      <x:c r="N142" s="81"/>
      <x:c r="O142" s="81"/>
      <x:c r="P142" s="81"/>
      <x:c r="Q142" s="81"/>
      <x:c r="R142" s="81"/>
      <x:c r="S142" s="81"/>
      <x:c r="T142" s="81"/>
      <x:c r="U142" s="81"/>
      <x:c r="V142" s="81"/>
      <x:c r="W142" s="81"/>
      <x:c r="X142" s="81"/>
      <x:c r="Y142" s="81"/>
      <x:c r="Z142" s="81"/>
    </x:row>
    <x:row r="143">
      <x:c r="A143" s="81"/>
      <x:c r="B143" s="81"/>
      <x:c r="C143" s="81"/>
      <x:c r="D143" s="81"/>
      <x:c r="E143" s="81"/>
      <x:c r="F143" s="81"/>
      <x:c r="G143" s="81"/>
      <x:c r="H143" s="81"/>
      <x:c r="I143" s="81"/>
      <x:c r="J143" s="81"/>
      <x:c r="K143" s="81"/>
      <x:c r="L143" s="81"/>
      <x:c r="M143" s="81"/>
      <x:c r="N143" s="81"/>
      <x:c r="O143" s="81"/>
      <x:c r="P143" s="81"/>
      <x:c r="Q143" s="81"/>
      <x:c r="R143" s="81"/>
      <x:c r="S143" s="81"/>
      <x:c r="T143" s="81"/>
      <x:c r="U143" s="81"/>
      <x:c r="V143" s="81"/>
      <x:c r="W143" s="81"/>
      <x:c r="X143" s="81"/>
      <x:c r="Y143" s="81"/>
      <x:c r="Z143" s="81"/>
    </x:row>
    <x:row r="144">
      <x:c r="A144" s="81"/>
      <x:c r="B144" s="81"/>
      <x:c r="C144" s="81"/>
      <x:c r="D144" s="81"/>
      <x:c r="E144" s="81"/>
      <x:c r="F144" s="81"/>
      <x:c r="G144" s="81"/>
      <x:c r="H144" s="81"/>
      <x:c r="I144" s="81"/>
      <x:c r="J144" s="81"/>
      <x:c r="K144" s="81"/>
      <x:c r="L144" s="81"/>
      <x:c r="M144" s="81"/>
      <x:c r="N144" s="81"/>
      <x:c r="O144" s="81"/>
      <x:c r="P144" s="81"/>
      <x:c r="Q144" s="81"/>
      <x:c r="R144" s="81"/>
      <x:c r="S144" s="81"/>
      <x:c r="T144" s="81"/>
      <x:c r="U144" s="81"/>
      <x:c r="V144" s="81"/>
      <x:c r="W144" s="81"/>
      <x:c r="X144" s="81"/>
      <x:c r="Y144" s="81"/>
      <x:c r="Z144" s="81"/>
    </x:row>
    <x:row r="145">
      <x:c r="A145" s="81"/>
      <x:c r="B145" s="81"/>
      <x:c r="C145" s="81"/>
      <x:c r="D145" s="81"/>
      <x:c r="E145" s="81"/>
      <x:c r="F145" s="81"/>
      <x:c r="G145" s="81"/>
      <x:c r="H145" s="81"/>
      <x:c r="I145" s="81"/>
      <x:c r="J145" s="81"/>
      <x:c r="K145" s="81"/>
      <x:c r="L145" s="81"/>
      <x:c r="M145" s="81"/>
      <x:c r="N145" s="81"/>
      <x:c r="O145" s="81"/>
      <x:c r="P145" s="81"/>
      <x:c r="Q145" s="81"/>
      <x:c r="R145" s="81"/>
      <x:c r="S145" s="81"/>
      <x:c r="T145" s="81"/>
      <x:c r="U145" s="81"/>
      <x:c r="V145" s="81"/>
      <x:c r="W145" s="81"/>
      <x:c r="X145" s="81"/>
      <x:c r="Y145" s="81"/>
      <x:c r="Z145" s="81"/>
    </x:row>
    <x:row r="146">
      <x:c r="A146" s="81"/>
      <x:c r="B146" s="81"/>
      <x:c r="C146" s="81"/>
      <x:c r="D146" s="81"/>
      <x:c r="E146" s="81"/>
      <x:c r="F146" s="81"/>
      <x:c r="G146" s="81"/>
      <x:c r="H146" s="81"/>
      <x:c r="I146" s="81"/>
      <x:c r="J146" s="81"/>
      <x:c r="K146" s="81"/>
      <x:c r="L146" s="81"/>
      <x:c r="M146" s="81"/>
      <x:c r="N146" s="81"/>
      <x:c r="O146" s="81"/>
      <x:c r="P146" s="81"/>
      <x:c r="Q146" s="81"/>
      <x:c r="R146" s="81"/>
      <x:c r="S146" s="81"/>
      <x:c r="T146" s="81"/>
      <x:c r="U146" s="81"/>
      <x:c r="V146" s="81"/>
      <x:c r="W146" s="81"/>
      <x:c r="X146" s="81"/>
      <x:c r="Y146" s="81"/>
      <x:c r="Z146" s="81"/>
    </x:row>
    <x:row r="147">
      <x:c r="A147" s="81"/>
      <x:c r="B147" s="81"/>
      <x:c r="C147" s="81"/>
      <x:c r="D147" s="81"/>
      <x:c r="E147" s="81"/>
      <x:c r="F147" s="81"/>
      <x:c r="G147" s="81"/>
      <x:c r="H147" s="81"/>
      <x:c r="I147" s="81"/>
      <x:c r="J147" s="81"/>
      <x:c r="K147" s="81"/>
      <x:c r="L147" s="81"/>
      <x:c r="M147" s="81"/>
      <x:c r="N147" s="81"/>
      <x:c r="O147" s="81"/>
      <x:c r="P147" s="81"/>
      <x:c r="Q147" s="81"/>
      <x:c r="R147" s="81"/>
      <x:c r="S147" s="81"/>
      <x:c r="T147" s="81"/>
      <x:c r="U147" s="81"/>
      <x:c r="V147" s="81"/>
      <x:c r="W147" s="81"/>
      <x:c r="X147" s="81"/>
      <x:c r="Y147" s="81"/>
      <x:c r="Z147" s="81"/>
    </x:row>
    <x:row r="148">
      <x:c r="A148" s="81"/>
      <x:c r="B148" s="81"/>
      <x:c r="C148" s="81"/>
      <x:c r="D148" s="81"/>
      <x:c r="E148" s="81"/>
      <x:c r="F148" s="81"/>
      <x:c r="G148" s="81"/>
      <x:c r="H148" s="81"/>
      <x:c r="I148" s="81"/>
      <x:c r="J148" s="81"/>
      <x:c r="K148" s="81"/>
      <x:c r="L148" s="81"/>
      <x:c r="M148" s="81"/>
      <x:c r="N148" s="81"/>
      <x:c r="O148" s="81"/>
      <x:c r="P148" s="81"/>
      <x:c r="Q148" s="81"/>
      <x:c r="R148" s="81"/>
      <x:c r="S148" s="81"/>
      <x:c r="T148" s="81"/>
      <x:c r="U148" s="81"/>
      <x:c r="V148" s="81"/>
      <x:c r="W148" s="81"/>
      <x:c r="X148" s="81"/>
      <x:c r="Y148" s="81"/>
      <x:c r="Z148" s="81"/>
    </x:row>
    <x:row r="149">
      <x:c r="A149" s="81"/>
      <x:c r="B149" s="81"/>
      <x:c r="C149" s="81"/>
      <x:c r="D149" s="81"/>
      <x:c r="E149" s="81"/>
      <x:c r="F149" s="81"/>
      <x:c r="G149" s="81"/>
      <x:c r="H149" s="81"/>
      <x:c r="I149" s="81"/>
      <x:c r="J149" s="81"/>
      <x:c r="K149" s="81"/>
      <x:c r="L149" s="81"/>
      <x:c r="M149" s="81"/>
      <x:c r="N149" s="81"/>
      <x:c r="O149" s="81"/>
      <x:c r="P149" s="81"/>
      <x:c r="Q149" s="81"/>
      <x:c r="R149" s="81"/>
      <x:c r="S149" s="81"/>
      <x:c r="T149" s="81"/>
      <x:c r="U149" s="81"/>
      <x:c r="V149" s="81"/>
      <x:c r="W149" s="81"/>
      <x:c r="X149" s="81"/>
      <x:c r="Y149" s="81"/>
      <x:c r="Z149" s="81"/>
    </x:row>
    <x:row r="150">
      <x:c r="A150" s="81"/>
      <x:c r="B150" s="81"/>
      <x:c r="C150" s="81"/>
      <x:c r="D150" s="81"/>
      <x:c r="E150" s="81"/>
      <x:c r="F150" s="81"/>
      <x:c r="G150" s="81"/>
      <x:c r="H150" s="81"/>
      <x:c r="I150" s="81"/>
      <x:c r="J150" s="81"/>
      <x:c r="K150" s="81"/>
      <x:c r="L150" s="81"/>
      <x:c r="M150" s="81"/>
      <x:c r="N150" s="81"/>
      <x:c r="O150" s="81"/>
      <x:c r="P150" s="81"/>
      <x:c r="Q150" s="81"/>
      <x:c r="R150" s="81"/>
      <x:c r="S150" s="81"/>
      <x:c r="T150" s="81"/>
      <x:c r="U150" s="81"/>
      <x:c r="V150" s="81"/>
      <x:c r="W150" s="81"/>
      <x:c r="X150" s="81"/>
      <x:c r="Y150" s="81"/>
      <x:c r="Z150" s="81"/>
    </x:row>
    <x:row r="151">
      <x:c r="A151" s="81"/>
      <x:c r="B151" s="81"/>
      <x:c r="C151" s="81"/>
      <x:c r="D151" s="81"/>
      <x:c r="E151" s="81"/>
      <x:c r="F151" s="81"/>
      <x:c r="G151" s="81"/>
      <x:c r="H151" s="81"/>
      <x:c r="I151" s="81"/>
      <x:c r="J151" s="81"/>
      <x:c r="K151" s="81"/>
      <x:c r="L151" s="81"/>
      <x:c r="M151" s="81"/>
      <x:c r="N151" s="81"/>
      <x:c r="O151" s="81"/>
      <x:c r="P151" s="81"/>
      <x:c r="Q151" s="81"/>
      <x:c r="R151" s="81"/>
      <x:c r="S151" s="81"/>
      <x:c r="T151" s="81"/>
      <x:c r="U151" s="81"/>
      <x:c r="V151" s="81"/>
      <x:c r="W151" s="81"/>
      <x:c r="X151" s="81"/>
      <x:c r="Y151" s="81"/>
      <x:c r="Z151" s="81"/>
    </x:row>
    <x:row r="152">
      <x:c r="A152" s="81"/>
      <x:c r="B152" s="81"/>
      <x:c r="C152" s="81"/>
      <x:c r="D152" s="81"/>
      <x:c r="E152" s="81"/>
      <x:c r="F152" s="81"/>
      <x:c r="G152" s="81"/>
      <x:c r="H152" s="81"/>
      <x:c r="I152" s="81"/>
      <x:c r="J152" s="81"/>
      <x:c r="K152" s="81"/>
      <x:c r="L152" s="81"/>
      <x:c r="M152" s="81"/>
      <x:c r="N152" s="81"/>
      <x:c r="O152" s="81"/>
      <x:c r="P152" s="81"/>
      <x:c r="Q152" s="81"/>
      <x:c r="R152" s="81"/>
      <x:c r="S152" s="81"/>
      <x:c r="T152" s="81"/>
      <x:c r="U152" s="81"/>
      <x:c r="V152" s="81"/>
      <x:c r="W152" s="81"/>
      <x:c r="X152" s="81"/>
      <x:c r="Y152" s="81"/>
      <x:c r="Z152" s="81"/>
    </x:row>
    <x:row r="153">
      <x:c r="A153" s="81"/>
      <x:c r="B153" s="81"/>
      <x:c r="C153" s="81"/>
      <x:c r="D153" s="81"/>
      <x:c r="E153" s="81"/>
      <x:c r="F153" s="81"/>
      <x:c r="G153" s="81"/>
      <x:c r="H153" s="81"/>
      <x:c r="I153" s="81"/>
      <x:c r="J153" s="81"/>
      <x:c r="K153" s="81"/>
      <x:c r="L153" s="81"/>
      <x:c r="M153" s="81"/>
      <x:c r="N153" s="81"/>
      <x:c r="O153" s="81"/>
      <x:c r="P153" s="81"/>
      <x:c r="Q153" s="81"/>
      <x:c r="R153" s="81"/>
      <x:c r="S153" s="81"/>
      <x:c r="T153" s="81"/>
      <x:c r="U153" s="81"/>
      <x:c r="V153" s="81"/>
      <x:c r="W153" s="81"/>
      <x:c r="X153" s="81"/>
      <x:c r="Y153" s="81"/>
      <x:c r="Z153" s="81"/>
    </x:row>
    <x:row r="154">
      <x:c r="A154" s="81"/>
      <x:c r="B154" s="81"/>
      <x:c r="C154" s="81"/>
      <x:c r="D154" s="81"/>
      <x:c r="E154" s="81"/>
      <x:c r="F154" s="81"/>
      <x:c r="G154" s="81"/>
      <x:c r="H154" s="81"/>
      <x:c r="I154" s="81"/>
      <x:c r="J154" s="81"/>
      <x:c r="K154" s="81"/>
      <x:c r="L154" s="81"/>
      <x:c r="M154" s="81"/>
      <x:c r="N154" s="81"/>
      <x:c r="O154" s="81"/>
      <x:c r="P154" s="81"/>
      <x:c r="Q154" s="81"/>
      <x:c r="R154" s="81"/>
      <x:c r="S154" s="81"/>
      <x:c r="T154" s="81"/>
      <x:c r="U154" s="81"/>
      <x:c r="V154" s="81"/>
      <x:c r="W154" s="81"/>
      <x:c r="X154" s="81"/>
      <x:c r="Y154" s="81"/>
      <x:c r="Z154" s="81"/>
    </x:row>
    <x:row r="155">
      <x:c r="A155" s="81"/>
      <x:c r="B155" s="81"/>
      <x:c r="C155" s="81"/>
      <x:c r="D155" s="81"/>
      <x:c r="E155" s="81"/>
      <x:c r="F155" s="81"/>
      <x:c r="G155" s="81"/>
      <x:c r="H155" s="81"/>
      <x:c r="I155" s="81"/>
      <x:c r="J155" s="81"/>
      <x:c r="K155" s="81"/>
      <x:c r="L155" s="81"/>
      <x:c r="M155" s="81"/>
      <x:c r="N155" s="81"/>
      <x:c r="O155" s="81"/>
      <x:c r="P155" s="81"/>
      <x:c r="Q155" s="81"/>
      <x:c r="R155" s="81"/>
      <x:c r="S155" s="81"/>
      <x:c r="T155" s="81"/>
      <x:c r="U155" s="81"/>
      <x:c r="V155" s="81"/>
      <x:c r="W155" s="81"/>
      <x:c r="X155" s="81"/>
      <x:c r="Y155" s="81"/>
      <x:c r="Z155" s="81"/>
    </x:row>
    <x:row r="156">
      <x:c r="A156" s="81"/>
      <x:c r="B156" s="81"/>
      <x:c r="C156" s="81"/>
      <x:c r="D156" s="81"/>
      <x:c r="E156" s="81"/>
      <x:c r="F156" s="81"/>
      <x:c r="G156" s="81"/>
      <x:c r="H156" s="81"/>
      <x:c r="I156" s="81"/>
      <x:c r="J156" s="81"/>
      <x:c r="K156" s="81"/>
      <x:c r="L156" s="81"/>
      <x:c r="M156" s="81"/>
      <x:c r="N156" s="81"/>
      <x:c r="O156" s="81"/>
      <x:c r="P156" s="81"/>
      <x:c r="Q156" s="81"/>
      <x:c r="R156" s="81"/>
      <x:c r="S156" s="81"/>
      <x:c r="T156" s="81"/>
      <x:c r="U156" s="81"/>
      <x:c r="V156" s="81"/>
      <x:c r="W156" s="81"/>
      <x:c r="X156" s="81"/>
      <x:c r="Y156" s="81"/>
      <x:c r="Z156" s="81"/>
    </x:row>
    <x:row r="157">
      <x:c r="A157" s="81"/>
      <x:c r="B157" s="81"/>
      <x:c r="C157" s="81"/>
      <x:c r="D157" s="81"/>
      <x:c r="E157" s="81"/>
      <x:c r="F157" s="81"/>
      <x:c r="G157" s="81"/>
      <x:c r="H157" s="81"/>
      <x:c r="I157" s="81"/>
      <x:c r="J157" s="81"/>
      <x:c r="K157" s="81"/>
      <x:c r="L157" s="81"/>
      <x:c r="M157" s="81"/>
      <x:c r="N157" s="81"/>
      <x:c r="O157" s="81"/>
      <x:c r="P157" s="81"/>
      <x:c r="Q157" s="81"/>
      <x:c r="R157" s="81"/>
      <x:c r="S157" s="81"/>
      <x:c r="T157" s="81"/>
      <x:c r="U157" s="81"/>
      <x:c r="V157" s="81"/>
      <x:c r="W157" s="81"/>
      <x:c r="X157" s="81"/>
      <x:c r="Y157" s="81"/>
      <x:c r="Z157" s="81"/>
    </x:row>
    <x:row r="158">
      <x:c r="A158" s="81"/>
      <x:c r="B158" s="81"/>
      <x:c r="C158" s="81"/>
      <x:c r="D158" s="81"/>
      <x:c r="E158" s="81"/>
      <x:c r="F158" s="81"/>
      <x:c r="G158" s="81"/>
      <x:c r="H158" s="81"/>
      <x:c r="I158" s="81"/>
      <x:c r="J158" s="81"/>
      <x:c r="K158" s="81"/>
      <x:c r="L158" s="81"/>
      <x:c r="M158" s="81"/>
      <x:c r="N158" s="81"/>
      <x:c r="O158" s="81"/>
      <x:c r="P158" s="81"/>
      <x:c r="Q158" s="81"/>
      <x:c r="R158" s="81"/>
      <x:c r="S158" s="81"/>
      <x:c r="T158" s="81"/>
      <x:c r="U158" s="81"/>
      <x:c r="V158" s="81"/>
      <x:c r="W158" s="81"/>
      <x:c r="X158" s="81"/>
      <x:c r="Y158" s="81"/>
      <x:c r="Z158" s="81"/>
    </x:row>
    <x:row r="159">
      <x:c r="A159" s="81"/>
      <x:c r="B159" s="81"/>
      <x:c r="C159" s="81"/>
      <x:c r="D159" s="81"/>
      <x:c r="E159" s="81"/>
      <x:c r="F159" s="81"/>
      <x:c r="G159" s="81"/>
      <x:c r="H159" s="81"/>
      <x:c r="I159" s="81"/>
      <x:c r="J159" s="81"/>
      <x:c r="K159" s="81"/>
      <x:c r="L159" s="81"/>
      <x:c r="M159" s="81"/>
      <x:c r="N159" s="81"/>
      <x:c r="O159" s="81"/>
      <x:c r="P159" s="81"/>
      <x:c r="Q159" s="81"/>
      <x:c r="R159" s="81"/>
      <x:c r="S159" s="81"/>
      <x:c r="T159" s="81"/>
      <x:c r="U159" s="81"/>
      <x:c r="V159" s="81"/>
      <x:c r="W159" s="81"/>
      <x:c r="X159" s="81"/>
      <x:c r="Y159" s="81"/>
      <x:c r="Z159" s="81"/>
    </x:row>
    <x:row r="160">
      <x:c r="A160" s="81"/>
      <x:c r="B160" s="81"/>
      <x:c r="C160" s="81"/>
      <x:c r="D160" s="81"/>
      <x:c r="E160" s="81"/>
      <x:c r="F160" s="81"/>
      <x:c r="G160" s="81"/>
      <x:c r="H160" s="81"/>
      <x:c r="I160" s="81"/>
      <x:c r="J160" s="81"/>
      <x:c r="K160" s="81"/>
      <x:c r="L160" s="81"/>
      <x:c r="M160" s="81"/>
      <x:c r="N160" s="81"/>
      <x:c r="O160" s="81"/>
      <x:c r="P160" s="81"/>
      <x:c r="Q160" s="81"/>
      <x:c r="R160" s="81"/>
      <x:c r="S160" s="81"/>
      <x:c r="T160" s="81"/>
      <x:c r="U160" s="81"/>
      <x:c r="V160" s="81"/>
      <x:c r="W160" s="81"/>
      <x:c r="X160" s="81"/>
      <x:c r="Y160" s="81"/>
      <x:c r="Z160" s="81"/>
    </x:row>
    <x:row r="161">
      <x:c r="A161" s="81"/>
      <x:c r="B161" s="81"/>
      <x:c r="C161" s="81"/>
      <x:c r="D161" s="81"/>
      <x:c r="E161" s="81"/>
      <x:c r="F161" s="81"/>
      <x:c r="G161" s="81"/>
      <x:c r="H161" s="81"/>
      <x:c r="I161" s="81"/>
      <x:c r="J161" s="81"/>
      <x:c r="K161" s="81"/>
      <x:c r="L161" s="81"/>
      <x:c r="M161" s="81"/>
      <x:c r="N161" s="81"/>
      <x:c r="O161" s="81"/>
      <x:c r="P161" s="81"/>
      <x:c r="Q161" s="81"/>
      <x:c r="R161" s="81"/>
      <x:c r="S161" s="81"/>
      <x:c r="T161" s="81"/>
      <x:c r="U161" s="81"/>
      <x:c r="V161" s="81"/>
      <x:c r="W161" s="81"/>
      <x:c r="X161" s="81"/>
      <x:c r="Y161" s="81"/>
      <x:c r="Z161" s="81"/>
    </x:row>
    <x:row r="162">
      <x:c r="A162" s="81"/>
      <x:c r="B162" s="81"/>
      <x:c r="C162" s="81"/>
      <x:c r="D162" s="81"/>
      <x:c r="E162" s="81"/>
      <x:c r="F162" s="81"/>
      <x:c r="G162" s="81"/>
      <x:c r="H162" s="81"/>
      <x:c r="I162" s="81"/>
      <x:c r="J162" s="81"/>
      <x:c r="K162" s="81"/>
      <x:c r="L162" s="81"/>
      <x:c r="M162" s="81"/>
      <x:c r="N162" s="81"/>
      <x:c r="O162" s="81"/>
      <x:c r="P162" s="81"/>
      <x:c r="Q162" s="81"/>
      <x:c r="R162" s="81"/>
      <x:c r="S162" s="81"/>
      <x:c r="T162" s="81"/>
      <x:c r="U162" s="81"/>
      <x:c r="V162" s="81"/>
      <x:c r="W162" s="81"/>
      <x:c r="X162" s="81"/>
      <x:c r="Y162" s="81"/>
      <x:c r="Z162" s="81"/>
    </x:row>
    <x:row r="163">
      <x:c r="A163" s="81"/>
      <x:c r="B163" s="81"/>
      <x:c r="C163" s="81"/>
      <x:c r="D163" s="81"/>
      <x:c r="E163" s="81"/>
      <x:c r="F163" s="81"/>
      <x:c r="G163" s="81"/>
      <x:c r="H163" s="81"/>
      <x:c r="I163" s="81"/>
      <x:c r="J163" s="81"/>
      <x:c r="K163" s="81"/>
      <x:c r="L163" s="81"/>
      <x:c r="M163" s="81"/>
      <x:c r="N163" s="81"/>
      <x:c r="O163" s="81"/>
      <x:c r="P163" s="81"/>
      <x:c r="Q163" s="81"/>
      <x:c r="R163" s="81"/>
      <x:c r="S163" s="81"/>
      <x:c r="T163" s="81"/>
      <x:c r="U163" s="81"/>
      <x:c r="V163" s="81"/>
      <x:c r="W163" s="81"/>
      <x:c r="X163" s="81"/>
      <x:c r="Y163" s="81"/>
      <x:c r="Z163" s="81"/>
    </x:row>
    <x:row r="164">
      <x:c r="A164" s="81"/>
      <x:c r="B164" s="81"/>
      <x:c r="C164" s="81"/>
      <x:c r="D164" s="81"/>
      <x:c r="E164" s="81"/>
      <x:c r="F164" s="81"/>
      <x:c r="G164" s="81"/>
      <x:c r="H164" s="81"/>
      <x:c r="I164" s="81"/>
      <x:c r="J164" s="81"/>
      <x:c r="K164" s="81"/>
      <x:c r="L164" s="81"/>
      <x:c r="M164" s="81"/>
      <x:c r="N164" s="81"/>
      <x:c r="O164" s="81"/>
      <x:c r="P164" s="81"/>
      <x:c r="Q164" s="81"/>
      <x:c r="R164" s="81"/>
      <x:c r="S164" s="81"/>
      <x:c r="T164" s="81"/>
      <x:c r="U164" s="81"/>
      <x:c r="V164" s="81"/>
      <x:c r="W164" s="81"/>
      <x:c r="X164" s="81"/>
      <x:c r="Y164" s="81"/>
      <x:c r="Z164" s="81"/>
    </x:row>
    <x:row r="165">
      <x:c r="A165" s="81"/>
      <x:c r="B165" s="81"/>
      <x:c r="C165" s="81"/>
      <x:c r="D165" s="81"/>
      <x:c r="E165" s="81"/>
      <x:c r="F165" s="81"/>
      <x:c r="G165" s="81"/>
      <x:c r="H165" s="81"/>
      <x:c r="I165" s="81"/>
      <x:c r="J165" s="81"/>
      <x:c r="K165" s="81"/>
      <x:c r="L165" s="81"/>
      <x:c r="M165" s="81"/>
      <x:c r="N165" s="81"/>
      <x:c r="O165" s="81"/>
      <x:c r="P165" s="81"/>
      <x:c r="Q165" s="81"/>
      <x:c r="R165" s="81"/>
      <x:c r="S165" s="81"/>
      <x:c r="T165" s="81"/>
      <x:c r="U165" s="81"/>
      <x:c r="V165" s="81"/>
      <x:c r="W165" s="81"/>
      <x:c r="X165" s="81"/>
      <x:c r="Y165" s="81"/>
      <x:c r="Z165" s="81"/>
    </x:row>
    <x:row r="166">
      <x:c r="A166" s="81"/>
      <x:c r="B166" s="81"/>
      <x:c r="C166" s="81"/>
      <x:c r="D166" s="81"/>
      <x:c r="E166" s="81"/>
      <x:c r="F166" s="81"/>
      <x:c r="G166" s="81"/>
      <x:c r="H166" s="81"/>
      <x:c r="I166" s="81"/>
      <x:c r="J166" s="81"/>
      <x:c r="K166" s="81"/>
      <x:c r="L166" s="81"/>
      <x:c r="M166" s="81"/>
      <x:c r="N166" s="81"/>
      <x:c r="O166" s="81"/>
      <x:c r="P166" s="81"/>
      <x:c r="Q166" s="81"/>
      <x:c r="R166" s="81"/>
      <x:c r="S166" s="81"/>
      <x:c r="T166" s="81"/>
      <x:c r="U166" s="81"/>
      <x:c r="V166" s="81"/>
      <x:c r="W166" s="81"/>
      <x:c r="X166" s="81"/>
      <x:c r="Y166" s="81"/>
      <x:c r="Z166" s="81"/>
    </x:row>
    <x:row r="167">
      <x:c r="A167" s="81"/>
      <x:c r="B167" s="81"/>
      <x:c r="C167" s="81"/>
      <x:c r="D167" s="81"/>
      <x:c r="E167" s="81"/>
      <x:c r="F167" s="81"/>
      <x:c r="G167" s="81"/>
      <x:c r="H167" s="81"/>
      <x:c r="I167" s="81"/>
      <x:c r="J167" s="81"/>
      <x:c r="K167" s="81"/>
      <x:c r="L167" s="81"/>
      <x:c r="M167" s="81"/>
      <x:c r="N167" s="81"/>
      <x:c r="O167" s="81"/>
      <x:c r="P167" s="81"/>
      <x:c r="Q167" s="81"/>
      <x:c r="R167" s="81"/>
      <x:c r="S167" s="81"/>
      <x:c r="T167" s="81"/>
      <x:c r="U167" s="81"/>
      <x:c r="V167" s="81"/>
      <x:c r="W167" s="81"/>
      <x:c r="X167" s="81"/>
      <x:c r="Y167" s="81"/>
      <x:c r="Z167" s="81"/>
    </x:row>
    <x:row r="168">
      <x:c r="A168" s="81"/>
      <x:c r="B168" s="81"/>
      <x:c r="C168" s="81"/>
      <x:c r="D168" s="81"/>
      <x:c r="E168" s="81"/>
      <x:c r="F168" s="81"/>
      <x:c r="G168" s="81"/>
      <x:c r="H168" s="81"/>
      <x:c r="I168" s="81"/>
      <x:c r="J168" s="81"/>
      <x:c r="K168" s="81"/>
      <x:c r="L168" s="81"/>
      <x:c r="M168" s="81"/>
      <x:c r="N168" s="81"/>
      <x:c r="O168" s="81"/>
      <x:c r="P168" s="81"/>
      <x:c r="Q168" s="81"/>
      <x:c r="R168" s="81"/>
      <x:c r="S168" s="81"/>
      <x:c r="T168" s="81"/>
      <x:c r="U168" s="81"/>
      <x:c r="V168" s="81"/>
      <x:c r="W168" s="81"/>
      <x:c r="X168" s="81"/>
      <x:c r="Y168" s="81"/>
      <x:c r="Z168" s="81"/>
    </x:row>
    <x:row r="169">
      <x:c r="A169" s="81"/>
      <x:c r="B169" s="81"/>
      <x:c r="C169" s="81"/>
      <x:c r="D169" s="81"/>
      <x:c r="E169" s="81"/>
      <x:c r="F169" s="81"/>
      <x:c r="G169" s="81"/>
      <x:c r="H169" s="81"/>
      <x:c r="I169" s="81"/>
      <x:c r="J169" s="81"/>
      <x:c r="K169" s="81"/>
      <x:c r="L169" s="81"/>
      <x:c r="M169" s="81"/>
      <x:c r="N169" s="81"/>
      <x:c r="O169" s="81"/>
      <x:c r="P169" s="81"/>
      <x:c r="Q169" s="81"/>
      <x:c r="R169" s="81"/>
      <x:c r="S169" s="81"/>
      <x:c r="T169" s="81"/>
      <x:c r="U169" s="81"/>
      <x:c r="V169" s="81"/>
      <x:c r="W169" s="81"/>
      <x:c r="X169" s="81"/>
      <x:c r="Y169" s="81"/>
      <x:c r="Z169" s="81"/>
    </x:row>
    <x:row r="170">
      <x:c r="A170" s="81"/>
      <x:c r="B170" s="81"/>
      <x:c r="C170" s="81"/>
      <x:c r="D170" s="81"/>
      <x:c r="E170" s="81"/>
      <x:c r="F170" s="81"/>
      <x:c r="G170" s="81"/>
      <x:c r="H170" s="81"/>
      <x:c r="I170" s="81"/>
      <x:c r="J170" s="81"/>
      <x:c r="K170" s="81"/>
      <x:c r="L170" s="81"/>
      <x:c r="M170" s="81"/>
      <x:c r="N170" s="81"/>
      <x:c r="O170" s="81"/>
      <x:c r="P170" s="81"/>
      <x:c r="Q170" s="81"/>
      <x:c r="R170" s="81"/>
      <x:c r="S170" s="81"/>
      <x:c r="T170" s="81"/>
      <x:c r="U170" s="81"/>
      <x:c r="V170" s="81"/>
      <x:c r="W170" s="81"/>
      <x:c r="X170" s="81"/>
      <x:c r="Y170" s="81"/>
      <x:c r="Z170" s="81"/>
    </x:row>
    <x:row r="171">
      <x:c r="A171" s="81"/>
      <x:c r="B171" s="81"/>
      <x:c r="C171" s="81"/>
      <x:c r="D171" s="81"/>
      <x:c r="E171" s="81"/>
      <x:c r="F171" s="81"/>
      <x:c r="G171" s="81"/>
      <x:c r="H171" s="81"/>
      <x:c r="I171" s="81"/>
      <x:c r="J171" s="81"/>
      <x:c r="K171" s="81"/>
      <x:c r="L171" s="81"/>
      <x:c r="M171" s="81"/>
      <x:c r="N171" s="81"/>
      <x:c r="O171" s="81"/>
      <x:c r="P171" s="81"/>
      <x:c r="Q171" s="81"/>
      <x:c r="R171" s="81"/>
      <x:c r="S171" s="81"/>
      <x:c r="T171" s="81"/>
      <x:c r="U171" s="81"/>
      <x:c r="V171" s="81"/>
      <x:c r="W171" s="81"/>
      <x:c r="X171" s="81"/>
      <x:c r="Y171" s="81"/>
      <x:c r="Z171" s="81"/>
    </x:row>
    <x:row r="172">
      <x:c r="A172" s="81"/>
      <x:c r="B172" s="81"/>
      <x:c r="C172" s="81"/>
      <x:c r="D172" s="81"/>
      <x:c r="E172" s="81"/>
      <x:c r="F172" s="81"/>
      <x:c r="G172" s="81"/>
      <x:c r="H172" s="81"/>
      <x:c r="I172" s="81"/>
      <x:c r="J172" s="81"/>
      <x:c r="K172" s="81"/>
      <x:c r="L172" s="81"/>
      <x:c r="M172" s="81"/>
      <x:c r="N172" s="81"/>
      <x:c r="O172" s="81"/>
      <x:c r="P172" s="81"/>
      <x:c r="Q172" s="81"/>
      <x:c r="R172" s="81"/>
      <x:c r="S172" s="81"/>
      <x:c r="T172" s="81"/>
      <x:c r="U172" s="81"/>
      <x:c r="V172" s="81"/>
      <x:c r="W172" s="81"/>
      <x:c r="X172" s="81"/>
      <x:c r="Y172" s="81"/>
      <x:c r="Z172" s="81"/>
    </x:row>
    <x:row r="173">
      <x:c r="A173" s="81"/>
      <x:c r="B173" s="81"/>
      <x:c r="C173" s="81"/>
      <x:c r="D173" s="81"/>
      <x:c r="E173" s="81"/>
      <x:c r="F173" s="81"/>
      <x:c r="G173" s="81"/>
      <x:c r="H173" s="81"/>
      <x:c r="I173" s="81"/>
      <x:c r="J173" s="81"/>
      <x:c r="K173" s="81"/>
      <x:c r="L173" s="81"/>
      <x:c r="M173" s="81"/>
      <x:c r="N173" s="81"/>
      <x:c r="O173" s="81"/>
      <x:c r="P173" s="81"/>
      <x:c r="Q173" s="81"/>
      <x:c r="R173" s="81"/>
      <x:c r="S173" s="81"/>
      <x:c r="T173" s="81"/>
      <x:c r="U173" s="81"/>
      <x:c r="V173" s="81"/>
      <x:c r="W173" s="81"/>
      <x:c r="X173" s="81"/>
      <x:c r="Y173" s="81"/>
      <x:c r="Z173" s="81"/>
    </x:row>
    <x:row r="174">
      <x:c r="A174" s="81"/>
      <x:c r="B174" s="81"/>
      <x:c r="C174" s="81"/>
      <x:c r="D174" s="81"/>
      <x:c r="E174" s="81"/>
      <x:c r="F174" s="81"/>
      <x:c r="G174" s="81"/>
      <x:c r="H174" s="81"/>
      <x:c r="I174" s="81"/>
      <x:c r="J174" s="81"/>
      <x:c r="K174" s="81"/>
      <x:c r="L174" s="81"/>
      <x:c r="M174" s="81"/>
      <x:c r="N174" s="81"/>
      <x:c r="O174" s="81"/>
      <x:c r="P174" s="81"/>
      <x:c r="Q174" s="81"/>
      <x:c r="R174" s="81"/>
      <x:c r="S174" s="81"/>
      <x:c r="T174" s="81"/>
      <x:c r="U174" s="81"/>
      <x:c r="V174" s="81"/>
      <x:c r="W174" s="81"/>
      <x:c r="X174" s="81"/>
      <x:c r="Y174" s="81"/>
      <x:c r="Z174" s="81"/>
    </x:row>
    <x:row r="175">
      <x:c r="A175" s="81"/>
      <x:c r="B175" s="81"/>
      <x:c r="C175" s="81"/>
      <x:c r="D175" s="81"/>
      <x:c r="E175" s="81"/>
      <x:c r="F175" s="81"/>
      <x:c r="G175" s="81"/>
      <x:c r="H175" s="81"/>
      <x:c r="I175" s="81"/>
      <x:c r="J175" s="81"/>
      <x:c r="K175" s="81"/>
      <x:c r="L175" s="81"/>
      <x:c r="M175" s="81"/>
      <x:c r="N175" s="81"/>
      <x:c r="O175" s="81"/>
      <x:c r="P175" s="81"/>
      <x:c r="Q175" s="81"/>
      <x:c r="R175" s="81"/>
      <x:c r="S175" s="81"/>
      <x:c r="T175" s="81"/>
      <x:c r="U175" s="81"/>
      <x:c r="V175" s="81"/>
      <x:c r="W175" s="81"/>
      <x:c r="X175" s="81"/>
      <x:c r="Y175" s="81"/>
      <x:c r="Z175" s="81"/>
    </x:row>
    <x:row r="176">
      <x:c r="A176" s="81"/>
      <x:c r="B176" s="81"/>
      <x:c r="C176" s="81"/>
      <x:c r="D176" s="81"/>
      <x:c r="E176" s="81"/>
      <x:c r="F176" s="81"/>
      <x:c r="G176" s="81"/>
      <x:c r="H176" s="81"/>
      <x:c r="I176" s="81"/>
      <x:c r="J176" s="81"/>
      <x:c r="K176" s="81"/>
      <x:c r="L176" s="81"/>
      <x:c r="M176" s="81"/>
      <x:c r="N176" s="81"/>
      <x:c r="O176" s="81"/>
      <x:c r="P176" s="81"/>
      <x:c r="Q176" s="81"/>
      <x:c r="R176" s="81"/>
      <x:c r="S176" s="81"/>
      <x:c r="T176" s="81"/>
      <x:c r="U176" s="81"/>
      <x:c r="V176" s="81"/>
      <x:c r="W176" s="81"/>
      <x:c r="X176" s="81"/>
      <x:c r="Y176" s="81"/>
      <x:c r="Z176" s="81"/>
    </x:row>
    <x:row r="177">
      <x:c r="A177" s="81"/>
      <x:c r="B177" s="81"/>
      <x:c r="C177" s="81"/>
      <x:c r="D177" s="81"/>
      <x:c r="E177" s="81"/>
      <x:c r="F177" s="81"/>
      <x:c r="G177" s="81"/>
      <x:c r="H177" s="81"/>
      <x:c r="I177" s="81"/>
      <x:c r="J177" s="81"/>
      <x:c r="K177" s="81"/>
      <x:c r="L177" s="81"/>
      <x:c r="M177" s="81"/>
      <x:c r="N177" s="81"/>
      <x:c r="O177" s="81"/>
      <x:c r="P177" s="81"/>
      <x:c r="Q177" s="81"/>
      <x:c r="R177" s="81"/>
      <x:c r="S177" s="81"/>
      <x:c r="T177" s="81"/>
      <x:c r="U177" s="81"/>
      <x:c r="V177" s="81"/>
      <x:c r="W177" s="81"/>
      <x:c r="X177" s="81"/>
      <x:c r="Y177" s="81"/>
      <x:c r="Z177" s="81"/>
    </x:row>
    <x:row r="178">
      <x:c r="A178" s="81"/>
      <x:c r="B178" s="81"/>
      <x:c r="C178" s="81"/>
      <x:c r="D178" s="81"/>
      <x:c r="E178" s="81"/>
      <x:c r="F178" s="81"/>
      <x:c r="G178" s="81"/>
      <x:c r="H178" s="81"/>
      <x:c r="I178" s="81"/>
      <x:c r="J178" s="81"/>
      <x:c r="K178" s="81"/>
      <x:c r="L178" s="81"/>
      <x:c r="M178" s="81"/>
      <x:c r="N178" s="81"/>
      <x:c r="O178" s="81"/>
      <x:c r="P178" s="81"/>
      <x:c r="Q178" s="81"/>
      <x:c r="R178" s="81"/>
      <x:c r="S178" s="81"/>
      <x:c r="T178" s="81"/>
      <x:c r="U178" s="81"/>
      <x:c r="V178" s="81"/>
      <x:c r="W178" s="81"/>
      <x:c r="X178" s="81"/>
      <x:c r="Y178" s="81"/>
      <x:c r="Z178" s="81"/>
    </x:row>
    <x:row r="179">
      <x:c r="A179" s="81"/>
      <x:c r="B179" s="81"/>
      <x:c r="C179" s="81"/>
      <x:c r="D179" s="81"/>
      <x:c r="E179" s="81"/>
      <x:c r="F179" s="81"/>
      <x:c r="G179" s="81"/>
      <x:c r="H179" s="81"/>
      <x:c r="I179" s="81"/>
      <x:c r="J179" s="81"/>
      <x:c r="K179" s="81"/>
      <x:c r="L179" s="81"/>
      <x:c r="M179" s="81"/>
      <x:c r="N179" s="81"/>
      <x:c r="O179" s="81"/>
      <x:c r="P179" s="81"/>
      <x:c r="Q179" s="81"/>
      <x:c r="R179" s="81"/>
      <x:c r="S179" s="81"/>
      <x:c r="T179" s="81"/>
      <x:c r="U179" s="81"/>
      <x:c r="V179" s="81"/>
      <x:c r="W179" s="81"/>
      <x:c r="X179" s="81"/>
      <x:c r="Y179" s="81"/>
      <x:c r="Z179" s="81"/>
    </x:row>
    <x:row r="180">
      <x:c r="A180" s="81"/>
      <x:c r="B180" s="81"/>
      <x:c r="C180" s="81"/>
      <x:c r="D180" s="81"/>
      <x:c r="E180" s="81"/>
      <x:c r="F180" s="81"/>
      <x:c r="G180" s="81"/>
      <x:c r="H180" s="81"/>
      <x:c r="I180" s="81"/>
      <x:c r="J180" s="81"/>
      <x:c r="K180" s="81"/>
      <x:c r="L180" s="81"/>
      <x:c r="M180" s="81"/>
      <x:c r="N180" s="81"/>
      <x:c r="O180" s="81"/>
      <x:c r="P180" s="81"/>
      <x:c r="Q180" s="81"/>
      <x:c r="R180" s="81"/>
      <x:c r="S180" s="81"/>
      <x:c r="T180" s="81"/>
      <x:c r="U180" s="81"/>
      <x:c r="V180" s="81"/>
      <x:c r="W180" s="81"/>
      <x:c r="X180" s="81"/>
      <x:c r="Y180" s="81"/>
      <x:c r="Z180" s="81"/>
    </x:row>
    <x:row r="181">
      <x:c r="A181" s="81"/>
      <x:c r="B181" s="81"/>
      <x:c r="C181" s="81"/>
      <x:c r="D181" s="81"/>
      <x:c r="E181" s="81"/>
      <x:c r="F181" s="81"/>
      <x:c r="G181" s="81"/>
      <x:c r="H181" s="81"/>
      <x:c r="I181" s="81"/>
      <x:c r="J181" s="81"/>
      <x:c r="K181" s="81"/>
      <x:c r="L181" s="81"/>
      <x:c r="M181" s="81"/>
      <x:c r="N181" s="81"/>
      <x:c r="O181" s="81"/>
      <x:c r="P181" s="81"/>
      <x:c r="Q181" s="81"/>
      <x:c r="R181" s="81"/>
      <x:c r="S181" s="81"/>
      <x:c r="T181" s="81"/>
      <x:c r="U181" s="81"/>
      <x:c r="V181" s="81"/>
      <x:c r="W181" s="81"/>
      <x:c r="X181" s="81"/>
      <x:c r="Y181" s="81"/>
      <x:c r="Z181" s="81"/>
    </x:row>
    <x:row r="182">
      <x:c r="A182" s="81"/>
      <x:c r="B182" s="81"/>
      <x:c r="C182" s="81"/>
      <x:c r="D182" s="81"/>
      <x:c r="E182" s="81"/>
      <x:c r="F182" s="81"/>
      <x:c r="G182" s="81"/>
      <x:c r="H182" s="81"/>
      <x:c r="I182" s="81"/>
      <x:c r="J182" s="81"/>
      <x:c r="K182" s="81"/>
      <x:c r="L182" s="81"/>
      <x:c r="M182" s="81"/>
      <x:c r="N182" s="81"/>
      <x:c r="O182" s="81"/>
      <x:c r="P182" s="81"/>
      <x:c r="Q182" s="81"/>
      <x:c r="R182" s="81"/>
      <x:c r="S182" s="81"/>
      <x:c r="T182" s="81"/>
      <x:c r="U182" s="81"/>
      <x:c r="V182" s="81"/>
      <x:c r="W182" s="81"/>
      <x:c r="X182" s="81"/>
      <x:c r="Y182" s="81"/>
      <x:c r="Z182" s="81"/>
    </x:row>
    <x:row r="183">
      <x:c r="A183" s="81"/>
      <x:c r="B183" s="81"/>
      <x:c r="C183" s="81"/>
      <x:c r="D183" s="81"/>
      <x:c r="E183" s="81"/>
      <x:c r="F183" s="81"/>
      <x:c r="G183" s="81"/>
      <x:c r="H183" s="81"/>
      <x:c r="I183" s="81"/>
      <x:c r="J183" s="81"/>
      <x:c r="K183" s="81"/>
      <x:c r="L183" s="81"/>
      <x:c r="M183" s="81"/>
      <x:c r="N183" s="81"/>
      <x:c r="O183" s="81"/>
      <x:c r="P183" s="81"/>
      <x:c r="Q183" s="81"/>
      <x:c r="R183" s="81"/>
      <x:c r="S183" s="81"/>
      <x:c r="T183" s="81"/>
      <x:c r="U183" s="81"/>
      <x:c r="V183" s="81"/>
      <x:c r="W183" s="81"/>
      <x:c r="X183" s="81"/>
      <x:c r="Y183" s="81"/>
      <x:c r="Z183" s="81"/>
    </x:row>
    <x:row r="184">
      <x:c r="A184" s="81"/>
      <x:c r="B184" s="81"/>
      <x:c r="C184" s="81"/>
      <x:c r="D184" s="81"/>
      <x:c r="E184" s="81"/>
      <x:c r="F184" s="81"/>
      <x:c r="G184" s="81"/>
      <x:c r="H184" s="81"/>
      <x:c r="I184" s="81"/>
      <x:c r="J184" s="81"/>
      <x:c r="K184" s="81"/>
      <x:c r="L184" s="81"/>
      <x:c r="M184" s="81"/>
      <x:c r="N184" s="81"/>
      <x:c r="O184" s="81"/>
      <x:c r="P184" s="81"/>
      <x:c r="Q184" s="81"/>
      <x:c r="R184" s="81"/>
      <x:c r="S184" s="81"/>
      <x:c r="T184" s="81"/>
      <x:c r="U184" s="81"/>
      <x:c r="V184" s="81"/>
      <x:c r="W184" s="81"/>
      <x:c r="X184" s="81"/>
      <x:c r="Y184" s="81"/>
      <x:c r="Z184" s="81"/>
    </x:row>
    <x:row r="185">
      <x:c r="A185" s="81"/>
      <x:c r="B185" s="81"/>
      <x:c r="C185" s="81"/>
      <x:c r="D185" s="81"/>
      <x:c r="E185" s="81"/>
      <x:c r="F185" s="81"/>
      <x:c r="G185" s="81"/>
      <x:c r="H185" s="81"/>
      <x:c r="I185" s="81"/>
      <x:c r="J185" s="81"/>
      <x:c r="K185" s="81"/>
      <x:c r="L185" s="81"/>
      <x:c r="M185" s="81"/>
      <x:c r="N185" s="81"/>
      <x:c r="O185" s="81"/>
      <x:c r="P185" s="81"/>
      <x:c r="Q185" s="81"/>
      <x:c r="R185" s="81"/>
      <x:c r="S185" s="81"/>
      <x:c r="T185" s="81"/>
      <x:c r="U185" s="81"/>
      <x:c r="V185" s="81"/>
      <x:c r="W185" s="81"/>
      <x:c r="X185" s="81"/>
      <x:c r="Y185" s="81"/>
      <x:c r="Z185" s="81"/>
    </x:row>
    <x:row r="186">
      <x:c r="A186" s="81"/>
      <x:c r="B186" s="81"/>
      <x:c r="C186" s="81"/>
      <x:c r="D186" s="81"/>
      <x:c r="E186" s="81"/>
      <x:c r="F186" s="81"/>
      <x:c r="G186" s="81"/>
      <x:c r="H186" s="81"/>
      <x:c r="I186" s="81"/>
      <x:c r="J186" s="81"/>
      <x:c r="K186" s="81"/>
      <x:c r="L186" s="81"/>
      <x:c r="M186" s="81"/>
      <x:c r="N186" s="81"/>
      <x:c r="O186" s="81"/>
      <x:c r="P186" s="81"/>
      <x:c r="Q186" s="81"/>
      <x:c r="R186" s="81"/>
      <x:c r="S186" s="81"/>
      <x:c r="T186" s="81"/>
      <x:c r="U186" s="81"/>
      <x:c r="V186" s="81"/>
      <x:c r="W186" s="81"/>
      <x:c r="X186" s="81"/>
      <x:c r="Y186" s="81"/>
      <x:c r="Z186" s="81"/>
    </x:row>
    <x:row r="187">
      <x:c r="A187" s="81"/>
      <x:c r="B187" s="81"/>
      <x:c r="C187" s="81"/>
      <x:c r="D187" s="81"/>
      <x:c r="E187" s="81"/>
      <x:c r="F187" s="81"/>
      <x:c r="G187" s="81"/>
      <x:c r="H187" s="81"/>
      <x:c r="I187" s="81"/>
      <x:c r="J187" s="81"/>
      <x:c r="K187" s="81"/>
      <x:c r="L187" s="81"/>
      <x:c r="M187" s="81"/>
      <x:c r="N187" s="81"/>
      <x:c r="O187" s="81"/>
      <x:c r="P187" s="81"/>
      <x:c r="Q187" s="81"/>
      <x:c r="R187" s="81"/>
      <x:c r="S187" s="81"/>
      <x:c r="T187" s="81"/>
      <x:c r="U187" s="81"/>
      <x:c r="V187" s="81"/>
      <x:c r="W187" s="81"/>
      <x:c r="X187" s="81"/>
      <x:c r="Y187" s="81"/>
      <x:c r="Z187" s="81"/>
    </x:row>
    <x:row r="188">
      <x:c r="A188" s="81"/>
      <x:c r="B188" s="81"/>
      <x:c r="C188" s="81"/>
      <x:c r="D188" s="81"/>
      <x:c r="E188" s="81"/>
      <x:c r="F188" s="81"/>
      <x:c r="G188" s="81"/>
      <x:c r="H188" s="81"/>
      <x:c r="I188" s="81"/>
      <x:c r="J188" s="81"/>
      <x:c r="K188" s="81"/>
      <x:c r="L188" s="81"/>
      <x:c r="M188" s="81"/>
      <x:c r="N188" s="81"/>
      <x:c r="O188" s="81"/>
      <x:c r="P188" s="81"/>
      <x:c r="Q188" s="81"/>
      <x:c r="R188" s="81"/>
      <x:c r="S188" s="81"/>
      <x:c r="T188" s="81"/>
      <x:c r="U188" s="81"/>
      <x:c r="V188" s="81"/>
      <x:c r="W188" s="81"/>
      <x:c r="X188" s="81"/>
      <x:c r="Y188" s="81"/>
      <x:c r="Z188" s="81"/>
    </x:row>
    <x:row r="189">
      <x:c r="A189" s="81"/>
      <x:c r="B189" s="81"/>
      <x:c r="C189" s="81"/>
      <x:c r="D189" s="81"/>
      <x:c r="E189" s="81"/>
      <x:c r="F189" s="81"/>
      <x:c r="G189" s="81"/>
      <x:c r="H189" s="81"/>
      <x:c r="I189" s="81"/>
      <x:c r="J189" s="81"/>
      <x:c r="K189" s="81"/>
      <x:c r="L189" s="81"/>
      <x:c r="M189" s="81"/>
      <x:c r="N189" s="81"/>
      <x:c r="O189" s="81"/>
      <x:c r="P189" s="81"/>
      <x:c r="Q189" s="81"/>
      <x:c r="R189" s="81"/>
      <x:c r="S189" s="81"/>
      <x:c r="T189" s="81"/>
      <x:c r="U189" s="81"/>
      <x:c r="V189" s="81"/>
      <x:c r="W189" s="81"/>
      <x:c r="X189" s="81"/>
      <x:c r="Y189" s="81"/>
      <x:c r="Z189" s="81"/>
    </x:row>
    <x:row r="190">
      <x:c r="A190" s="81"/>
      <x:c r="B190" s="81"/>
      <x:c r="C190" s="81"/>
      <x:c r="D190" s="81"/>
      <x:c r="E190" s="81"/>
      <x:c r="F190" s="81"/>
      <x:c r="G190" s="81"/>
      <x:c r="H190" s="81"/>
      <x:c r="I190" s="81"/>
      <x:c r="J190" s="81"/>
      <x:c r="K190" s="81"/>
      <x:c r="L190" s="81"/>
      <x:c r="M190" s="81"/>
      <x:c r="N190" s="81"/>
      <x:c r="O190" s="81"/>
      <x:c r="P190" s="81"/>
      <x:c r="Q190" s="81"/>
      <x:c r="R190" s="81"/>
      <x:c r="S190" s="81"/>
      <x:c r="T190" s="81"/>
      <x:c r="U190" s="81"/>
      <x:c r="V190" s="81"/>
      <x:c r="W190" s="81"/>
      <x:c r="X190" s="81"/>
      <x:c r="Y190" s="81"/>
      <x:c r="Z190" s="81"/>
    </x:row>
    <x:row r="191">
      <x:c r="A191" s="81"/>
      <x:c r="B191" s="81"/>
      <x:c r="C191" s="81"/>
      <x:c r="D191" s="81"/>
      <x:c r="E191" s="81"/>
      <x:c r="F191" s="81"/>
      <x:c r="G191" s="81"/>
      <x:c r="H191" s="81"/>
      <x:c r="I191" s="81"/>
      <x:c r="J191" s="81"/>
      <x:c r="K191" s="81"/>
      <x:c r="L191" s="81"/>
      <x:c r="M191" s="81"/>
      <x:c r="N191" s="81"/>
      <x:c r="O191" s="81"/>
      <x:c r="P191" s="81"/>
      <x:c r="Q191" s="81"/>
      <x:c r="R191" s="81"/>
      <x:c r="S191" s="81"/>
      <x:c r="T191" s="81"/>
      <x:c r="U191" s="81"/>
      <x:c r="V191" s="81"/>
      <x:c r="W191" s="81"/>
      <x:c r="X191" s="81"/>
      <x:c r="Y191" s="81"/>
      <x:c r="Z191" s="81"/>
    </x:row>
    <x:row r="192">
      <x:c r="A192" s="81"/>
      <x:c r="B192" s="81"/>
      <x:c r="C192" s="81"/>
      <x:c r="D192" s="81"/>
      <x:c r="E192" s="81"/>
      <x:c r="F192" s="81"/>
      <x:c r="G192" s="81"/>
      <x:c r="H192" s="81"/>
      <x:c r="I192" s="81"/>
      <x:c r="J192" s="81"/>
      <x:c r="K192" s="81"/>
      <x:c r="L192" s="81"/>
      <x:c r="M192" s="81"/>
      <x:c r="N192" s="81"/>
      <x:c r="O192" s="81"/>
      <x:c r="P192" s="81"/>
      <x:c r="Q192" s="81"/>
      <x:c r="R192" s="81"/>
      <x:c r="S192" s="81"/>
      <x:c r="T192" s="81"/>
      <x:c r="U192" s="81"/>
      <x:c r="V192" s="81"/>
      <x:c r="W192" s="81"/>
      <x:c r="X192" s="81"/>
      <x:c r="Y192" s="81"/>
      <x:c r="Z192" s="81"/>
    </x:row>
    <x:row r="193">
      <x:c r="A193" s="81"/>
      <x:c r="B193" s="81"/>
      <x:c r="C193" s="81"/>
      <x:c r="D193" s="81"/>
      <x:c r="E193" s="81"/>
      <x:c r="F193" s="81"/>
      <x:c r="G193" s="81"/>
      <x:c r="H193" s="81"/>
      <x:c r="I193" s="81"/>
      <x:c r="J193" s="81"/>
      <x:c r="K193" s="81"/>
      <x:c r="L193" s="81"/>
      <x:c r="M193" s="81"/>
      <x:c r="N193" s="81"/>
      <x:c r="O193" s="81"/>
      <x:c r="P193" s="81"/>
      <x:c r="Q193" s="81"/>
      <x:c r="R193" s="81"/>
      <x:c r="S193" s="81"/>
      <x:c r="T193" s="81"/>
      <x:c r="U193" s="81"/>
      <x:c r="V193" s="81"/>
      <x:c r="W193" s="81"/>
      <x:c r="X193" s="81"/>
      <x:c r="Y193" s="81"/>
      <x:c r="Z193" s="81"/>
    </x:row>
    <x:row r="194">
      <x:c r="A194" s="81"/>
      <x:c r="B194" s="81"/>
      <x:c r="C194" s="81"/>
      <x:c r="D194" s="81"/>
      <x:c r="E194" s="81"/>
      <x:c r="F194" s="81"/>
      <x:c r="G194" s="81"/>
      <x:c r="H194" s="81"/>
      <x:c r="I194" s="81"/>
      <x:c r="J194" s="81"/>
      <x:c r="K194" s="81"/>
      <x:c r="L194" s="81"/>
      <x:c r="M194" s="81"/>
      <x:c r="N194" s="81"/>
      <x:c r="O194" s="81"/>
      <x:c r="P194" s="81"/>
      <x:c r="Q194" s="81"/>
      <x:c r="R194" s="81"/>
      <x:c r="S194" s="81"/>
      <x:c r="T194" s="81"/>
      <x:c r="U194" s="81"/>
      <x:c r="V194" s="81"/>
      <x:c r="W194" s="81"/>
      <x:c r="X194" s="81"/>
      <x:c r="Y194" s="81"/>
      <x:c r="Z194" s="81"/>
    </x:row>
    <x:row r="195">
      <x:c r="A195" s="81"/>
      <x:c r="B195" s="81"/>
      <x:c r="C195" s="81"/>
      <x:c r="D195" s="81"/>
      <x:c r="E195" s="81"/>
      <x:c r="F195" s="81"/>
      <x:c r="G195" s="81"/>
      <x:c r="H195" s="81"/>
      <x:c r="I195" s="81"/>
      <x:c r="J195" s="81"/>
      <x:c r="K195" s="81"/>
      <x:c r="L195" s="81"/>
      <x:c r="M195" s="81"/>
      <x:c r="N195" s="81"/>
      <x:c r="O195" s="81"/>
      <x:c r="P195" s="81"/>
      <x:c r="Q195" s="81"/>
      <x:c r="R195" s="81"/>
      <x:c r="S195" s="81"/>
      <x:c r="T195" s="81"/>
      <x:c r="U195" s="81"/>
      <x:c r="V195" s="81"/>
      <x:c r="W195" s="81"/>
      <x:c r="X195" s="81"/>
      <x:c r="Y195" s="81"/>
      <x:c r="Z195" s="81"/>
    </x:row>
    <x:row r="196">
      <x:c r="A196" s="81"/>
      <x:c r="B196" s="81"/>
      <x:c r="C196" s="81"/>
      <x:c r="D196" s="81"/>
      <x:c r="E196" s="81"/>
      <x:c r="F196" s="81"/>
      <x:c r="G196" s="81"/>
      <x:c r="H196" s="81"/>
      <x:c r="I196" s="81"/>
      <x:c r="J196" s="81"/>
      <x:c r="K196" s="81"/>
      <x:c r="L196" s="81"/>
      <x:c r="M196" s="81"/>
      <x:c r="N196" s="81"/>
      <x:c r="O196" s="81"/>
      <x:c r="P196" s="81"/>
      <x:c r="Q196" s="81"/>
      <x:c r="R196" s="81"/>
      <x:c r="S196" s="81"/>
      <x:c r="T196" s="81"/>
      <x:c r="U196" s="81"/>
      <x:c r="V196" s="81"/>
      <x:c r="W196" s="81"/>
      <x:c r="X196" s="81"/>
      <x:c r="Y196" s="81"/>
      <x:c r="Z196" s="81"/>
    </x:row>
    <x:row r="197">
      <x:c r="A197" s="81"/>
      <x:c r="B197" s="81"/>
      <x:c r="C197" s="81"/>
      <x:c r="D197" s="81"/>
      <x:c r="E197" s="81"/>
      <x:c r="F197" s="81"/>
      <x:c r="G197" s="81"/>
      <x:c r="H197" s="81"/>
      <x:c r="I197" s="81"/>
      <x:c r="J197" s="81"/>
      <x:c r="K197" s="81"/>
      <x:c r="L197" s="81"/>
      <x:c r="M197" s="81"/>
      <x:c r="N197" s="81"/>
      <x:c r="O197" s="81"/>
      <x:c r="P197" s="81"/>
      <x:c r="Q197" s="81"/>
      <x:c r="R197" s="81"/>
      <x:c r="S197" s="81"/>
      <x:c r="T197" s="81"/>
      <x:c r="U197" s="81"/>
      <x:c r="V197" s="81"/>
      <x:c r="W197" s="81"/>
      <x:c r="X197" s="81"/>
      <x:c r="Y197" s="81"/>
      <x:c r="Z197" s="81"/>
    </x:row>
    <x:row r="198">
      <x:c r="A198" s="81"/>
      <x:c r="B198" s="81"/>
      <x:c r="C198" s="81"/>
      <x:c r="D198" s="81"/>
      <x:c r="E198" s="81"/>
      <x:c r="F198" s="81"/>
      <x:c r="G198" s="81"/>
      <x:c r="H198" s="81"/>
      <x:c r="I198" s="81"/>
      <x:c r="J198" s="81"/>
      <x:c r="K198" s="81"/>
      <x:c r="L198" s="81"/>
      <x:c r="M198" s="81"/>
      <x:c r="N198" s="81"/>
      <x:c r="O198" s="81"/>
      <x:c r="P198" s="81"/>
      <x:c r="Q198" s="81"/>
      <x:c r="R198" s="81"/>
      <x:c r="S198" s="81"/>
      <x:c r="T198" s="81"/>
      <x:c r="U198" s="81"/>
      <x:c r="V198" s="81"/>
      <x:c r="W198" s="81"/>
      <x:c r="X198" s="81"/>
      <x:c r="Y198" s="81"/>
      <x:c r="Z198" s="81"/>
    </x:row>
    <x:row r="199">
      <x:c r="A199" s="81"/>
      <x:c r="B199" s="81"/>
      <x:c r="C199" s="81"/>
      <x:c r="D199" s="81"/>
      <x:c r="E199" s="81"/>
      <x:c r="F199" s="81"/>
      <x:c r="G199" s="81"/>
      <x:c r="H199" s="81"/>
      <x:c r="I199" s="81"/>
      <x:c r="J199" s="81"/>
      <x:c r="K199" s="81"/>
      <x:c r="L199" s="81"/>
      <x:c r="M199" s="81"/>
      <x:c r="N199" s="81"/>
      <x:c r="O199" s="81"/>
      <x:c r="P199" s="81"/>
      <x:c r="Q199" s="81"/>
      <x:c r="R199" s="81"/>
      <x:c r="S199" s="81"/>
      <x:c r="T199" s="81"/>
      <x:c r="U199" s="81"/>
      <x:c r="V199" s="81"/>
      <x:c r="W199" s="81"/>
      <x:c r="X199" s="81"/>
      <x:c r="Y199" s="81"/>
      <x:c r="Z199" s="81"/>
    </x:row>
    <x:row r="200">
      <x:c r="A200" s="81"/>
      <x:c r="B200" s="81"/>
      <x:c r="C200" s="81"/>
      <x:c r="D200" s="81"/>
      <x:c r="E200" s="81"/>
      <x:c r="F200" s="81"/>
      <x:c r="G200" s="81"/>
      <x:c r="H200" s="81"/>
      <x:c r="I200" s="81"/>
      <x:c r="J200" s="81"/>
      <x:c r="K200" s="81"/>
      <x:c r="L200" s="81"/>
      <x:c r="M200" s="81"/>
      <x:c r="N200" s="81"/>
      <x:c r="O200" s="81"/>
      <x:c r="P200" s="81"/>
      <x:c r="Q200" s="81"/>
      <x:c r="R200" s="81"/>
      <x:c r="S200" s="81"/>
      <x:c r="T200" s="81"/>
      <x:c r="U200" s="81"/>
      <x:c r="V200" s="81"/>
      <x:c r="W200" s="81"/>
      <x:c r="X200" s="81"/>
      <x:c r="Y200" s="81"/>
      <x:c r="Z200" s="81"/>
    </x:row>
    <x:row r="201">
      <x:c r="A201" s="81"/>
      <x:c r="B201" s="81"/>
      <x:c r="C201" s="81"/>
      <x:c r="D201" s="81"/>
      <x:c r="E201" s="81"/>
      <x:c r="F201" s="81"/>
      <x:c r="G201" s="81"/>
      <x:c r="H201" s="81"/>
      <x:c r="I201" s="81"/>
      <x:c r="J201" s="81"/>
      <x:c r="K201" s="81"/>
      <x:c r="L201" s="81"/>
      <x:c r="M201" s="81"/>
      <x:c r="N201" s="81"/>
      <x:c r="O201" s="81"/>
      <x:c r="P201" s="81"/>
      <x:c r="Q201" s="81"/>
      <x:c r="R201" s="81"/>
      <x:c r="S201" s="81"/>
      <x:c r="T201" s="81"/>
      <x:c r="U201" s="81"/>
      <x:c r="V201" s="81"/>
      <x:c r="W201" s="81"/>
      <x:c r="X201" s="81"/>
      <x:c r="Y201" s="81"/>
      <x:c r="Z201" s="81"/>
    </x:row>
    <x:row r="202">
      <x:c r="A202" s="81"/>
      <x:c r="B202" s="81"/>
      <x:c r="C202" s="81"/>
      <x:c r="D202" s="81"/>
      <x:c r="E202" s="81"/>
      <x:c r="F202" s="81"/>
      <x:c r="G202" s="81"/>
      <x:c r="H202" s="81"/>
      <x:c r="I202" s="81"/>
      <x:c r="J202" s="81"/>
      <x:c r="K202" s="81"/>
      <x:c r="L202" s="81"/>
      <x:c r="M202" s="81"/>
      <x:c r="N202" s="81"/>
      <x:c r="O202" s="81"/>
      <x:c r="P202" s="81"/>
      <x:c r="Q202" s="81"/>
      <x:c r="R202" s="81"/>
      <x:c r="S202" s="81"/>
      <x:c r="T202" s="81"/>
      <x:c r="U202" s="81"/>
      <x:c r="V202" s="81"/>
      <x:c r="W202" s="81"/>
      <x:c r="X202" s="81"/>
      <x:c r="Y202" s="81"/>
      <x:c r="Z202" s="81"/>
    </x:row>
    <x:row r="203">
      <x:c r="A203" s="81"/>
      <x:c r="B203" s="81"/>
      <x:c r="C203" s="81"/>
      <x:c r="D203" s="81"/>
      <x:c r="E203" s="81"/>
      <x:c r="F203" s="81"/>
      <x:c r="G203" s="81"/>
      <x:c r="H203" s="81"/>
      <x:c r="I203" s="81"/>
      <x:c r="J203" s="81"/>
      <x:c r="K203" s="81"/>
      <x:c r="L203" s="81"/>
      <x:c r="M203" s="81"/>
      <x:c r="N203" s="81"/>
      <x:c r="O203" s="81"/>
      <x:c r="P203" s="81"/>
      <x:c r="Q203" s="81"/>
      <x:c r="R203" s="81"/>
      <x:c r="S203" s="81"/>
      <x:c r="T203" s="81"/>
      <x:c r="U203" s="81"/>
      <x:c r="V203" s="81"/>
      <x:c r="W203" s="81"/>
      <x:c r="X203" s="81"/>
      <x:c r="Y203" s="81"/>
      <x:c r="Z203" s="81"/>
    </x:row>
    <x:row r="204">
      <x:c r="A204" s="81"/>
      <x:c r="B204" s="81"/>
      <x:c r="C204" s="81"/>
      <x:c r="D204" s="81"/>
      <x:c r="E204" s="81"/>
      <x:c r="F204" s="81"/>
      <x:c r="G204" s="81"/>
      <x:c r="H204" s="81"/>
      <x:c r="I204" s="81"/>
      <x:c r="J204" s="81"/>
      <x:c r="K204" s="81"/>
      <x:c r="L204" s="81"/>
      <x:c r="M204" s="81"/>
      <x:c r="N204" s="81"/>
      <x:c r="O204" s="81"/>
      <x:c r="P204" s="81"/>
      <x:c r="Q204" s="81"/>
      <x:c r="R204" s="81"/>
      <x:c r="S204" s="81"/>
      <x:c r="T204" s="81"/>
      <x:c r="U204" s="81"/>
      <x:c r="V204" s="81"/>
      <x:c r="W204" s="81"/>
      <x:c r="X204" s="81"/>
      <x:c r="Y204" s="81"/>
      <x:c r="Z204" s="81"/>
    </x:row>
    <x:row r="205">
      <x:c r="A205" s="81"/>
      <x:c r="B205" s="81"/>
      <x:c r="C205" s="81"/>
      <x:c r="D205" s="81"/>
      <x:c r="E205" s="81"/>
      <x:c r="F205" s="81"/>
      <x:c r="G205" s="81"/>
      <x:c r="H205" s="81"/>
      <x:c r="I205" s="81"/>
      <x:c r="J205" s="81"/>
      <x:c r="K205" s="81"/>
      <x:c r="L205" s="81"/>
      <x:c r="M205" s="81"/>
      <x:c r="N205" s="81"/>
      <x:c r="O205" s="81"/>
      <x:c r="P205" s="81"/>
      <x:c r="Q205" s="81"/>
      <x:c r="R205" s="81"/>
      <x:c r="S205" s="81"/>
      <x:c r="T205" s="81"/>
      <x:c r="U205" s="81"/>
      <x:c r="V205" s="81"/>
      <x:c r="W205" s="81"/>
      <x:c r="X205" s="81"/>
      <x:c r="Y205" s="81"/>
      <x:c r="Z205" s="81"/>
    </x:row>
    <x:row r="206">
      <x:c r="A206" s="81"/>
      <x:c r="B206" s="81"/>
      <x:c r="C206" s="81"/>
      <x:c r="D206" s="81"/>
      <x:c r="E206" s="81"/>
      <x:c r="F206" s="81"/>
      <x:c r="G206" s="81"/>
      <x:c r="H206" s="81"/>
      <x:c r="I206" s="81"/>
      <x:c r="J206" s="81"/>
      <x:c r="K206" s="81"/>
      <x:c r="L206" s="81"/>
      <x:c r="M206" s="81"/>
      <x:c r="N206" s="81"/>
      <x:c r="O206" s="81"/>
      <x:c r="P206" s="81"/>
      <x:c r="Q206" s="81"/>
      <x:c r="R206" s="81"/>
      <x:c r="S206" s="81"/>
      <x:c r="T206" s="81"/>
      <x:c r="U206" s="81"/>
      <x:c r="V206" s="81"/>
      <x:c r="W206" s="81"/>
      <x:c r="X206" s="81"/>
      <x:c r="Y206" s="81"/>
      <x:c r="Z206" s="81"/>
    </x:row>
    <x:row r="207">
      <x:c r="A207" s="81"/>
      <x:c r="B207" s="81"/>
      <x:c r="C207" s="81"/>
      <x:c r="D207" s="81"/>
      <x:c r="E207" s="81"/>
      <x:c r="F207" s="81"/>
      <x:c r="G207" s="81"/>
      <x:c r="H207" s="81"/>
      <x:c r="I207" s="81"/>
      <x:c r="J207" s="81"/>
      <x:c r="K207" s="81"/>
      <x:c r="L207" s="81"/>
      <x:c r="M207" s="81"/>
      <x:c r="N207" s="81"/>
      <x:c r="O207" s="81"/>
      <x:c r="P207" s="81"/>
      <x:c r="Q207" s="81"/>
      <x:c r="R207" s="81"/>
      <x:c r="S207" s="81"/>
      <x:c r="T207" s="81"/>
      <x:c r="U207" s="81"/>
      <x:c r="V207" s="81"/>
      <x:c r="W207" s="81"/>
      <x:c r="X207" s="81"/>
      <x:c r="Y207" s="81"/>
      <x:c r="Z207" s="81"/>
    </x:row>
    <x:row r="208">
      <x:c r="A208" s="81"/>
      <x:c r="B208" s="81"/>
      <x:c r="C208" s="81"/>
      <x:c r="D208" s="81"/>
      <x:c r="E208" s="81"/>
      <x:c r="F208" s="81"/>
      <x:c r="G208" s="81"/>
      <x:c r="H208" s="81"/>
      <x:c r="I208" s="81"/>
      <x:c r="J208" s="81"/>
      <x:c r="K208" s="81"/>
      <x:c r="L208" s="81"/>
      <x:c r="M208" s="81"/>
      <x:c r="N208" s="81"/>
      <x:c r="O208" s="81"/>
      <x:c r="P208" s="81"/>
      <x:c r="Q208" s="81"/>
      <x:c r="R208" s="81"/>
      <x:c r="S208" s="81"/>
      <x:c r="T208" s="81"/>
      <x:c r="U208" s="81"/>
      <x:c r="V208" s="81"/>
      <x:c r="W208" s="81"/>
      <x:c r="X208" s="81"/>
      <x:c r="Y208" s="81"/>
      <x:c r="Z208" s="81"/>
    </x:row>
    <x:row r="209">
      <x:c r="A209" s="81"/>
      <x:c r="B209" s="81"/>
      <x:c r="C209" s="81"/>
      <x:c r="D209" s="81"/>
      <x:c r="E209" s="81"/>
      <x:c r="F209" s="81"/>
      <x:c r="G209" s="81"/>
      <x:c r="H209" s="81"/>
      <x:c r="I209" s="81"/>
      <x:c r="J209" s="81"/>
      <x:c r="K209" s="81"/>
      <x:c r="L209" s="81"/>
      <x:c r="M209" s="81"/>
      <x:c r="N209" s="81"/>
      <x:c r="O209" s="81"/>
      <x:c r="P209" s="81"/>
      <x:c r="Q209" s="81"/>
      <x:c r="R209" s="81"/>
      <x:c r="S209" s="81"/>
      <x:c r="T209" s="81"/>
      <x:c r="U209" s="81"/>
      <x:c r="V209" s="81"/>
      <x:c r="W209" s="81"/>
      <x:c r="X209" s="81"/>
      <x:c r="Y209" s="81"/>
      <x:c r="Z209" s="81"/>
    </x:row>
    <x:row r="210">
      <x:c r="A210" s="81"/>
      <x:c r="B210" s="81"/>
      <x:c r="C210" s="81"/>
      <x:c r="D210" s="81"/>
      <x:c r="E210" s="81"/>
      <x:c r="F210" s="81"/>
      <x:c r="G210" s="81"/>
      <x:c r="H210" s="81"/>
      <x:c r="I210" s="81"/>
      <x:c r="J210" s="81"/>
      <x:c r="K210" s="81"/>
      <x:c r="L210" s="81"/>
      <x:c r="M210" s="81"/>
      <x:c r="N210" s="81"/>
      <x:c r="O210" s="81"/>
      <x:c r="P210" s="81"/>
      <x:c r="Q210" s="81"/>
      <x:c r="R210" s="81"/>
      <x:c r="S210" s="81"/>
      <x:c r="T210" s="81"/>
      <x:c r="U210" s="81"/>
      <x:c r="V210" s="81"/>
      <x:c r="W210" s="81"/>
      <x:c r="X210" s="81"/>
      <x:c r="Y210" s="81"/>
      <x:c r="Z210" s="81"/>
    </x:row>
    <x:row r="211">
      <x:c r="A211" s="81"/>
      <x:c r="B211" s="81"/>
      <x:c r="C211" s="81"/>
      <x:c r="D211" s="81"/>
      <x:c r="E211" s="81"/>
      <x:c r="F211" s="81"/>
      <x:c r="G211" s="81"/>
      <x:c r="H211" s="81"/>
      <x:c r="I211" s="81"/>
      <x:c r="J211" s="81"/>
      <x:c r="K211" s="81"/>
      <x:c r="L211" s="81"/>
      <x:c r="M211" s="81"/>
      <x:c r="N211" s="81"/>
      <x:c r="O211" s="81"/>
      <x:c r="P211" s="81"/>
      <x:c r="Q211" s="81"/>
      <x:c r="R211" s="81"/>
      <x:c r="S211" s="81"/>
      <x:c r="T211" s="81"/>
      <x:c r="U211" s="81"/>
      <x:c r="V211" s="81"/>
      <x:c r="W211" s="81"/>
      <x:c r="X211" s="81"/>
      <x:c r="Y211" s="81"/>
      <x:c r="Z211" s="81"/>
    </x:row>
    <x:row r="212">
      <x:c r="A212" s="81"/>
      <x:c r="B212" s="81"/>
      <x:c r="C212" s="81"/>
      <x:c r="D212" s="81"/>
      <x:c r="E212" s="81"/>
      <x:c r="F212" s="81"/>
      <x:c r="G212" s="81"/>
      <x:c r="H212" s="81"/>
      <x:c r="I212" s="81"/>
      <x:c r="J212" s="81"/>
      <x:c r="K212" s="81"/>
      <x:c r="L212" s="81"/>
      <x:c r="M212" s="81"/>
      <x:c r="N212" s="81"/>
      <x:c r="O212" s="81"/>
      <x:c r="P212" s="81"/>
      <x:c r="Q212" s="81"/>
      <x:c r="R212" s="81"/>
      <x:c r="S212" s="81"/>
      <x:c r="T212" s="81"/>
      <x:c r="U212" s="81"/>
      <x:c r="V212" s="81"/>
      <x:c r="W212" s="81"/>
      <x:c r="X212" s="81"/>
      <x:c r="Y212" s="81"/>
      <x:c r="Z212" s="81"/>
    </x:row>
    <x:row r="213">
      <x:c r="A213" s="81"/>
      <x:c r="B213" s="81"/>
      <x:c r="C213" s="81"/>
      <x:c r="D213" s="81"/>
      <x:c r="E213" s="81"/>
      <x:c r="F213" s="81"/>
      <x:c r="G213" s="81"/>
      <x:c r="H213" s="81"/>
      <x:c r="I213" s="81"/>
      <x:c r="J213" s="81"/>
      <x:c r="K213" s="81"/>
      <x:c r="L213" s="81"/>
      <x:c r="M213" s="81"/>
      <x:c r="N213" s="81"/>
      <x:c r="O213" s="81"/>
      <x:c r="P213" s="81"/>
      <x:c r="Q213" s="81"/>
      <x:c r="R213" s="81"/>
      <x:c r="S213" s="81"/>
      <x:c r="T213" s="81"/>
      <x:c r="U213" s="81"/>
      <x:c r="V213" s="81"/>
      <x:c r="W213" s="81"/>
      <x:c r="X213" s="81"/>
      <x:c r="Y213" s="81"/>
      <x:c r="Z213" s="81"/>
    </x:row>
    <x:row r="214">
      <x:c r="A214" s="81"/>
      <x:c r="B214" s="81"/>
      <x:c r="C214" s="81"/>
      <x:c r="D214" s="81"/>
      <x:c r="E214" s="81"/>
      <x:c r="F214" s="81"/>
      <x:c r="G214" s="81"/>
      <x:c r="H214" s="81"/>
      <x:c r="I214" s="81"/>
      <x:c r="J214" s="81"/>
      <x:c r="K214" s="81"/>
      <x:c r="L214" s="81"/>
      <x:c r="M214" s="81"/>
      <x:c r="N214" s="81"/>
      <x:c r="O214" s="81"/>
      <x:c r="P214" s="81"/>
      <x:c r="Q214" s="81"/>
      <x:c r="R214" s="81"/>
      <x:c r="S214" s="81"/>
      <x:c r="T214" s="81"/>
      <x:c r="U214" s="81"/>
      <x:c r="V214" s="81"/>
      <x:c r="W214" s="81"/>
      <x:c r="X214" s="81"/>
      <x:c r="Y214" s="81"/>
      <x:c r="Z214" s="81"/>
    </x:row>
    <x:row r="215">
      <x:c r="A215" s="81"/>
      <x:c r="B215" s="81"/>
      <x:c r="C215" s="81"/>
      <x:c r="D215" s="81"/>
      <x:c r="E215" s="81"/>
      <x:c r="F215" s="81"/>
      <x:c r="G215" s="81"/>
      <x:c r="H215" s="81"/>
      <x:c r="I215" s="81"/>
      <x:c r="J215" s="81"/>
      <x:c r="K215" s="81"/>
      <x:c r="L215" s="81"/>
      <x:c r="M215" s="81"/>
      <x:c r="N215" s="81"/>
      <x:c r="O215" s="81"/>
      <x:c r="P215" s="81"/>
      <x:c r="Q215" s="81"/>
      <x:c r="R215" s="81"/>
      <x:c r="S215" s="81"/>
      <x:c r="T215" s="81"/>
      <x:c r="U215" s="81"/>
      <x:c r="V215" s="81"/>
      <x:c r="W215" s="81"/>
      <x:c r="X215" s="81"/>
      <x:c r="Y215" s="81"/>
      <x:c r="Z215" s="81"/>
    </x:row>
    <x:row r="216">
      <x:c r="A216" s="81"/>
      <x:c r="B216" s="81"/>
      <x:c r="C216" s="81"/>
      <x:c r="D216" s="81"/>
      <x:c r="E216" s="81"/>
      <x:c r="F216" s="81"/>
      <x:c r="G216" s="81"/>
      <x:c r="H216" s="81"/>
      <x:c r="I216" s="81"/>
      <x:c r="J216" s="81"/>
      <x:c r="K216" s="81"/>
      <x:c r="L216" s="81"/>
      <x:c r="M216" s="81"/>
      <x:c r="N216" s="81"/>
      <x:c r="O216" s="81"/>
      <x:c r="P216" s="81"/>
      <x:c r="Q216" s="81"/>
      <x:c r="R216" s="81"/>
      <x:c r="S216" s="81"/>
      <x:c r="T216" s="81"/>
      <x:c r="U216" s="81"/>
      <x:c r="V216" s="81"/>
      <x:c r="W216" s="81"/>
      <x:c r="X216" s="81"/>
      <x:c r="Y216" s="81"/>
      <x:c r="Z216" s="81"/>
    </x:row>
    <x:row r="217">
      <x:c r="A217" s="81"/>
      <x:c r="B217" s="81"/>
      <x:c r="C217" s="81"/>
      <x:c r="D217" s="81"/>
      <x:c r="E217" s="81"/>
      <x:c r="F217" s="81"/>
      <x:c r="G217" s="81"/>
      <x:c r="H217" s="81"/>
      <x:c r="I217" s="81"/>
      <x:c r="J217" s="81"/>
      <x:c r="K217" s="81"/>
      <x:c r="L217" s="81"/>
      <x:c r="M217" s="81"/>
      <x:c r="N217" s="81"/>
      <x:c r="O217" s="81"/>
      <x:c r="P217" s="81"/>
      <x:c r="Q217" s="81"/>
      <x:c r="R217" s="81"/>
      <x:c r="S217" s="81"/>
      <x:c r="T217" s="81"/>
      <x:c r="U217" s="81"/>
      <x:c r="V217" s="81"/>
      <x:c r="W217" s="81"/>
      <x:c r="X217" s="81"/>
      <x:c r="Y217" s="81"/>
      <x:c r="Z217" s="81"/>
    </x:row>
    <x:row r="218">
      <x:c r="A218" s="81"/>
      <x:c r="B218" s="81"/>
      <x:c r="C218" s="81"/>
      <x:c r="D218" s="81"/>
      <x:c r="E218" s="81"/>
      <x:c r="F218" s="81"/>
      <x:c r="G218" s="81"/>
      <x:c r="H218" s="81"/>
      <x:c r="I218" s="81"/>
      <x:c r="J218" s="81"/>
      <x:c r="K218" s="81"/>
      <x:c r="L218" s="81"/>
      <x:c r="M218" s="81"/>
      <x:c r="N218" s="81"/>
      <x:c r="O218" s="81"/>
      <x:c r="P218" s="81"/>
      <x:c r="Q218" s="81"/>
      <x:c r="R218" s="81"/>
      <x:c r="S218" s="81"/>
      <x:c r="T218" s="81"/>
      <x:c r="U218" s="81"/>
      <x:c r="V218" s="81"/>
      <x:c r="W218" s="81"/>
      <x:c r="X218" s="81"/>
      <x:c r="Y218" s="81"/>
      <x:c r="Z218" s="81"/>
    </x:row>
    <x:row r="219">
      <x:c r="A219" s="81"/>
      <x:c r="B219" s="81"/>
      <x:c r="C219" s="81"/>
      <x:c r="D219" s="81"/>
      <x:c r="E219" s="81"/>
      <x:c r="F219" s="81"/>
      <x:c r="G219" s="81"/>
      <x:c r="H219" s="81"/>
      <x:c r="I219" s="81"/>
      <x:c r="J219" s="81"/>
      <x:c r="K219" s="81"/>
      <x:c r="L219" s="81"/>
      <x:c r="M219" s="81"/>
      <x:c r="N219" s="81"/>
      <x:c r="O219" s="81"/>
      <x:c r="P219" s="81"/>
      <x:c r="Q219" s="81"/>
      <x:c r="R219" s="81"/>
      <x:c r="S219" s="81"/>
      <x:c r="T219" s="81"/>
      <x:c r="U219" s="81"/>
      <x:c r="V219" s="81"/>
      <x:c r="W219" s="81"/>
      <x:c r="X219" s="81"/>
      <x:c r="Y219" s="81"/>
      <x:c r="Z219" s="81"/>
    </x:row>
    <x:row r="220">
      <x:c r="A220" s="81"/>
      <x:c r="B220" s="81"/>
      <x:c r="C220" s="81"/>
      <x:c r="D220" s="81"/>
      <x:c r="E220" s="81"/>
      <x:c r="F220" s="81"/>
      <x:c r="G220" s="81"/>
      <x:c r="H220" s="81"/>
      <x:c r="I220" s="81"/>
      <x:c r="J220" s="81"/>
      <x:c r="K220" s="81"/>
      <x:c r="L220" s="81"/>
      <x:c r="M220" s="81"/>
      <x:c r="N220" s="81"/>
      <x:c r="O220" s="81"/>
      <x:c r="P220" s="81"/>
      <x:c r="Q220" s="81"/>
      <x:c r="R220" s="81"/>
      <x:c r="S220" s="81"/>
      <x:c r="T220" s="81"/>
      <x:c r="U220" s="81"/>
      <x:c r="V220" s="81"/>
      <x:c r="W220" s="81"/>
      <x:c r="X220" s="81"/>
      <x:c r="Y220" s="81"/>
      <x:c r="Z220" s="81"/>
    </x:row>
    <x:row r="221">
      <x:c r="A221" s="81"/>
      <x:c r="B221" s="81"/>
      <x:c r="C221" s="81"/>
      <x:c r="D221" s="81"/>
      <x:c r="E221" s="81"/>
      <x:c r="F221" s="81"/>
      <x:c r="G221" s="81"/>
      <x:c r="H221" s="81"/>
      <x:c r="I221" s="81"/>
      <x:c r="J221" s="81"/>
      <x:c r="K221" s="81"/>
      <x:c r="L221" s="81"/>
      <x:c r="M221" s="81"/>
      <x:c r="N221" s="81"/>
      <x:c r="O221" s="81"/>
      <x:c r="P221" s="81"/>
      <x:c r="Q221" s="81"/>
      <x:c r="R221" s="81"/>
      <x:c r="S221" s="81"/>
      <x:c r="T221" s="81"/>
      <x:c r="U221" s="81"/>
      <x:c r="V221" s="81"/>
      <x:c r="W221" s="81"/>
      <x:c r="X221" s="81"/>
      <x:c r="Y221" s="81"/>
      <x:c r="Z221" s="81"/>
    </x:row>
    <x:row r="222">
      <x:c r="A222" s="81"/>
      <x:c r="B222" s="81"/>
      <x:c r="C222" s="81"/>
      <x:c r="D222" s="81"/>
      <x:c r="E222" s="81"/>
      <x:c r="F222" s="81"/>
      <x:c r="G222" s="81"/>
      <x:c r="H222" s="81"/>
      <x:c r="I222" s="81"/>
      <x:c r="J222" s="81"/>
      <x:c r="K222" s="81"/>
      <x:c r="L222" s="81"/>
      <x:c r="M222" s="81"/>
      <x:c r="N222" s="81"/>
      <x:c r="O222" s="81"/>
      <x:c r="P222" s="81"/>
      <x:c r="Q222" s="81"/>
      <x:c r="R222" s="81"/>
      <x:c r="S222" s="81"/>
      <x:c r="T222" s="81"/>
      <x:c r="U222" s="81"/>
      <x:c r="V222" s="81"/>
      <x:c r="W222" s="81"/>
      <x:c r="X222" s="81"/>
      <x:c r="Y222" s="81"/>
      <x:c r="Z222" s="81"/>
    </x:row>
    <x:row r="223">
      <x:c r="A223" s="81"/>
      <x:c r="B223" s="81"/>
      <x:c r="C223" s="81"/>
      <x:c r="D223" s="81"/>
      <x:c r="E223" s="81"/>
      <x:c r="F223" s="81"/>
      <x:c r="G223" s="81"/>
      <x:c r="H223" s="81"/>
      <x:c r="I223" s="81"/>
      <x:c r="J223" s="81"/>
      <x:c r="K223" s="81"/>
      <x:c r="L223" s="81"/>
      <x:c r="M223" s="81"/>
      <x:c r="N223" s="81"/>
      <x:c r="O223" s="81"/>
      <x:c r="P223" s="81"/>
      <x:c r="Q223" s="81"/>
      <x:c r="R223" s="81"/>
      <x:c r="S223" s="81"/>
      <x:c r="T223" s="81"/>
      <x:c r="U223" s="81"/>
      <x:c r="V223" s="81"/>
      <x:c r="W223" s="81"/>
      <x:c r="X223" s="81"/>
      <x:c r="Y223" s="81"/>
      <x:c r="Z223" s="81"/>
    </x:row>
    <x:row r="224">
      <x:c r="A224" s="81"/>
      <x:c r="B224" s="81"/>
      <x:c r="C224" s="81"/>
      <x:c r="D224" s="81"/>
      <x:c r="E224" s="81"/>
      <x:c r="F224" s="81"/>
      <x:c r="G224" s="81"/>
      <x:c r="H224" s="81"/>
      <x:c r="I224" s="81"/>
      <x:c r="J224" s="81"/>
      <x:c r="K224" s="81"/>
      <x:c r="L224" s="81"/>
      <x:c r="M224" s="81"/>
      <x:c r="N224" s="81"/>
      <x:c r="O224" s="81"/>
      <x:c r="P224" s="81"/>
      <x:c r="Q224" s="81"/>
      <x:c r="R224" s="81"/>
      <x:c r="S224" s="81"/>
      <x:c r="T224" s="81"/>
      <x:c r="U224" s="81"/>
      <x:c r="V224" s="81"/>
      <x:c r="W224" s="81"/>
      <x:c r="X224" s="81"/>
      <x:c r="Y224" s="81"/>
      <x:c r="Z224" s="81"/>
    </x:row>
    <x:row r="225">
      <x:c r="A225" s="81"/>
      <x:c r="B225" s="81"/>
      <x:c r="C225" s="81"/>
      <x:c r="D225" s="81"/>
      <x:c r="E225" s="81"/>
      <x:c r="F225" s="81"/>
      <x:c r="G225" s="81"/>
      <x:c r="H225" s="81"/>
      <x:c r="I225" s="81"/>
      <x:c r="J225" s="81"/>
      <x:c r="K225" s="81"/>
      <x:c r="L225" s="81"/>
      <x:c r="M225" s="81"/>
      <x:c r="N225" s="81"/>
      <x:c r="O225" s="81"/>
      <x:c r="P225" s="81"/>
      <x:c r="Q225" s="81"/>
      <x:c r="R225" s="81"/>
      <x:c r="S225" s="81"/>
      <x:c r="T225" s="81"/>
      <x:c r="U225" s="81"/>
      <x:c r="V225" s="81"/>
      <x:c r="W225" s="81"/>
      <x:c r="X225" s="81"/>
      <x:c r="Y225" s="81"/>
      <x:c r="Z225" s="81"/>
    </x:row>
    <x:row r="226">
      <x:c r="A226" s="81"/>
      <x:c r="B226" s="81"/>
      <x:c r="C226" s="81"/>
      <x:c r="D226" s="81"/>
      <x:c r="E226" s="81"/>
      <x:c r="F226" s="81"/>
      <x:c r="G226" s="81"/>
      <x:c r="H226" s="81"/>
      <x:c r="I226" s="81"/>
      <x:c r="J226" s="81"/>
      <x:c r="K226" s="81"/>
      <x:c r="L226" s="81"/>
      <x:c r="M226" s="81"/>
      <x:c r="N226" s="81"/>
      <x:c r="O226" s="81"/>
      <x:c r="P226" s="81"/>
      <x:c r="Q226" s="81"/>
      <x:c r="R226" s="81"/>
      <x:c r="S226" s="81"/>
      <x:c r="T226" s="81"/>
      <x:c r="U226" s="81"/>
      <x:c r="V226" s="81"/>
      <x:c r="W226" s="81"/>
      <x:c r="X226" s="81"/>
      <x:c r="Y226" s="81"/>
      <x:c r="Z226" s="81"/>
    </x:row>
    <x:row r="227">
      <x:c r="A227" s="81"/>
      <x:c r="B227" s="81"/>
      <x:c r="C227" s="81"/>
      <x:c r="D227" s="81"/>
      <x:c r="E227" s="81"/>
      <x:c r="F227" s="81"/>
      <x:c r="G227" s="81"/>
      <x:c r="H227" s="81"/>
      <x:c r="I227" s="81"/>
      <x:c r="J227" s="81"/>
      <x:c r="K227" s="81"/>
      <x:c r="L227" s="81"/>
      <x:c r="M227" s="81"/>
      <x:c r="N227" s="81"/>
      <x:c r="O227" s="81"/>
      <x:c r="P227" s="81"/>
      <x:c r="Q227" s="81"/>
      <x:c r="R227" s="81"/>
      <x:c r="S227" s="81"/>
      <x:c r="T227" s="81"/>
      <x:c r="U227" s="81"/>
      <x:c r="V227" s="81"/>
      <x:c r="W227" s="81"/>
      <x:c r="X227" s="81"/>
      <x:c r="Y227" s="81"/>
      <x:c r="Z227" s="81"/>
    </x:row>
    <x:row r="228">
      <x:c r="A228" s="81"/>
      <x:c r="B228" s="81"/>
      <x:c r="C228" s="81"/>
      <x:c r="D228" s="81"/>
      <x:c r="E228" s="81"/>
      <x:c r="F228" s="81"/>
      <x:c r="G228" s="81"/>
      <x:c r="H228" s="81"/>
      <x:c r="I228" s="81"/>
      <x:c r="J228" s="81"/>
      <x:c r="K228" s="81"/>
      <x:c r="L228" s="81"/>
      <x:c r="M228" s="81"/>
      <x:c r="N228" s="81"/>
      <x:c r="O228" s="81"/>
      <x:c r="P228" s="81"/>
      <x:c r="Q228" s="81"/>
      <x:c r="R228" s="81"/>
      <x:c r="S228" s="81"/>
      <x:c r="T228" s="81"/>
      <x:c r="U228" s="81"/>
      <x:c r="V228" s="81"/>
      <x:c r="W228" s="81"/>
      <x:c r="X228" s="81"/>
      <x:c r="Y228" s="81"/>
      <x:c r="Z228" s="81"/>
    </x:row>
    <x:row r="229">
      <x:c r="A229" s="81"/>
      <x:c r="B229" s="81"/>
      <x:c r="C229" s="81"/>
      <x:c r="D229" s="81"/>
      <x:c r="E229" s="81"/>
      <x:c r="F229" s="81"/>
      <x:c r="G229" s="81"/>
      <x:c r="H229" s="81"/>
      <x:c r="I229" s="81"/>
      <x:c r="J229" s="81"/>
      <x:c r="K229" s="81"/>
      <x:c r="L229" s="81"/>
      <x:c r="M229" s="81"/>
      <x:c r="N229" s="81"/>
      <x:c r="O229" s="81"/>
      <x:c r="P229" s="81"/>
      <x:c r="Q229" s="81"/>
      <x:c r="R229" s="81"/>
      <x:c r="S229" s="81"/>
      <x:c r="T229" s="81"/>
      <x:c r="U229" s="81"/>
      <x:c r="V229" s="81"/>
      <x:c r="W229" s="81"/>
      <x:c r="X229" s="81"/>
      <x:c r="Y229" s="81"/>
      <x:c r="Z229" s="81"/>
    </x:row>
    <x:row r="230">
      <x:c r="A230" s="81"/>
      <x:c r="B230" s="81"/>
      <x:c r="C230" s="81"/>
      <x:c r="D230" s="81"/>
      <x:c r="E230" s="81"/>
      <x:c r="F230" s="81"/>
      <x:c r="G230" s="81"/>
      <x:c r="H230" s="81"/>
      <x:c r="I230" s="81"/>
      <x:c r="J230" s="81"/>
      <x:c r="K230" s="81"/>
      <x:c r="L230" s="81"/>
      <x:c r="M230" s="81"/>
      <x:c r="N230" s="81"/>
      <x:c r="O230" s="81"/>
      <x:c r="P230" s="81"/>
      <x:c r="Q230" s="81"/>
      <x:c r="R230" s="81"/>
      <x:c r="S230" s="81"/>
      <x:c r="T230" s="81"/>
      <x:c r="U230" s="81"/>
      <x:c r="V230" s="81"/>
      <x:c r="W230" s="81"/>
      <x:c r="X230" s="81"/>
      <x:c r="Y230" s="81"/>
      <x:c r="Z230" s="81"/>
    </x:row>
    <x:row r="231">
      <x:c r="A231" s="81"/>
      <x:c r="B231" s="81"/>
      <x:c r="C231" s="81"/>
      <x:c r="D231" s="81"/>
      <x:c r="E231" s="81"/>
      <x:c r="F231" s="81"/>
      <x:c r="G231" s="81"/>
      <x:c r="H231" s="81"/>
      <x:c r="I231" s="81"/>
      <x:c r="J231" s="81"/>
      <x:c r="K231" s="81"/>
      <x:c r="L231" s="81"/>
      <x:c r="M231" s="81"/>
      <x:c r="N231" s="81"/>
      <x:c r="O231" s="81"/>
      <x:c r="P231" s="81"/>
      <x:c r="Q231" s="81"/>
      <x:c r="R231" s="81"/>
      <x:c r="S231" s="81"/>
      <x:c r="T231" s="81"/>
      <x:c r="U231" s="81"/>
      <x:c r="V231" s="81"/>
      <x:c r="W231" s="81"/>
      <x:c r="X231" s="81"/>
      <x:c r="Y231" s="81"/>
      <x:c r="Z231" s="81"/>
    </x:row>
    <x:row r="232">
      <x:c r="A232" s="81"/>
      <x:c r="B232" s="81"/>
      <x:c r="C232" s="81"/>
      <x:c r="D232" s="81"/>
      <x:c r="E232" s="81"/>
      <x:c r="F232" s="81"/>
      <x:c r="G232" s="81"/>
      <x:c r="H232" s="81"/>
      <x:c r="I232" s="81"/>
      <x:c r="J232" s="81"/>
      <x:c r="K232" s="81"/>
      <x:c r="L232" s="81"/>
      <x:c r="M232" s="81"/>
      <x:c r="N232" s="81"/>
      <x:c r="O232" s="81"/>
      <x:c r="P232" s="81"/>
      <x:c r="Q232" s="81"/>
      <x:c r="R232" s="81"/>
      <x:c r="S232" s="81"/>
      <x:c r="T232" s="81"/>
      <x:c r="U232" s="81"/>
      <x:c r="V232" s="81"/>
      <x:c r="W232" s="81"/>
      <x:c r="X232" s="81"/>
      <x:c r="Y232" s="81"/>
      <x:c r="Z232" s="81"/>
    </x:row>
    <x:row r="233">
      <x:c r="A233" s="81"/>
      <x:c r="B233" s="81"/>
      <x:c r="C233" s="81"/>
      <x:c r="D233" s="81"/>
      <x:c r="E233" s="81"/>
      <x:c r="F233" s="81"/>
      <x:c r="G233" s="81"/>
      <x:c r="H233" s="81"/>
      <x:c r="I233" s="81"/>
      <x:c r="J233" s="81"/>
      <x:c r="K233" s="81"/>
      <x:c r="L233" s="81"/>
      <x:c r="M233" s="81"/>
      <x:c r="N233" s="81"/>
      <x:c r="O233" s="81"/>
      <x:c r="P233" s="81"/>
      <x:c r="Q233" s="81"/>
      <x:c r="R233" s="81"/>
      <x:c r="S233" s="81"/>
      <x:c r="T233" s="81"/>
      <x:c r="U233" s="81"/>
      <x:c r="V233" s="81"/>
      <x:c r="W233" s="81"/>
      <x:c r="X233" s="81"/>
      <x:c r="Y233" s="81"/>
      <x:c r="Z233" s="81"/>
    </x:row>
    <x:row r="234">
      <x:c r="A234" s="81"/>
      <x:c r="B234" s="81"/>
      <x:c r="C234" s="81"/>
      <x:c r="D234" s="81"/>
      <x:c r="E234" s="81"/>
      <x:c r="F234" s="81"/>
      <x:c r="G234" s="81"/>
      <x:c r="H234" s="81"/>
      <x:c r="I234" s="81"/>
      <x:c r="J234" s="81"/>
      <x:c r="K234" s="81"/>
      <x:c r="L234" s="81"/>
      <x:c r="M234" s="81"/>
      <x:c r="N234" s="81"/>
      <x:c r="O234" s="81"/>
      <x:c r="P234" s="81"/>
      <x:c r="Q234" s="81"/>
      <x:c r="R234" s="81"/>
      <x:c r="S234" s="81"/>
      <x:c r="T234" s="81"/>
      <x:c r="U234" s="81"/>
      <x:c r="V234" s="81"/>
      <x:c r="W234" s="81"/>
      <x:c r="X234" s="81"/>
      <x:c r="Y234" s="81"/>
      <x:c r="Z234" s="81"/>
    </x:row>
    <x:row r="235">
      <x:c r="A235" s="81"/>
      <x:c r="B235" s="81"/>
      <x:c r="C235" s="81"/>
      <x:c r="D235" s="81"/>
      <x:c r="E235" s="81"/>
      <x:c r="F235" s="81"/>
      <x:c r="G235" s="81"/>
      <x:c r="H235" s="81"/>
      <x:c r="I235" s="81"/>
      <x:c r="J235" s="81"/>
      <x:c r="K235" s="81"/>
      <x:c r="L235" s="81"/>
      <x:c r="M235" s="81"/>
      <x:c r="N235" s="81"/>
      <x:c r="O235" s="81"/>
      <x:c r="P235" s="81"/>
      <x:c r="Q235" s="81"/>
      <x:c r="R235" s="81"/>
      <x:c r="S235" s="81"/>
      <x:c r="T235" s="81"/>
      <x:c r="U235" s="81"/>
      <x:c r="V235" s="81"/>
      <x:c r="W235" s="81"/>
      <x:c r="X235" s="81"/>
      <x:c r="Y235" s="81"/>
      <x:c r="Z235" s="81"/>
    </x:row>
    <x:row r="236">
      <x:c r="A236" s="81"/>
      <x:c r="B236" s="81"/>
      <x:c r="C236" s="81"/>
      <x:c r="D236" s="81"/>
      <x:c r="E236" s="81"/>
      <x:c r="F236" s="81"/>
      <x:c r="G236" s="81"/>
      <x:c r="H236" s="81"/>
      <x:c r="I236" s="81"/>
      <x:c r="J236" s="81"/>
      <x:c r="K236" s="81"/>
      <x:c r="L236" s="81"/>
      <x:c r="M236" s="81"/>
      <x:c r="N236" s="81"/>
      <x:c r="O236" s="81"/>
      <x:c r="P236" s="81"/>
      <x:c r="Q236" s="81"/>
      <x:c r="R236" s="81"/>
      <x:c r="S236" s="81"/>
      <x:c r="T236" s="81"/>
      <x:c r="U236" s="81"/>
      <x:c r="V236" s="81"/>
      <x:c r="W236" s="81"/>
      <x:c r="X236" s="81"/>
      <x:c r="Y236" s="81"/>
      <x:c r="Z236" s="81"/>
    </x:row>
    <x:row r="237">
      <x:c r="A237" s="81"/>
      <x:c r="B237" s="81"/>
      <x:c r="C237" s="81"/>
      <x:c r="D237" s="81"/>
      <x:c r="E237" s="81"/>
      <x:c r="F237" s="81"/>
      <x:c r="G237" s="81"/>
      <x:c r="H237" s="81"/>
      <x:c r="I237" s="81"/>
      <x:c r="J237" s="81"/>
      <x:c r="K237" s="81"/>
      <x:c r="L237" s="81"/>
      <x:c r="M237" s="81"/>
      <x:c r="N237" s="81"/>
      <x:c r="O237" s="81"/>
      <x:c r="P237" s="81"/>
      <x:c r="Q237" s="81"/>
      <x:c r="R237" s="81"/>
      <x:c r="S237" s="81"/>
      <x:c r="T237" s="81"/>
      <x:c r="U237" s="81"/>
      <x:c r="V237" s="81"/>
      <x:c r="W237" s="81"/>
      <x:c r="X237" s="81"/>
      <x:c r="Y237" s="81"/>
      <x:c r="Z237" s="81"/>
    </x:row>
    <x:row r="238">
      <x:c r="A238" s="81"/>
      <x:c r="B238" s="81"/>
      <x:c r="C238" s="81"/>
      <x:c r="D238" s="81"/>
      <x:c r="E238" s="81"/>
      <x:c r="F238" s="81"/>
      <x:c r="G238" s="81"/>
      <x:c r="H238" s="81"/>
      <x:c r="I238" s="81"/>
      <x:c r="J238" s="81"/>
      <x:c r="K238" s="81"/>
      <x:c r="L238" s="81"/>
      <x:c r="M238" s="81"/>
      <x:c r="N238" s="81"/>
      <x:c r="O238" s="81"/>
      <x:c r="P238" s="81"/>
      <x:c r="Q238" s="81"/>
      <x:c r="R238" s="81"/>
      <x:c r="S238" s="81"/>
      <x:c r="T238" s="81"/>
      <x:c r="U238" s="81"/>
      <x:c r="V238" s="81"/>
      <x:c r="W238" s="81"/>
      <x:c r="X238" s="81"/>
      <x:c r="Y238" s="81"/>
      <x:c r="Z238" s="81"/>
    </x:row>
    <x:row r="239">
      <x:c r="A239" s="81"/>
      <x:c r="B239" s="81"/>
      <x:c r="C239" s="81"/>
      <x:c r="D239" s="81"/>
      <x:c r="E239" s="81"/>
      <x:c r="F239" s="81"/>
      <x:c r="G239" s="81"/>
      <x:c r="H239" s="81"/>
      <x:c r="I239" s="81"/>
      <x:c r="J239" s="81"/>
      <x:c r="K239" s="81"/>
      <x:c r="L239" s="81"/>
      <x:c r="M239" s="81"/>
      <x:c r="N239" s="81"/>
      <x:c r="O239" s="81"/>
      <x:c r="P239" s="81"/>
      <x:c r="Q239" s="81"/>
      <x:c r="R239" s="81"/>
      <x:c r="S239" s="81"/>
      <x:c r="T239" s="81"/>
      <x:c r="U239" s="81"/>
      <x:c r="V239" s="81"/>
      <x:c r="W239" s="81"/>
      <x:c r="X239" s="81"/>
      <x:c r="Y239" s="81"/>
      <x:c r="Z239" s="81"/>
    </x:row>
    <x:row r="240">
      <x:c r="A240" s="81"/>
      <x:c r="B240" s="81"/>
      <x:c r="C240" s="81"/>
      <x:c r="D240" s="81"/>
      <x:c r="E240" s="81"/>
      <x:c r="F240" s="81"/>
      <x:c r="G240" s="81"/>
      <x:c r="H240" s="81"/>
      <x:c r="I240" s="81"/>
      <x:c r="J240" s="81"/>
      <x:c r="K240" s="81"/>
      <x:c r="L240" s="81"/>
      <x:c r="M240" s="81"/>
      <x:c r="N240" s="81"/>
      <x:c r="O240" s="81"/>
      <x:c r="P240" s="81"/>
      <x:c r="Q240" s="81"/>
      <x:c r="R240" s="81"/>
      <x:c r="S240" s="81"/>
      <x:c r="T240" s="81"/>
      <x:c r="U240" s="81"/>
      <x:c r="V240" s="81"/>
      <x:c r="W240" s="81"/>
      <x:c r="X240" s="81"/>
      <x:c r="Y240" s="81"/>
      <x:c r="Z240" s="81"/>
    </x:row>
    <x:row r="241">
      <x:c r="A241" s="81"/>
      <x:c r="B241" s="81"/>
      <x:c r="C241" s="81"/>
      <x:c r="D241" s="81"/>
      <x:c r="E241" s="81"/>
      <x:c r="F241" s="81"/>
      <x:c r="G241" s="81"/>
      <x:c r="H241" s="81"/>
      <x:c r="I241" s="81"/>
      <x:c r="J241" s="81"/>
      <x:c r="K241" s="81"/>
      <x:c r="L241" s="81"/>
      <x:c r="M241" s="81"/>
      <x:c r="N241" s="81"/>
      <x:c r="O241" s="81"/>
      <x:c r="P241" s="81"/>
      <x:c r="Q241" s="81"/>
      <x:c r="R241" s="81"/>
      <x:c r="S241" s="81"/>
      <x:c r="T241" s="81"/>
      <x:c r="U241" s="81"/>
      <x:c r="V241" s="81"/>
      <x:c r="W241" s="81"/>
      <x:c r="X241" s="81"/>
      <x:c r="Y241" s="81"/>
      <x:c r="Z241" s="81"/>
    </x:row>
    <x:row r="242">
      <x:c r="A242" s="81"/>
      <x:c r="B242" s="81"/>
      <x:c r="C242" s="81"/>
      <x:c r="D242" s="81"/>
      <x:c r="E242" s="81"/>
      <x:c r="F242" s="81"/>
      <x:c r="G242" s="81"/>
      <x:c r="H242" s="81"/>
      <x:c r="I242" s="81"/>
      <x:c r="J242" s="81"/>
      <x:c r="K242" s="81"/>
      <x:c r="L242" s="81"/>
      <x:c r="M242" s="81"/>
      <x:c r="N242" s="81"/>
      <x:c r="O242" s="81"/>
      <x:c r="P242" s="81"/>
      <x:c r="Q242" s="81"/>
      <x:c r="R242" s="81"/>
      <x:c r="S242" s="81"/>
      <x:c r="T242" s="81"/>
      <x:c r="U242" s="81"/>
      <x:c r="V242" s="81"/>
      <x:c r="W242" s="81"/>
      <x:c r="X242" s="81"/>
      <x:c r="Y242" s="81"/>
      <x:c r="Z242" s="81"/>
    </x:row>
    <x:row r="243">
      <x:c r="A243" s="81"/>
      <x:c r="B243" s="81"/>
      <x:c r="C243" s="81"/>
      <x:c r="D243" s="81"/>
      <x:c r="E243" s="81"/>
      <x:c r="F243" s="81"/>
      <x:c r="G243" s="81"/>
      <x:c r="H243" s="81"/>
      <x:c r="I243" s="81"/>
      <x:c r="J243" s="81"/>
      <x:c r="K243" s="81"/>
      <x:c r="L243" s="81"/>
      <x:c r="M243" s="81"/>
      <x:c r="N243" s="81"/>
      <x:c r="O243" s="81"/>
      <x:c r="P243" s="81"/>
      <x:c r="Q243" s="81"/>
      <x:c r="R243" s="81"/>
      <x:c r="S243" s="81"/>
      <x:c r="T243" s="81"/>
      <x:c r="U243" s="81"/>
      <x:c r="V243" s="81"/>
      <x:c r="W243" s="81"/>
      <x:c r="X243" s="81"/>
      <x:c r="Y243" s="81"/>
      <x:c r="Z243" s="81"/>
    </x:row>
    <x:row r="244">
      <x:c r="A244" s="81"/>
      <x:c r="B244" s="81"/>
      <x:c r="C244" s="81"/>
      <x:c r="D244" s="81"/>
      <x:c r="E244" s="81"/>
      <x:c r="F244" s="81"/>
      <x:c r="G244" s="81"/>
      <x:c r="H244" s="81"/>
      <x:c r="I244" s="81"/>
      <x:c r="J244" s="81"/>
      <x:c r="K244" s="81"/>
      <x:c r="L244" s="81"/>
      <x:c r="M244" s="81"/>
      <x:c r="N244" s="81"/>
      <x:c r="O244" s="81"/>
      <x:c r="P244" s="81"/>
      <x:c r="Q244" s="81"/>
      <x:c r="R244" s="81"/>
      <x:c r="S244" s="81"/>
      <x:c r="T244" s="81"/>
      <x:c r="U244" s="81"/>
      <x:c r="V244" s="81"/>
      <x:c r="W244" s="81"/>
      <x:c r="X244" s="81"/>
      <x:c r="Y244" s="81"/>
      <x:c r="Z244" s="81"/>
    </x:row>
    <x:row r="245">
      <x:c r="A245" s="81"/>
      <x:c r="B245" s="81"/>
      <x:c r="C245" s="81"/>
      <x:c r="D245" s="81"/>
      <x:c r="E245" s="81"/>
      <x:c r="F245" s="81"/>
      <x:c r="G245" s="81"/>
      <x:c r="H245" s="81"/>
      <x:c r="I245" s="81"/>
      <x:c r="J245" s="81"/>
      <x:c r="K245" s="81"/>
      <x:c r="L245" s="81"/>
      <x:c r="M245" s="81"/>
      <x:c r="N245" s="81"/>
      <x:c r="O245" s="81"/>
      <x:c r="P245" s="81"/>
      <x:c r="Q245" s="81"/>
      <x:c r="R245" s="81"/>
      <x:c r="S245" s="81"/>
      <x:c r="T245" s="81"/>
      <x:c r="U245" s="81"/>
      <x:c r="V245" s="81"/>
      <x:c r="W245" s="81"/>
      <x:c r="X245" s="81"/>
      <x:c r="Y245" s="81"/>
      <x:c r="Z245" s="81"/>
    </x:row>
    <x:row r="246">
      <x:c r="A246" s="81"/>
      <x:c r="B246" s="81"/>
      <x:c r="C246" s="81"/>
      <x:c r="D246" s="81"/>
      <x:c r="E246" s="81"/>
      <x:c r="F246" s="81"/>
      <x:c r="G246" s="81"/>
      <x:c r="H246" s="81"/>
      <x:c r="I246" s="81"/>
      <x:c r="J246" s="81"/>
      <x:c r="K246" s="81"/>
      <x:c r="L246" s="81"/>
      <x:c r="M246" s="81"/>
      <x:c r="N246" s="81"/>
      <x:c r="O246" s="81"/>
      <x:c r="P246" s="81"/>
      <x:c r="Q246" s="81"/>
      <x:c r="R246" s="81"/>
      <x:c r="S246" s="81"/>
      <x:c r="T246" s="81"/>
      <x:c r="U246" s="81"/>
      <x:c r="V246" s="81"/>
      <x:c r="W246" s="81"/>
      <x:c r="X246" s="81"/>
      <x:c r="Y246" s="81"/>
      <x:c r="Z246" s="81"/>
    </x:row>
    <x:row r="247">
      <x:c r="A247" s="81"/>
      <x:c r="B247" s="81"/>
      <x:c r="C247" s="81"/>
      <x:c r="D247" s="81"/>
      <x:c r="E247" s="81"/>
      <x:c r="F247" s="81"/>
      <x:c r="G247" s="81"/>
      <x:c r="H247" s="81"/>
      <x:c r="I247" s="81"/>
      <x:c r="J247" s="81"/>
      <x:c r="K247" s="81"/>
      <x:c r="L247" s="81"/>
      <x:c r="M247" s="81"/>
      <x:c r="N247" s="81"/>
      <x:c r="O247" s="81"/>
      <x:c r="P247" s="81"/>
      <x:c r="Q247" s="81"/>
      <x:c r="R247" s="81"/>
      <x:c r="S247" s="81"/>
      <x:c r="T247" s="81"/>
      <x:c r="U247" s="81"/>
      <x:c r="V247" s="81"/>
      <x:c r="W247" s="81"/>
      <x:c r="X247" s="81"/>
      <x:c r="Y247" s="81"/>
      <x:c r="Z247" s="81"/>
    </x:row>
    <x:row r="248">
      <x:c r="A248" s="81"/>
      <x:c r="B248" s="81"/>
      <x:c r="C248" s="81"/>
      <x:c r="D248" s="81"/>
      <x:c r="E248" s="81"/>
      <x:c r="F248" s="81"/>
      <x:c r="G248" s="81"/>
      <x:c r="H248" s="81"/>
      <x:c r="I248" s="81"/>
      <x:c r="J248" s="81"/>
      <x:c r="K248" s="81"/>
      <x:c r="L248" s="81"/>
      <x:c r="M248" s="81"/>
      <x:c r="N248" s="81"/>
      <x:c r="O248" s="81"/>
      <x:c r="P248" s="81"/>
      <x:c r="Q248" s="81"/>
      <x:c r="R248" s="81"/>
      <x:c r="S248" s="81"/>
      <x:c r="T248" s="81"/>
      <x:c r="U248" s="81"/>
      <x:c r="V248" s="81"/>
      <x:c r="W248" s="81"/>
      <x:c r="X248" s="81"/>
      <x:c r="Y248" s="81"/>
      <x:c r="Z248" s="81"/>
    </x:row>
    <x:row r="249">
      <x:c r="A249" s="81"/>
      <x:c r="B249" s="81"/>
      <x:c r="C249" s="81"/>
      <x:c r="D249" s="81"/>
      <x:c r="E249" s="81"/>
      <x:c r="F249" s="81"/>
      <x:c r="G249" s="81"/>
      <x:c r="H249" s="81"/>
      <x:c r="I249" s="81"/>
      <x:c r="J249" s="81"/>
      <x:c r="K249" s="81"/>
      <x:c r="L249" s="81"/>
      <x:c r="M249" s="81"/>
      <x:c r="N249" s="81"/>
      <x:c r="O249" s="81"/>
      <x:c r="P249" s="81"/>
      <x:c r="Q249" s="81"/>
      <x:c r="R249" s="81"/>
      <x:c r="S249" s="81"/>
      <x:c r="T249" s="81"/>
      <x:c r="U249" s="81"/>
      <x:c r="V249" s="81"/>
      <x:c r="W249" s="81"/>
      <x:c r="X249" s="81"/>
      <x:c r="Y249" s="81"/>
      <x:c r="Z249" s="81"/>
    </x:row>
    <x:row r="250">
      <x:c r="A250" s="81"/>
      <x:c r="B250" s="81"/>
      <x:c r="C250" s="81"/>
      <x:c r="D250" s="81"/>
      <x:c r="E250" s="81"/>
      <x:c r="F250" s="81"/>
      <x:c r="G250" s="81"/>
      <x:c r="H250" s="81"/>
      <x:c r="I250" s="81"/>
      <x:c r="J250" s="81"/>
      <x:c r="K250" s="81"/>
      <x:c r="L250" s="81"/>
      <x:c r="M250" s="81"/>
      <x:c r="N250" s="81"/>
      <x:c r="O250" s="81"/>
      <x:c r="P250" s="81"/>
      <x:c r="Q250" s="81"/>
      <x:c r="R250" s="81"/>
      <x:c r="S250" s="81"/>
      <x:c r="T250" s="81"/>
      <x:c r="U250" s="81"/>
      <x:c r="V250" s="81"/>
      <x:c r="W250" s="81"/>
      <x:c r="X250" s="81"/>
      <x:c r="Y250" s="81"/>
      <x:c r="Z250" s="81"/>
    </x:row>
    <x:row r="251">
      <x:c r="A251" s="81"/>
      <x:c r="B251" s="81"/>
      <x:c r="C251" s="81"/>
      <x:c r="D251" s="81"/>
      <x:c r="E251" s="81"/>
      <x:c r="F251" s="81"/>
      <x:c r="G251" s="81"/>
      <x:c r="H251" s="81"/>
      <x:c r="I251" s="81"/>
      <x:c r="J251" s="81"/>
      <x:c r="K251" s="81"/>
      <x:c r="L251" s="81"/>
      <x:c r="M251" s="81"/>
      <x:c r="N251" s="81"/>
      <x:c r="O251" s="81"/>
      <x:c r="P251" s="81"/>
      <x:c r="Q251" s="81"/>
      <x:c r="R251" s="81"/>
      <x:c r="S251" s="81"/>
      <x:c r="T251" s="81"/>
      <x:c r="U251" s="81"/>
      <x:c r="V251" s="81"/>
      <x:c r="W251" s="81"/>
      <x:c r="X251" s="81"/>
      <x:c r="Y251" s="81"/>
      <x:c r="Z251" s="81"/>
    </x:row>
    <x:row r="252">
      <x:c r="A252" s="81"/>
      <x:c r="B252" s="81"/>
      <x:c r="C252" s="81"/>
      <x:c r="D252" s="81"/>
      <x:c r="E252" s="81"/>
      <x:c r="F252" s="81"/>
      <x:c r="G252" s="81"/>
      <x:c r="H252" s="81"/>
      <x:c r="I252" s="81"/>
      <x:c r="J252" s="81"/>
      <x:c r="K252" s="81"/>
      <x:c r="L252" s="81"/>
      <x:c r="M252" s="81"/>
      <x:c r="N252" s="81"/>
      <x:c r="O252" s="81"/>
      <x:c r="P252" s="81"/>
      <x:c r="Q252" s="81"/>
      <x:c r="R252" s="81"/>
      <x:c r="S252" s="81"/>
      <x:c r="T252" s="81"/>
      <x:c r="U252" s="81"/>
      <x:c r="V252" s="81"/>
      <x:c r="W252" s="81"/>
      <x:c r="X252" s="81"/>
      <x:c r="Y252" s="81"/>
      <x:c r="Z252" s="81"/>
    </x:row>
    <x:row r="253">
      <x:c r="A253" s="81"/>
      <x:c r="B253" s="81"/>
      <x:c r="C253" s="81"/>
      <x:c r="D253" s="81"/>
      <x:c r="E253" s="81"/>
      <x:c r="F253" s="81"/>
      <x:c r="G253" s="81"/>
      <x:c r="H253" s="81"/>
      <x:c r="I253" s="81"/>
      <x:c r="J253" s="81"/>
      <x:c r="K253" s="81"/>
      <x:c r="L253" s="81"/>
      <x:c r="M253" s="81"/>
      <x:c r="N253" s="81"/>
      <x:c r="O253" s="81"/>
      <x:c r="P253" s="81"/>
      <x:c r="Q253" s="81"/>
      <x:c r="R253" s="81"/>
      <x:c r="S253" s="81"/>
      <x:c r="T253" s="81"/>
      <x:c r="U253" s="81"/>
      <x:c r="V253" s="81"/>
      <x:c r="W253" s="81"/>
      <x:c r="X253" s="81"/>
      <x:c r="Y253" s="81"/>
      <x:c r="Z253" s="81"/>
    </x:row>
    <x:row r="254">
      <x:c r="A254" s="81"/>
      <x:c r="B254" s="81"/>
      <x:c r="C254" s="81"/>
      <x:c r="D254" s="81"/>
      <x:c r="E254" s="81"/>
      <x:c r="F254" s="81"/>
      <x:c r="G254" s="81"/>
      <x:c r="H254" s="81"/>
      <x:c r="I254" s="81"/>
      <x:c r="J254" s="81"/>
      <x:c r="K254" s="81"/>
      <x:c r="L254" s="81"/>
      <x:c r="M254" s="81"/>
      <x:c r="N254" s="81"/>
      <x:c r="O254" s="81"/>
      <x:c r="P254" s="81"/>
      <x:c r="Q254" s="81"/>
      <x:c r="R254" s="81"/>
      <x:c r="S254" s="81"/>
      <x:c r="T254" s="81"/>
      <x:c r="U254" s="81"/>
      <x:c r="V254" s="81"/>
      <x:c r="W254" s="81"/>
      <x:c r="X254" s="81"/>
      <x:c r="Y254" s="81"/>
      <x:c r="Z254" s="81"/>
    </x:row>
    <x:row r="255">
      <x:c r="A255" s="81"/>
      <x:c r="B255" s="81"/>
      <x:c r="C255" s="81"/>
      <x:c r="D255" s="81"/>
      <x:c r="E255" s="81"/>
      <x:c r="F255" s="81"/>
      <x:c r="G255" s="81"/>
      <x:c r="H255" s="81"/>
      <x:c r="I255" s="81"/>
      <x:c r="J255" s="81"/>
      <x:c r="K255" s="81"/>
      <x:c r="L255" s="81"/>
      <x:c r="M255" s="81"/>
      <x:c r="N255" s="81"/>
      <x:c r="O255" s="81"/>
      <x:c r="P255" s="81"/>
      <x:c r="Q255" s="81"/>
      <x:c r="R255" s="81"/>
      <x:c r="S255" s="81"/>
      <x:c r="T255" s="81"/>
      <x:c r="U255" s="81"/>
      <x:c r="V255" s="81"/>
      <x:c r="W255" s="81"/>
      <x:c r="X255" s="81"/>
      <x:c r="Y255" s="81"/>
      <x:c r="Z255" s="81"/>
    </x:row>
    <x:row r="256">
      <x:c r="A256" s="81"/>
      <x:c r="B256" s="81"/>
      <x:c r="C256" s="81"/>
      <x:c r="D256" s="81"/>
      <x:c r="E256" s="81"/>
      <x:c r="F256" s="81"/>
      <x:c r="G256" s="81"/>
      <x:c r="H256" s="81"/>
      <x:c r="I256" s="81"/>
      <x:c r="J256" s="81"/>
      <x:c r="K256" s="81"/>
      <x:c r="L256" s="81"/>
      <x:c r="M256" s="81"/>
      <x:c r="N256" s="81"/>
      <x:c r="O256" s="81"/>
      <x:c r="P256" s="81"/>
      <x:c r="Q256" s="81"/>
      <x:c r="R256" s="81"/>
      <x:c r="S256" s="81"/>
      <x:c r="T256" s="81"/>
      <x:c r="U256" s="81"/>
      <x:c r="V256" s="81"/>
      <x:c r="W256" s="81"/>
      <x:c r="X256" s="81"/>
      <x:c r="Y256" s="81"/>
      <x:c r="Z256" s="81"/>
    </x:row>
    <x:row r="257">
      <x:c r="A257" s="81"/>
      <x:c r="B257" s="81"/>
      <x:c r="C257" s="81"/>
      <x:c r="D257" s="81"/>
      <x:c r="E257" s="81"/>
      <x:c r="F257" s="81"/>
      <x:c r="G257" s="81"/>
      <x:c r="H257" s="81"/>
      <x:c r="I257" s="81"/>
      <x:c r="J257" s="81"/>
      <x:c r="K257" s="81"/>
      <x:c r="L257" s="81"/>
      <x:c r="M257" s="81"/>
      <x:c r="N257" s="81"/>
      <x:c r="O257" s="81"/>
      <x:c r="P257" s="81"/>
      <x:c r="Q257" s="81"/>
      <x:c r="R257" s="81"/>
      <x:c r="S257" s="81"/>
      <x:c r="T257" s="81"/>
      <x:c r="U257" s="81"/>
      <x:c r="V257" s="81"/>
      <x:c r="W257" s="81"/>
      <x:c r="X257" s="81"/>
      <x:c r="Y257" s="81"/>
      <x:c r="Z257" s="81"/>
    </x:row>
    <x:row r="258">
      <x:c r="A258" s="81"/>
      <x:c r="B258" s="81"/>
      <x:c r="C258" s="81"/>
      <x:c r="D258" s="81"/>
      <x:c r="E258" s="81"/>
      <x:c r="F258" s="81"/>
      <x:c r="G258" s="81"/>
      <x:c r="H258" s="81"/>
      <x:c r="I258" s="81"/>
      <x:c r="J258" s="81"/>
      <x:c r="K258" s="81"/>
      <x:c r="L258" s="81"/>
      <x:c r="M258" s="81"/>
      <x:c r="N258" s="81"/>
      <x:c r="O258" s="81"/>
      <x:c r="P258" s="81"/>
      <x:c r="Q258" s="81"/>
      <x:c r="R258" s="81"/>
      <x:c r="S258" s="81"/>
      <x:c r="T258" s="81"/>
      <x:c r="U258" s="81"/>
      <x:c r="V258" s="81"/>
      <x:c r="W258" s="81"/>
      <x:c r="X258" s="81"/>
      <x:c r="Y258" s="81"/>
      <x:c r="Z258" s="81"/>
    </x:row>
    <x:row r="259">
      <x:c r="A259" s="81"/>
      <x:c r="B259" s="81"/>
      <x:c r="C259" s="81"/>
      <x:c r="D259" s="81"/>
      <x:c r="E259" s="81"/>
      <x:c r="F259" s="81"/>
      <x:c r="G259" s="81"/>
      <x:c r="H259" s="81"/>
      <x:c r="I259" s="81"/>
      <x:c r="J259" s="81"/>
      <x:c r="K259" s="81"/>
      <x:c r="L259" s="81"/>
      <x:c r="M259" s="81"/>
      <x:c r="N259" s="81"/>
      <x:c r="O259" s="81"/>
      <x:c r="P259" s="81"/>
      <x:c r="Q259" s="81"/>
      <x:c r="R259" s="81"/>
      <x:c r="S259" s="81"/>
      <x:c r="T259" s="81"/>
      <x:c r="U259" s="81"/>
      <x:c r="V259" s="81"/>
      <x:c r="W259" s="81"/>
      <x:c r="X259" s="81"/>
      <x:c r="Y259" s="81"/>
      <x:c r="Z259" s="81"/>
    </x:row>
    <x:row r="260">
      <x:c r="A260" s="81"/>
      <x:c r="B260" s="81"/>
      <x:c r="C260" s="81"/>
      <x:c r="D260" s="81"/>
      <x:c r="E260" s="81"/>
      <x:c r="F260" s="81"/>
      <x:c r="G260" s="81"/>
      <x:c r="H260" s="81"/>
      <x:c r="I260" s="81"/>
      <x:c r="J260" s="81"/>
      <x:c r="K260" s="81"/>
      <x:c r="L260" s="81"/>
      <x:c r="M260" s="81"/>
      <x:c r="N260" s="81"/>
      <x:c r="O260" s="81"/>
      <x:c r="P260" s="81"/>
      <x:c r="Q260" s="81"/>
      <x:c r="R260" s="81"/>
      <x:c r="S260" s="81"/>
      <x:c r="T260" s="81"/>
      <x:c r="U260" s="81"/>
      <x:c r="V260" s="81"/>
      <x:c r="W260" s="81"/>
      <x:c r="X260" s="81"/>
      <x:c r="Y260" s="81"/>
      <x:c r="Z260" s="81"/>
    </x:row>
    <x:row r="261">
      <x:c r="A261" s="81"/>
      <x:c r="B261" s="81"/>
      <x:c r="C261" s="81"/>
      <x:c r="D261" s="81"/>
      <x:c r="E261" s="81"/>
      <x:c r="F261" s="81"/>
      <x:c r="G261" s="81"/>
      <x:c r="H261" s="81"/>
      <x:c r="I261" s="81"/>
      <x:c r="J261" s="81"/>
      <x:c r="K261" s="81"/>
      <x:c r="L261" s="81"/>
      <x:c r="M261" s="81"/>
      <x:c r="N261" s="81"/>
      <x:c r="O261" s="81"/>
      <x:c r="P261" s="81"/>
      <x:c r="Q261" s="81"/>
      <x:c r="R261" s="81"/>
      <x:c r="S261" s="81"/>
      <x:c r="T261" s="81"/>
      <x:c r="U261" s="81"/>
      <x:c r="V261" s="81"/>
      <x:c r="W261" s="81"/>
      <x:c r="X261" s="81"/>
      <x:c r="Y261" s="81"/>
      <x:c r="Z261" s="81"/>
    </x:row>
    <x:row r="262">
      <x:c r="A262" s="81"/>
      <x:c r="B262" s="81"/>
      <x:c r="C262" s="81"/>
      <x:c r="D262" s="81"/>
      <x:c r="E262" s="81"/>
      <x:c r="F262" s="81"/>
      <x:c r="G262" s="81"/>
      <x:c r="H262" s="81"/>
      <x:c r="I262" s="81"/>
      <x:c r="J262" s="81"/>
      <x:c r="K262" s="81"/>
      <x:c r="L262" s="81"/>
      <x:c r="M262" s="81"/>
      <x:c r="N262" s="81"/>
      <x:c r="O262" s="81"/>
      <x:c r="P262" s="81"/>
      <x:c r="Q262" s="81"/>
      <x:c r="R262" s="81"/>
      <x:c r="S262" s="81"/>
      <x:c r="T262" s="81"/>
      <x:c r="U262" s="81"/>
      <x:c r="V262" s="81"/>
      <x:c r="W262" s="81"/>
      <x:c r="X262" s="81"/>
      <x:c r="Y262" s="81"/>
      <x:c r="Z262" s="81"/>
    </x:row>
    <x:row r="263">
      <x:c r="A263" s="81"/>
      <x:c r="B263" s="81"/>
      <x:c r="C263" s="81"/>
      <x:c r="D263" s="81"/>
      <x:c r="E263" s="81"/>
      <x:c r="F263" s="81"/>
      <x:c r="G263" s="81"/>
      <x:c r="H263" s="81"/>
      <x:c r="I263" s="81"/>
      <x:c r="J263" s="81"/>
      <x:c r="K263" s="81"/>
      <x:c r="L263" s="81"/>
      <x:c r="M263" s="81"/>
      <x:c r="N263" s="81"/>
      <x:c r="O263" s="81"/>
      <x:c r="P263" s="81"/>
      <x:c r="Q263" s="81"/>
      <x:c r="R263" s="81"/>
      <x:c r="S263" s="81"/>
      <x:c r="T263" s="81"/>
      <x:c r="U263" s="81"/>
      <x:c r="V263" s="81"/>
      <x:c r="W263" s="81"/>
      <x:c r="X263" s="81"/>
      <x:c r="Y263" s="81"/>
      <x:c r="Z263" s="81"/>
    </x:row>
    <x:row r="264">
      <x:c r="A264" s="81"/>
      <x:c r="B264" s="81"/>
      <x:c r="C264" s="81"/>
      <x:c r="D264" s="81"/>
      <x:c r="E264" s="81"/>
      <x:c r="F264" s="81"/>
      <x:c r="G264" s="81"/>
      <x:c r="H264" s="81"/>
      <x:c r="I264" s="81"/>
      <x:c r="J264" s="81"/>
      <x:c r="K264" s="81"/>
      <x:c r="L264" s="81"/>
      <x:c r="M264" s="81"/>
      <x:c r="N264" s="81"/>
      <x:c r="O264" s="81"/>
      <x:c r="P264" s="81"/>
      <x:c r="Q264" s="81"/>
      <x:c r="R264" s="81"/>
      <x:c r="S264" s="81"/>
      <x:c r="T264" s="81"/>
      <x:c r="U264" s="81"/>
      <x:c r="V264" s="81"/>
      <x:c r="W264" s="81"/>
      <x:c r="X264" s="81"/>
      <x:c r="Y264" s="81"/>
      <x:c r="Z264" s="81"/>
    </x:row>
    <x:row r="265">
      <x:c r="A265" s="81"/>
      <x:c r="B265" s="81"/>
      <x:c r="C265" s="81"/>
      <x:c r="D265" s="81"/>
      <x:c r="E265" s="81"/>
      <x:c r="F265" s="81"/>
      <x:c r="G265" s="81"/>
      <x:c r="H265" s="81"/>
      <x:c r="I265" s="81"/>
      <x:c r="J265" s="81"/>
      <x:c r="K265" s="81"/>
      <x:c r="L265" s="81"/>
      <x:c r="M265" s="81"/>
      <x:c r="N265" s="81"/>
      <x:c r="O265" s="81"/>
      <x:c r="P265" s="81"/>
      <x:c r="Q265" s="81"/>
      <x:c r="R265" s="81"/>
      <x:c r="S265" s="81"/>
      <x:c r="T265" s="81"/>
      <x:c r="U265" s="81"/>
      <x:c r="V265" s="81"/>
      <x:c r="W265" s="81"/>
      <x:c r="X265" s="81"/>
      <x:c r="Y265" s="81"/>
      <x:c r="Z265" s="81"/>
    </x:row>
    <x:row r="266">
      <x:c r="A266" s="81"/>
      <x:c r="B266" s="81"/>
      <x:c r="C266" s="81"/>
      <x:c r="D266" s="81"/>
      <x:c r="E266" s="81"/>
      <x:c r="F266" s="81"/>
      <x:c r="G266" s="81"/>
      <x:c r="H266" s="81"/>
      <x:c r="I266" s="81"/>
      <x:c r="J266" s="81"/>
      <x:c r="K266" s="81"/>
      <x:c r="L266" s="81"/>
      <x:c r="M266" s="81"/>
      <x:c r="N266" s="81"/>
      <x:c r="O266" s="81"/>
      <x:c r="P266" s="81"/>
      <x:c r="Q266" s="81"/>
      <x:c r="R266" s="81"/>
      <x:c r="S266" s="81"/>
      <x:c r="T266" s="81"/>
      <x:c r="U266" s="81"/>
      <x:c r="V266" s="81"/>
      <x:c r="W266" s="81"/>
      <x:c r="X266" s="81"/>
      <x:c r="Y266" s="81"/>
      <x:c r="Z266" s="81"/>
    </x:row>
    <x:row r="267">
      <x:c r="A267" s="81"/>
      <x:c r="B267" s="81"/>
      <x:c r="C267" s="81"/>
      <x:c r="D267" s="81"/>
      <x:c r="E267" s="81"/>
      <x:c r="F267" s="81"/>
      <x:c r="G267" s="81"/>
      <x:c r="H267" s="81"/>
      <x:c r="I267" s="81"/>
      <x:c r="J267" s="81"/>
      <x:c r="K267" s="81"/>
      <x:c r="L267" s="81"/>
      <x:c r="M267" s="81"/>
      <x:c r="N267" s="81"/>
      <x:c r="O267" s="81"/>
      <x:c r="P267" s="81"/>
      <x:c r="Q267" s="81"/>
      <x:c r="R267" s="81"/>
      <x:c r="S267" s="81"/>
      <x:c r="T267" s="81"/>
      <x:c r="U267" s="81"/>
      <x:c r="V267" s="81"/>
      <x:c r="W267" s="81"/>
      <x:c r="X267" s="81"/>
      <x:c r="Y267" s="81"/>
      <x:c r="Z267" s="81"/>
    </x:row>
    <x:row r="268">
      <x:c r="A268" s="81"/>
      <x:c r="B268" s="81"/>
      <x:c r="C268" s="81"/>
      <x:c r="D268" s="81"/>
      <x:c r="E268" s="81"/>
      <x:c r="F268" s="81"/>
      <x:c r="G268" s="81"/>
      <x:c r="H268" s="81"/>
      <x:c r="I268" s="81"/>
      <x:c r="J268" s="81"/>
      <x:c r="K268" s="81"/>
      <x:c r="L268" s="81"/>
      <x:c r="M268" s="81"/>
      <x:c r="N268" s="81"/>
      <x:c r="O268" s="81"/>
      <x:c r="P268" s="81"/>
      <x:c r="Q268" s="81"/>
      <x:c r="R268" s="81"/>
      <x:c r="S268" s="81"/>
      <x:c r="T268" s="81"/>
      <x:c r="U268" s="81"/>
      <x:c r="V268" s="81"/>
      <x:c r="W268" s="81"/>
      <x:c r="X268" s="81"/>
      <x:c r="Y268" s="81"/>
      <x:c r="Z268" s="81"/>
    </x:row>
    <x:row r="269">
      <x:c r="A269" s="81"/>
      <x:c r="B269" s="81"/>
      <x:c r="C269" s="81"/>
      <x:c r="D269" s="81"/>
      <x:c r="E269" s="81"/>
      <x:c r="F269" s="81"/>
      <x:c r="G269" s="81"/>
      <x:c r="H269" s="81"/>
      <x:c r="I269" s="81"/>
      <x:c r="J269" s="81"/>
      <x:c r="K269" s="81"/>
      <x:c r="L269" s="81"/>
      <x:c r="M269" s="81"/>
      <x:c r="N269" s="81"/>
      <x:c r="O269" s="81"/>
      <x:c r="P269" s="81"/>
      <x:c r="Q269" s="81"/>
      <x:c r="R269" s="81"/>
      <x:c r="S269" s="81"/>
      <x:c r="T269" s="81"/>
      <x:c r="U269" s="81"/>
      <x:c r="V269" s="81"/>
      <x:c r="W269" s="81"/>
      <x:c r="X269" s="81"/>
      <x:c r="Y269" s="81"/>
      <x:c r="Z269" s="81"/>
    </x:row>
    <x:row r="270">
      <x:c r="A270" s="81"/>
      <x:c r="B270" s="81"/>
      <x:c r="C270" s="81"/>
      <x:c r="D270" s="81"/>
      <x:c r="E270" s="81"/>
      <x:c r="F270" s="81"/>
      <x:c r="G270" s="81"/>
      <x:c r="H270" s="81"/>
      <x:c r="I270" s="81"/>
      <x:c r="J270" s="81"/>
      <x:c r="K270" s="81"/>
      <x:c r="L270" s="81"/>
      <x:c r="M270" s="81"/>
      <x:c r="N270" s="81"/>
      <x:c r="O270" s="81"/>
      <x:c r="P270" s="81"/>
      <x:c r="Q270" s="81"/>
      <x:c r="R270" s="81"/>
      <x:c r="S270" s="81"/>
      <x:c r="T270" s="81"/>
      <x:c r="U270" s="81"/>
      <x:c r="V270" s="81"/>
      <x:c r="W270" s="81"/>
      <x:c r="X270" s="81"/>
      <x:c r="Y270" s="81"/>
      <x:c r="Z270" s="81"/>
    </x:row>
    <x:row r="271">
      <x:c r="A271" s="81"/>
      <x:c r="B271" s="81"/>
      <x:c r="C271" s="81"/>
      <x:c r="D271" s="81"/>
      <x:c r="E271" s="81"/>
      <x:c r="F271" s="81"/>
      <x:c r="G271" s="81"/>
      <x:c r="H271" s="81"/>
      <x:c r="I271" s="81"/>
      <x:c r="J271" s="81"/>
      <x:c r="K271" s="81"/>
      <x:c r="L271" s="81"/>
      <x:c r="M271" s="81"/>
      <x:c r="N271" s="81"/>
      <x:c r="O271" s="81"/>
      <x:c r="P271" s="81"/>
      <x:c r="Q271" s="81"/>
      <x:c r="R271" s="81"/>
      <x:c r="S271" s="81"/>
      <x:c r="T271" s="81"/>
      <x:c r="U271" s="81"/>
      <x:c r="V271" s="81"/>
      <x:c r="W271" s="81"/>
      <x:c r="X271" s="81"/>
      <x:c r="Y271" s="81"/>
      <x:c r="Z271" s="81"/>
    </x:row>
    <x:row r="272">
      <x:c r="A272" s="81"/>
      <x:c r="B272" s="81"/>
      <x:c r="C272" s="81"/>
      <x:c r="D272" s="81"/>
      <x:c r="E272" s="81"/>
      <x:c r="F272" s="81"/>
      <x:c r="G272" s="81"/>
      <x:c r="H272" s="81"/>
      <x:c r="I272" s="81"/>
      <x:c r="J272" s="81"/>
      <x:c r="K272" s="81"/>
      <x:c r="L272" s="81"/>
      <x:c r="M272" s="81"/>
      <x:c r="N272" s="81"/>
      <x:c r="O272" s="81"/>
      <x:c r="P272" s="81"/>
      <x:c r="Q272" s="81"/>
      <x:c r="R272" s="81"/>
      <x:c r="S272" s="81"/>
      <x:c r="T272" s="81"/>
      <x:c r="U272" s="81"/>
      <x:c r="V272" s="81"/>
      <x:c r="W272" s="81"/>
      <x:c r="X272" s="81"/>
      <x:c r="Y272" s="81"/>
      <x:c r="Z272" s="81"/>
    </x:row>
    <x:row r="273">
      <x:c r="A273" s="81"/>
      <x:c r="B273" s="81"/>
      <x:c r="C273" s="81"/>
      <x:c r="D273" s="81"/>
      <x:c r="E273" s="81"/>
      <x:c r="F273" s="81"/>
      <x:c r="G273" s="81"/>
      <x:c r="H273" s="81"/>
      <x:c r="I273" s="81"/>
      <x:c r="J273" s="81"/>
      <x:c r="K273" s="81"/>
      <x:c r="L273" s="81"/>
      <x:c r="M273" s="81"/>
      <x:c r="N273" s="81"/>
      <x:c r="O273" s="81"/>
      <x:c r="P273" s="81"/>
      <x:c r="Q273" s="81"/>
      <x:c r="R273" s="81"/>
      <x:c r="S273" s="81"/>
      <x:c r="T273" s="81"/>
      <x:c r="U273" s="81"/>
      <x:c r="V273" s="81"/>
      <x:c r="W273" s="81"/>
      <x:c r="X273" s="81"/>
      <x:c r="Y273" s="81"/>
      <x:c r="Z273" s="81"/>
    </x:row>
    <x:row r="274">
      <x:c r="A274" s="81"/>
      <x:c r="B274" s="81"/>
      <x:c r="C274" s="81"/>
      <x:c r="D274" s="81"/>
      <x:c r="E274" s="81"/>
      <x:c r="F274" s="81"/>
      <x:c r="G274" s="81"/>
      <x:c r="H274" s="81"/>
      <x:c r="I274" s="81"/>
      <x:c r="J274" s="81"/>
      <x:c r="K274" s="81"/>
      <x:c r="L274" s="81"/>
      <x:c r="M274" s="81"/>
      <x:c r="N274" s="81"/>
      <x:c r="O274" s="81"/>
      <x:c r="P274" s="81"/>
      <x:c r="Q274" s="81"/>
      <x:c r="R274" s="81"/>
      <x:c r="S274" s="81"/>
      <x:c r="T274" s="81"/>
      <x:c r="U274" s="81"/>
      <x:c r="V274" s="81"/>
      <x:c r="W274" s="81"/>
      <x:c r="X274" s="81"/>
      <x:c r="Y274" s="81"/>
      <x:c r="Z274" s="81"/>
    </x:row>
    <x:row r="275">
      <x:c r="A275" s="81"/>
      <x:c r="B275" s="81"/>
      <x:c r="C275" s="81"/>
      <x:c r="D275" s="81"/>
      <x:c r="E275" s="81"/>
      <x:c r="F275" s="81"/>
      <x:c r="G275" s="81"/>
      <x:c r="H275" s="81"/>
      <x:c r="I275" s="81"/>
      <x:c r="J275" s="81"/>
      <x:c r="K275" s="81"/>
      <x:c r="L275" s="81"/>
      <x:c r="M275" s="81"/>
      <x:c r="N275" s="81"/>
      <x:c r="O275" s="81"/>
      <x:c r="P275" s="81"/>
      <x:c r="Q275" s="81"/>
      <x:c r="R275" s="81"/>
      <x:c r="S275" s="81"/>
      <x:c r="T275" s="81"/>
      <x:c r="U275" s="81"/>
      <x:c r="V275" s="81"/>
      <x:c r="W275" s="81"/>
      <x:c r="X275" s="81"/>
      <x:c r="Y275" s="81"/>
      <x:c r="Z275" s="81"/>
    </x:row>
    <x:row r="276">
      <x:c r="A276" s="81"/>
      <x:c r="B276" s="81"/>
      <x:c r="C276" s="81"/>
      <x:c r="D276" s="81"/>
      <x:c r="E276" s="81"/>
      <x:c r="F276" s="81"/>
      <x:c r="G276" s="81"/>
      <x:c r="H276" s="81"/>
      <x:c r="I276" s="81"/>
      <x:c r="J276" s="81"/>
      <x:c r="K276" s="81"/>
      <x:c r="L276" s="81"/>
      <x:c r="M276" s="81"/>
      <x:c r="N276" s="81"/>
      <x:c r="O276" s="81"/>
      <x:c r="P276" s="81"/>
      <x:c r="Q276" s="81"/>
      <x:c r="R276" s="81"/>
      <x:c r="S276" s="81"/>
      <x:c r="T276" s="81"/>
      <x:c r="U276" s="81"/>
      <x:c r="V276" s="81"/>
      <x:c r="W276" s="81"/>
      <x:c r="X276" s="81"/>
      <x:c r="Y276" s="81"/>
      <x:c r="Z276" s="81"/>
    </x:row>
    <x:row r="277">
      <x:c r="A277" s="81"/>
      <x:c r="B277" s="81"/>
      <x:c r="C277" s="81"/>
      <x:c r="D277" s="81"/>
      <x:c r="E277" s="81"/>
      <x:c r="F277" s="81"/>
      <x:c r="G277" s="81"/>
      <x:c r="H277" s="81"/>
      <x:c r="I277" s="81"/>
      <x:c r="J277" s="81"/>
      <x:c r="K277" s="81"/>
      <x:c r="L277" s="81"/>
      <x:c r="M277" s="81"/>
      <x:c r="N277" s="81"/>
      <x:c r="O277" s="81"/>
      <x:c r="P277" s="81"/>
      <x:c r="Q277" s="81"/>
      <x:c r="R277" s="81"/>
      <x:c r="S277" s="81"/>
      <x:c r="T277" s="81"/>
      <x:c r="U277" s="81"/>
      <x:c r="V277" s="81"/>
      <x:c r="W277" s="81"/>
      <x:c r="X277" s="81"/>
      <x:c r="Y277" s="81"/>
      <x:c r="Z277" s="81"/>
    </x:row>
    <x:row r="278">
      <x:c r="A278" s="81"/>
      <x:c r="B278" s="81"/>
      <x:c r="C278" s="81"/>
      <x:c r="D278" s="81"/>
      <x:c r="E278" s="81"/>
      <x:c r="F278" s="81"/>
      <x:c r="G278" s="81"/>
      <x:c r="H278" s="81"/>
      <x:c r="I278" s="81"/>
      <x:c r="J278" s="81"/>
      <x:c r="K278" s="81"/>
      <x:c r="L278" s="81"/>
      <x:c r="M278" s="81"/>
      <x:c r="N278" s="81"/>
      <x:c r="O278" s="81"/>
      <x:c r="P278" s="81"/>
      <x:c r="Q278" s="81"/>
      <x:c r="R278" s="81"/>
      <x:c r="S278" s="81"/>
      <x:c r="T278" s="81"/>
      <x:c r="U278" s="81"/>
      <x:c r="V278" s="81"/>
      <x:c r="W278" s="81"/>
      <x:c r="X278" s="81"/>
      <x:c r="Y278" s="81"/>
      <x:c r="Z278" s="81"/>
    </x:row>
    <x:row r="279">
      <x:c r="A279" s="81"/>
      <x:c r="B279" s="81"/>
      <x:c r="C279" s="81"/>
      <x:c r="D279" s="81"/>
      <x:c r="E279" s="81"/>
      <x:c r="F279" s="81"/>
      <x:c r="G279" s="81"/>
      <x:c r="H279" s="81"/>
      <x:c r="I279" s="81"/>
      <x:c r="J279" s="81"/>
      <x:c r="K279" s="81"/>
      <x:c r="L279" s="81"/>
      <x:c r="M279" s="81"/>
      <x:c r="N279" s="81"/>
      <x:c r="O279" s="81"/>
      <x:c r="P279" s="81"/>
      <x:c r="Q279" s="81"/>
      <x:c r="R279" s="81"/>
      <x:c r="S279" s="81"/>
      <x:c r="T279" s="81"/>
      <x:c r="U279" s="81"/>
      <x:c r="V279" s="81"/>
      <x:c r="W279" s="81"/>
      <x:c r="X279" s="81"/>
      <x:c r="Y279" s="81"/>
      <x:c r="Z279" s="81"/>
    </x:row>
    <x:row r="280">
      <x:c r="A280" s="81"/>
      <x:c r="B280" s="81"/>
      <x:c r="C280" s="81"/>
      <x:c r="D280" s="81"/>
      <x:c r="E280" s="81"/>
      <x:c r="F280" s="81"/>
      <x:c r="G280" s="81"/>
      <x:c r="H280" s="81"/>
      <x:c r="I280" s="81"/>
      <x:c r="J280" s="81"/>
      <x:c r="K280" s="81"/>
      <x:c r="L280" s="81"/>
      <x:c r="M280" s="81"/>
      <x:c r="N280" s="81"/>
      <x:c r="O280" s="81"/>
      <x:c r="P280" s="81"/>
      <x:c r="Q280" s="81"/>
      <x:c r="R280" s="81"/>
      <x:c r="S280" s="81"/>
      <x:c r="T280" s="81"/>
      <x:c r="U280" s="81"/>
      <x:c r="V280" s="81"/>
      <x:c r="W280" s="81"/>
      <x:c r="X280" s="81"/>
      <x:c r="Y280" s="81"/>
      <x:c r="Z280" s="81"/>
    </x:row>
    <x:row r="281">
      <x:c r="A281" s="81"/>
      <x:c r="B281" s="81"/>
      <x:c r="C281" s="81"/>
      <x:c r="D281" s="81"/>
      <x:c r="E281" s="81"/>
      <x:c r="F281" s="81"/>
      <x:c r="G281" s="81"/>
      <x:c r="H281" s="81"/>
      <x:c r="I281" s="81"/>
      <x:c r="J281" s="81"/>
      <x:c r="K281" s="81"/>
      <x:c r="L281" s="81"/>
      <x:c r="M281" s="81"/>
      <x:c r="N281" s="81"/>
      <x:c r="O281" s="81"/>
      <x:c r="P281" s="81"/>
      <x:c r="Q281" s="81"/>
      <x:c r="R281" s="81"/>
      <x:c r="S281" s="81"/>
      <x:c r="T281" s="81"/>
      <x:c r="U281" s="81"/>
      <x:c r="V281" s="81"/>
      <x:c r="W281" s="81"/>
      <x:c r="X281" s="81"/>
      <x:c r="Y281" s="81"/>
      <x:c r="Z281" s="81"/>
    </x:row>
    <x:row r="282">
      <x:c r="A282" s="81"/>
      <x:c r="B282" s="81"/>
      <x:c r="C282" s="81"/>
      <x:c r="D282" s="81"/>
      <x:c r="E282" s="81"/>
      <x:c r="F282" s="81"/>
      <x:c r="G282" s="81"/>
      <x:c r="H282" s="81"/>
      <x:c r="I282" s="81"/>
      <x:c r="J282" s="81"/>
      <x:c r="K282" s="81"/>
      <x:c r="L282" s="81"/>
      <x:c r="M282" s="81"/>
      <x:c r="N282" s="81"/>
      <x:c r="O282" s="81"/>
      <x:c r="P282" s="81"/>
      <x:c r="Q282" s="81"/>
      <x:c r="R282" s="81"/>
      <x:c r="S282" s="81"/>
      <x:c r="T282" s="81"/>
      <x:c r="U282" s="81"/>
      <x:c r="V282" s="81"/>
      <x:c r="W282" s="81"/>
      <x:c r="X282" s="81"/>
      <x:c r="Y282" s="81"/>
      <x:c r="Z282" s="81"/>
    </x:row>
    <x:row r="283">
      <x:c r="A283" s="81"/>
      <x:c r="B283" s="81"/>
      <x:c r="C283" s="81"/>
      <x:c r="D283" s="81"/>
      <x:c r="E283" s="81"/>
      <x:c r="F283" s="81"/>
      <x:c r="G283" s="81"/>
      <x:c r="H283" s="81"/>
      <x:c r="I283" s="81"/>
      <x:c r="J283" s="81"/>
      <x:c r="K283" s="81"/>
      <x:c r="L283" s="81"/>
      <x:c r="M283" s="81"/>
      <x:c r="N283" s="81"/>
      <x:c r="O283" s="81"/>
      <x:c r="P283" s="81"/>
      <x:c r="Q283" s="81"/>
      <x:c r="R283" s="81"/>
      <x:c r="S283" s="81"/>
      <x:c r="T283" s="81"/>
      <x:c r="U283" s="81"/>
      <x:c r="V283" s="81"/>
      <x:c r="W283" s="81"/>
      <x:c r="X283" s="81"/>
      <x:c r="Y283" s="81"/>
      <x:c r="Z283" s="81"/>
    </x:row>
    <x:row r="284">
      <x:c r="A284" s="81"/>
      <x:c r="B284" s="81"/>
      <x:c r="C284" s="81"/>
      <x:c r="D284" s="81"/>
      <x:c r="E284" s="81"/>
      <x:c r="F284" s="81"/>
      <x:c r="G284" s="81"/>
      <x:c r="H284" s="81"/>
      <x:c r="I284" s="81"/>
      <x:c r="J284" s="81"/>
      <x:c r="K284" s="81"/>
      <x:c r="L284" s="81"/>
      <x:c r="M284" s="81"/>
      <x:c r="N284" s="81"/>
      <x:c r="O284" s="81"/>
      <x:c r="P284" s="81"/>
      <x:c r="Q284" s="81"/>
      <x:c r="R284" s="81"/>
      <x:c r="S284" s="81"/>
      <x:c r="T284" s="81"/>
      <x:c r="U284" s="81"/>
      <x:c r="V284" s="81"/>
      <x:c r="W284" s="81"/>
      <x:c r="X284" s="81"/>
      <x:c r="Y284" s="81"/>
      <x:c r="Z284" s="81"/>
    </x:row>
    <x:row r="285">
      <x:c r="A285" s="81"/>
      <x:c r="B285" s="81"/>
      <x:c r="C285" s="81"/>
      <x:c r="D285" s="81"/>
      <x:c r="E285" s="81"/>
      <x:c r="F285" s="81"/>
      <x:c r="G285" s="81"/>
      <x:c r="H285" s="81"/>
      <x:c r="I285" s="81"/>
      <x:c r="J285" s="81"/>
      <x:c r="K285" s="81"/>
      <x:c r="L285" s="81"/>
      <x:c r="M285" s="81"/>
      <x:c r="N285" s="81"/>
      <x:c r="O285" s="81"/>
      <x:c r="P285" s="81"/>
      <x:c r="Q285" s="81"/>
      <x:c r="R285" s="81"/>
      <x:c r="S285" s="81"/>
      <x:c r="T285" s="81"/>
      <x:c r="U285" s="81"/>
      <x:c r="V285" s="81"/>
      <x:c r="W285" s="81"/>
      <x:c r="X285" s="81"/>
      <x:c r="Y285" s="81"/>
      <x:c r="Z285" s="81"/>
    </x:row>
    <x:row r="286">
      <x:c r="A286" s="81"/>
      <x:c r="B286" s="81"/>
      <x:c r="C286" s="81"/>
      <x:c r="D286" s="81"/>
      <x:c r="E286" s="81"/>
      <x:c r="F286" s="81"/>
      <x:c r="G286" s="81"/>
      <x:c r="H286" s="81"/>
      <x:c r="I286" s="81"/>
      <x:c r="J286" s="81"/>
      <x:c r="K286" s="81"/>
      <x:c r="L286" s="81"/>
      <x:c r="M286" s="81"/>
      <x:c r="N286" s="81"/>
      <x:c r="O286" s="81"/>
      <x:c r="P286" s="81"/>
      <x:c r="Q286" s="81"/>
      <x:c r="R286" s="81"/>
      <x:c r="S286" s="81"/>
      <x:c r="T286" s="81"/>
      <x:c r="U286" s="81"/>
      <x:c r="V286" s="81"/>
      <x:c r="W286" s="81"/>
      <x:c r="X286" s="81"/>
      <x:c r="Y286" s="81"/>
      <x:c r="Z286" s="81"/>
    </x:row>
    <x:row r="287">
      <x:c r="A287" s="81"/>
      <x:c r="B287" s="81"/>
      <x:c r="C287" s="81"/>
      <x:c r="D287" s="81"/>
      <x:c r="E287" s="81"/>
      <x:c r="F287" s="81"/>
      <x:c r="G287" s="81"/>
      <x:c r="H287" s="81"/>
      <x:c r="I287" s="81"/>
      <x:c r="J287" s="81"/>
      <x:c r="K287" s="81"/>
      <x:c r="L287" s="81"/>
      <x:c r="M287" s="81"/>
      <x:c r="N287" s="81"/>
      <x:c r="O287" s="81"/>
      <x:c r="P287" s="81"/>
      <x:c r="Q287" s="81"/>
      <x:c r="R287" s="81"/>
      <x:c r="S287" s="81"/>
      <x:c r="T287" s="81"/>
      <x:c r="U287" s="81"/>
      <x:c r="V287" s="81"/>
      <x:c r="W287" s="81"/>
      <x:c r="X287" s="81"/>
      <x:c r="Y287" s="81"/>
      <x:c r="Z287" s="81"/>
    </x:row>
    <x:row r="288">
      <x:c r="A288" s="81"/>
      <x:c r="B288" s="81"/>
      <x:c r="C288" s="81"/>
      <x:c r="D288" s="81"/>
      <x:c r="E288" s="81"/>
      <x:c r="F288" s="81"/>
      <x:c r="G288" s="81"/>
      <x:c r="H288" s="81"/>
      <x:c r="I288" s="81"/>
      <x:c r="J288" s="81"/>
      <x:c r="K288" s="81"/>
      <x:c r="L288" s="81"/>
      <x:c r="M288" s="81"/>
      <x:c r="N288" s="81"/>
      <x:c r="O288" s="81"/>
      <x:c r="P288" s="81"/>
      <x:c r="Q288" s="81"/>
      <x:c r="R288" s="81"/>
      <x:c r="S288" s="81"/>
      <x:c r="T288" s="81"/>
      <x:c r="U288" s="81"/>
      <x:c r="V288" s="81"/>
      <x:c r="W288" s="81"/>
      <x:c r="X288" s="81"/>
      <x:c r="Y288" s="81"/>
      <x:c r="Z288" s="81"/>
    </x:row>
    <x:row r="289">
      <x:c r="A289" s="81"/>
      <x:c r="B289" s="81"/>
      <x:c r="C289" s="81"/>
      <x:c r="D289" s="81"/>
      <x:c r="E289" s="81"/>
      <x:c r="F289" s="81"/>
      <x:c r="G289" s="81"/>
      <x:c r="H289" s="81"/>
      <x:c r="I289" s="81"/>
      <x:c r="J289" s="81"/>
      <x:c r="K289" s="81"/>
      <x:c r="L289" s="81"/>
      <x:c r="M289" s="81"/>
      <x:c r="N289" s="81"/>
      <x:c r="O289" s="81"/>
      <x:c r="P289" s="81"/>
      <x:c r="Q289" s="81"/>
      <x:c r="R289" s="81"/>
      <x:c r="S289" s="81"/>
      <x:c r="T289" s="81"/>
      <x:c r="U289" s="81"/>
      <x:c r="V289" s="81"/>
      <x:c r="W289" s="81"/>
      <x:c r="X289" s="81"/>
      <x:c r="Y289" s="81"/>
      <x:c r="Z289" s="81"/>
    </x:row>
    <x:row r="290">
      <x:c r="A290" s="81"/>
      <x:c r="B290" s="81"/>
      <x:c r="C290" s="81"/>
      <x:c r="D290" s="81"/>
      <x:c r="E290" s="81"/>
      <x:c r="F290" s="81"/>
      <x:c r="G290" s="81"/>
      <x:c r="H290" s="81"/>
      <x:c r="I290" s="81"/>
      <x:c r="J290" s="81"/>
      <x:c r="K290" s="81"/>
      <x:c r="L290" s="81"/>
      <x:c r="M290" s="81"/>
      <x:c r="N290" s="81"/>
      <x:c r="O290" s="81"/>
      <x:c r="P290" s="81"/>
      <x:c r="Q290" s="81"/>
      <x:c r="R290" s="81"/>
      <x:c r="S290" s="81"/>
      <x:c r="T290" s="81"/>
      <x:c r="U290" s="81"/>
      <x:c r="V290" s="81"/>
      <x:c r="W290" s="81"/>
      <x:c r="X290" s="81"/>
      <x:c r="Y290" s="81"/>
      <x:c r="Z290" s="81"/>
    </x:row>
    <x:row r="291">
      <x:c r="A291" s="81"/>
      <x:c r="B291" s="81"/>
      <x:c r="C291" s="81"/>
      <x:c r="D291" s="81"/>
      <x:c r="E291" s="81"/>
      <x:c r="F291" s="81"/>
      <x:c r="G291" s="81"/>
      <x:c r="H291" s="81"/>
      <x:c r="I291" s="81"/>
      <x:c r="J291" s="81"/>
      <x:c r="K291" s="81"/>
      <x:c r="L291" s="81"/>
      <x:c r="M291" s="81"/>
      <x:c r="N291" s="81"/>
      <x:c r="O291" s="81"/>
      <x:c r="P291" s="81"/>
      <x:c r="Q291" s="81"/>
      <x:c r="R291" s="81"/>
      <x:c r="S291" s="81"/>
      <x:c r="T291" s="81"/>
      <x:c r="U291" s="81"/>
      <x:c r="V291" s="81"/>
      <x:c r="W291" s="81"/>
      <x:c r="X291" s="81"/>
      <x:c r="Y291" s="81"/>
      <x:c r="Z291" s="81"/>
    </x:row>
    <x:row r="292">
      <x:c r="A292" s="81"/>
      <x:c r="B292" s="81"/>
      <x:c r="C292" s="81"/>
      <x:c r="D292" s="81"/>
      <x:c r="E292" s="81"/>
      <x:c r="F292" s="81"/>
      <x:c r="G292" s="81"/>
      <x:c r="H292" s="81"/>
      <x:c r="I292" s="81"/>
      <x:c r="J292" s="81"/>
      <x:c r="K292" s="81"/>
      <x:c r="L292" s="81"/>
      <x:c r="M292" s="81"/>
      <x:c r="N292" s="81"/>
      <x:c r="O292" s="81"/>
      <x:c r="P292" s="81"/>
      <x:c r="Q292" s="81"/>
      <x:c r="R292" s="81"/>
      <x:c r="S292" s="81"/>
      <x:c r="T292" s="81"/>
      <x:c r="U292" s="81"/>
      <x:c r="V292" s="81"/>
      <x:c r="W292" s="81"/>
      <x:c r="X292" s="81"/>
      <x:c r="Y292" s="81"/>
      <x:c r="Z292" s="81"/>
    </x:row>
    <x:row r="293">
      <x:c r="A293" s="81"/>
      <x:c r="B293" s="81"/>
      <x:c r="C293" s="81"/>
      <x:c r="D293" s="81"/>
      <x:c r="E293" s="81"/>
      <x:c r="F293" s="81"/>
      <x:c r="G293" s="81"/>
      <x:c r="H293" s="81"/>
      <x:c r="I293" s="81"/>
      <x:c r="J293" s="81"/>
      <x:c r="K293" s="81"/>
      <x:c r="L293" s="81"/>
      <x:c r="M293" s="81"/>
      <x:c r="N293" s="81"/>
      <x:c r="O293" s="81"/>
      <x:c r="P293" s="81"/>
      <x:c r="Q293" s="81"/>
      <x:c r="R293" s="81"/>
      <x:c r="S293" s="81"/>
      <x:c r="T293" s="81"/>
      <x:c r="U293" s="81"/>
      <x:c r="V293" s="81"/>
      <x:c r="W293" s="81"/>
      <x:c r="X293" s="81"/>
      <x:c r="Y293" s="81"/>
      <x:c r="Z293" s="81"/>
    </x:row>
    <x:row r="294">
      <x:c r="A294" s="81"/>
      <x:c r="B294" s="81"/>
      <x:c r="C294" s="81"/>
      <x:c r="D294" s="81"/>
      <x:c r="E294" s="81"/>
      <x:c r="F294" s="81"/>
      <x:c r="G294" s="81"/>
      <x:c r="H294" s="81"/>
      <x:c r="I294" s="81"/>
      <x:c r="J294" s="81"/>
      <x:c r="K294" s="81"/>
      <x:c r="L294" s="81"/>
      <x:c r="M294" s="81"/>
      <x:c r="N294" s="81"/>
      <x:c r="O294" s="81"/>
      <x:c r="P294" s="81"/>
      <x:c r="Q294" s="81"/>
      <x:c r="R294" s="81"/>
      <x:c r="S294" s="81"/>
      <x:c r="T294" s="81"/>
      <x:c r="U294" s="81"/>
      <x:c r="V294" s="81"/>
      <x:c r="W294" s="81"/>
      <x:c r="X294" s="81"/>
      <x:c r="Y294" s="81"/>
      <x:c r="Z294" s="81"/>
    </x:row>
    <x:row r="295">
      <x:c r="A295" s="81"/>
      <x:c r="B295" s="81"/>
      <x:c r="C295" s="81"/>
      <x:c r="D295" s="81"/>
      <x:c r="E295" s="81"/>
      <x:c r="F295" s="81"/>
      <x:c r="G295" s="81"/>
      <x:c r="H295" s="81"/>
      <x:c r="I295" s="81"/>
      <x:c r="J295" s="81"/>
      <x:c r="K295" s="81"/>
      <x:c r="L295" s="81"/>
      <x:c r="M295" s="81"/>
      <x:c r="N295" s="81"/>
      <x:c r="O295" s="81"/>
      <x:c r="P295" s="81"/>
      <x:c r="Q295" s="81"/>
      <x:c r="R295" s="81"/>
      <x:c r="S295" s="81"/>
      <x:c r="T295" s="81"/>
      <x:c r="U295" s="81"/>
      <x:c r="V295" s="81"/>
      <x:c r="W295" s="81"/>
      <x:c r="X295" s="81"/>
      <x:c r="Y295" s="81"/>
      <x:c r="Z295" s="81"/>
    </x:row>
    <x:row r="296">
      <x:c r="A296" s="81"/>
      <x:c r="B296" s="81"/>
      <x:c r="C296" s="81"/>
      <x:c r="D296" s="81"/>
      <x:c r="E296" s="81"/>
      <x:c r="F296" s="81"/>
      <x:c r="G296" s="81"/>
      <x:c r="H296" s="81"/>
      <x:c r="I296" s="81"/>
      <x:c r="J296" s="81"/>
      <x:c r="K296" s="81"/>
      <x:c r="L296" s="81"/>
      <x:c r="M296" s="81"/>
      <x:c r="N296" s="81"/>
      <x:c r="O296" s="81"/>
      <x:c r="P296" s="81"/>
      <x:c r="Q296" s="81"/>
      <x:c r="R296" s="81"/>
      <x:c r="S296" s="81"/>
      <x:c r="T296" s="81"/>
      <x:c r="U296" s="81"/>
      <x:c r="V296" s="81"/>
      <x:c r="W296" s="81"/>
      <x:c r="X296" s="81"/>
      <x:c r="Y296" s="81"/>
      <x:c r="Z296" s="81"/>
    </x:row>
    <x:row r="297">
      <x:c r="A297" s="81"/>
      <x:c r="B297" s="81"/>
      <x:c r="C297" s="81"/>
      <x:c r="D297" s="81"/>
      <x:c r="E297" s="81"/>
      <x:c r="F297" s="81"/>
      <x:c r="G297" s="81"/>
      <x:c r="H297" s="81"/>
      <x:c r="I297" s="81"/>
      <x:c r="J297" s="81"/>
      <x:c r="K297" s="81"/>
      <x:c r="L297" s="81"/>
      <x:c r="M297" s="81"/>
      <x:c r="N297" s="81"/>
      <x:c r="O297" s="81"/>
      <x:c r="P297" s="81"/>
      <x:c r="Q297" s="81"/>
      <x:c r="R297" s="81"/>
      <x:c r="S297" s="81"/>
      <x:c r="T297" s="81"/>
      <x:c r="U297" s="81"/>
      <x:c r="V297" s="81"/>
      <x:c r="W297" s="81"/>
      <x:c r="X297" s="81"/>
      <x:c r="Y297" s="81"/>
      <x:c r="Z297" s="81"/>
    </x:row>
    <x:row r="298">
      <x:c r="A298" s="81"/>
      <x:c r="B298" s="81"/>
      <x:c r="C298" s="81"/>
      <x:c r="D298" s="81"/>
      <x:c r="E298" s="81"/>
      <x:c r="F298" s="81"/>
      <x:c r="G298" s="81"/>
      <x:c r="H298" s="81"/>
      <x:c r="I298" s="81"/>
      <x:c r="J298" s="81"/>
      <x:c r="K298" s="81"/>
      <x:c r="L298" s="81"/>
      <x:c r="M298" s="81"/>
      <x:c r="N298" s="81"/>
      <x:c r="O298" s="81"/>
      <x:c r="P298" s="81"/>
      <x:c r="Q298" s="81"/>
      <x:c r="R298" s="81"/>
      <x:c r="S298" s="81"/>
      <x:c r="T298" s="81"/>
      <x:c r="U298" s="81"/>
      <x:c r="V298" s="81"/>
      <x:c r="W298" s="81"/>
      <x:c r="X298" s="81"/>
      <x:c r="Y298" s="81"/>
      <x:c r="Z298" s="81"/>
    </x:row>
    <x:row r="299">
      <x:c r="A299" s="81"/>
      <x:c r="B299" s="81"/>
      <x:c r="C299" s="81"/>
      <x:c r="D299" s="81"/>
      <x:c r="E299" s="81"/>
      <x:c r="F299" s="81"/>
      <x:c r="G299" s="81"/>
      <x:c r="H299" s="81"/>
      <x:c r="I299" s="81"/>
      <x:c r="J299" s="81"/>
      <x:c r="K299" s="81"/>
      <x:c r="L299" s="81"/>
      <x:c r="M299" s="81"/>
      <x:c r="N299" s="81"/>
      <x:c r="O299" s="81"/>
      <x:c r="P299" s="81"/>
      <x:c r="Q299" s="81"/>
      <x:c r="R299" s="81"/>
      <x:c r="S299" s="81"/>
      <x:c r="T299" s="81"/>
      <x:c r="U299" s="81"/>
      <x:c r="V299" s="81"/>
      <x:c r="W299" s="81"/>
      <x:c r="X299" s="81"/>
      <x:c r="Y299" s="81"/>
      <x:c r="Z299" s="81"/>
    </x:row>
    <x:row r="300">
      <x:c r="A300" s="81"/>
      <x:c r="B300" s="81"/>
      <x:c r="C300" s="81"/>
      <x:c r="D300" s="81"/>
      <x:c r="E300" s="81"/>
      <x:c r="F300" s="81"/>
      <x:c r="G300" s="81"/>
      <x:c r="H300" s="81"/>
      <x:c r="I300" s="81"/>
      <x:c r="J300" s="81"/>
      <x:c r="K300" s="81"/>
      <x:c r="L300" s="81"/>
      <x:c r="M300" s="81"/>
      <x:c r="N300" s="81"/>
      <x:c r="O300" s="81"/>
      <x:c r="P300" s="81"/>
      <x:c r="Q300" s="81"/>
      <x:c r="R300" s="81"/>
      <x:c r="S300" s="81"/>
      <x:c r="T300" s="81"/>
      <x:c r="U300" s="81"/>
      <x:c r="V300" s="81"/>
      <x:c r="W300" s="81"/>
      <x:c r="X300" s="81"/>
      <x:c r="Y300" s="81"/>
      <x:c r="Z300" s="81"/>
    </x:row>
    <x:row r="301">
      <x:c r="A301" s="81"/>
      <x:c r="B301" s="81"/>
      <x:c r="C301" s="81"/>
      <x:c r="D301" s="81"/>
      <x:c r="E301" s="81"/>
      <x:c r="F301" s="81"/>
      <x:c r="G301" s="81"/>
      <x:c r="H301" s="81"/>
      <x:c r="I301" s="81"/>
      <x:c r="J301" s="81"/>
      <x:c r="K301" s="81"/>
      <x:c r="L301" s="81"/>
      <x:c r="M301" s="81"/>
      <x:c r="N301" s="81"/>
      <x:c r="O301" s="81"/>
      <x:c r="P301" s="81"/>
      <x:c r="Q301" s="81"/>
      <x:c r="R301" s="81"/>
      <x:c r="S301" s="81"/>
      <x:c r="T301" s="81"/>
      <x:c r="U301" s="81"/>
      <x:c r="V301" s="81"/>
      <x:c r="W301" s="81"/>
      <x:c r="X301" s="81"/>
      <x:c r="Y301" s="81"/>
      <x:c r="Z301" s="81"/>
    </x:row>
    <x:row r="302">
      <x:c r="A302" s="81"/>
      <x:c r="B302" s="81"/>
      <x:c r="C302" s="81"/>
      <x:c r="D302" s="81"/>
      <x:c r="E302" s="81"/>
      <x:c r="F302" s="81"/>
      <x:c r="G302" s="81"/>
      <x:c r="H302" s="81"/>
      <x:c r="I302" s="81"/>
      <x:c r="J302" s="81"/>
      <x:c r="K302" s="81"/>
      <x:c r="L302" s="81"/>
      <x:c r="M302" s="81"/>
      <x:c r="N302" s="81"/>
      <x:c r="O302" s="81"/>
      <x:c r="P302" s="81"/>
      <x:c r="Q302" s="81"/>
      <x:c r="R302" s="81"/>
      <x:c r="S302" s="81"/>
      <x:c r="T302" s="81"/>
      <x:c r="U302" s="81"/>
      <x:c r="V302" s="81"/>
      <x:c r="W302" s="81"/>
      <x:c r="X302" s="81"/>
      <x:c r="Y302" s="81"/>
      <x:c r="Z302" s="81"/>
    </x:row>
    <x:row r="303">
      <x:c r="A303" s="81"/>
      <x:c r="B303" s="81"/>
      <x:c r="C303" s="81"/>
      <x:c r="D303" s="81"/>
      <x:c r="E303" s="81"/>
      <x:c r="F303" s="81"/>
      <x:c r="G303" s="81"/>
      <x:c r="H303" s="81"/>
      <x:c r="I303" s="81"/>
      <x:c r="J303" s="81"/>
      <x:c r="K303" s="81"/>
      <x:c r="L303" s="81"/>
      <x:c r="M303" s="81"/>
      <x:c r="N303" s="81"/>
      <x:c r="O303" s="81"/>
      <x:c r="P303" s="81"/>
      <x:c r="Q303" s="81"/>
      <x:c r="R303" s="81"/>
      <x:c r="S303" s="81"/>
      <x:c r="T303" s="81"/>
      <x:c r="U303" s="81"/>
      <x:c r="V303" s="81"/>
      <x:c r="W303" s="81"/>
      <x:c r="X303" s="81"/>
      <x:c r="Y303" s="81"/>
      <x:c r="Z303" s="81"/>
    </x:row>
    <x:row r="304">
      <x:c r="A304" s="81"/>
      <x:c r="B304" s="81"/>
      <x:c r="C304" s="81"/>
      <x:c r="D304" s="81"/>
      <x:c r="E304" s="81"/>
      <x:c r="F304" s="81"/>
      <x:c r="G304" s="81"/>
      <x:c r="H304" s="81"/>
      <x:c r="I304" s="81"/>
      <x:c r="J304" s="81"/>
      <x:c r="K304" s="81"/>
      <x:c r="L304" s="81"/>
      <x:c r="M304" s="81"/>
      <x:c r="N304" s="81"/>
      <x:c r="O304" s="81"/>
      <x:c r="P304" s="81"/>
      <x:c r="Q304" s="81"/>
      <x:c r="R304" s="81"/>
      <x:c r="S304" s="81"/>
      <x:c r="T304" s="81"/>
      <x:c r="U304" s="81"/>
      <x:c r="V304" s="81"/>
      <x:c r="W304" s="81"/>
      <x:c r="X304" s="81"/>
      <x:c r="Y304" s="81"/>
      <x:c r="Z304" s="81"/>
    </x:row>
    <x:row r="305">
      <x:c r="A305" s="81"/>
      <x:c r="B305" s="81"/>
      <x:c r="C305" s="81"/>
      <x:c r="D305" s="81"/>
      <x:c r="E305" s="81"/>
      <x:c r="F305" s="81"/>
      <x:c r="G305" s="81"/>
      <x:c r="H305" s="81"/>
      <x:c r="I305" s="81"/>
      <x:c r="J305" s="81"/>
      <x:c r="K305" s="81"/>
      <x:c r="L305" s="81"/>
      <x:c r="M305" s="81"/>
      <x:c r="N305" s="81"/>
      <x:c r="O305" s="81"/>
      <x:c r="P305" s="81"/>
      <x:c r="Q305" s="81"/>
      <x:c r="R305" s="81"/>
      <x:c r="S305" s="81"/>
      <x:c r="T305" s="81"/>
      <x:c r="U305" s="81"/>
      <x:c r="V305" s="81"/>
      <x:c r="W305" s="81"/>
      <x:c r="X305" s="81"/>
      <x:c r="Y305" s="81"/>
      <x:c r="Z305" s="81"/>
    </x:row>
    <x:row r="306">
      <x:c r="A306" s="81"/>
      <x:c r="B306" s="81"/>
      <x:c r="C306" s="81"/>
      <x:c r="D306" s="81"/>
      <x:c r="E306" s="81"/>
      <x:c r="F306" s="81"/>
      <x:c r="G306" s="81"/>
      <x:c r="H306" s="81"/>
      <x:c r="I306" s="81"/>
      <x:c r="J306" s="81"/>
      <x:c r="K306" s="81"/>
      <x:c r="L306" s="81"/>
      <x:c r="M306" s="81"/>
      <x:c r="N306" s="81"/>
      <x:c r="O306" s="81"/>
      <x:c r="P306" s="81"/>
      <x:c r="Q306" s="81"/>
      <x:c r="R306" s="81"/>
      <x:c r="S306" s="81"/>
      <x:c r="T306" s="81"/>
      <x:c r="U306" s="81"/>
      <x:c r="V306" s="81"/>
      <x:c r="W306" s="81"/>
      <x:c r="X306" s="81"/>
      <x:c r="Y306" s="81"/>
      <x:c r="Z306" s="81"/>
    </x:row>
    <x:row r="307">
      <x:c r="A307" s="81"/>
      <x:c r="B307" s="81"/>
      <x:c r="C307" s="81"/>
      <x:c r="D307" s="81"/>
      <x:c r="E307" s="81"/>
      <x:c r="F307" s="81"/>
      <x:c r="G307" s="81"/>
      <x:c r="H307" s="81"/>
      <x:c r="I307" s="81"/>
      <x:c r="J307" s="81"/>
      <x:c r="K307" s="81"/>
      <x:c r="L307" s="81"/>
      <x:c r="M307" s="81"/>
      <x:c r="N307" s="81"/>
      <x:c r="O307" s="81"/>
      <x:c r="P307" s="81"/>
      <x:c r="Q307" s="81"/>
      <x:c r="R307" s="81"/>
      <x:c r="S307" s="81"/>
      <x:c r="T307" s="81"/>
      <x:c r="U307" s="81"/>
      <x:c r="V307" s="81"/>
      <x:c r="W307" s="81"/>
      <x:c r="X307" s="81"/>
      <x:c r="Y307" s="81"/>
      <x:c r="Z307" s="81"/>
    </x:row>
    <x:row r="308">
      <x:c r="A308" s="81"/>
      <x:c r="B308" s="81"/>
      <x:c r="C308" s="81"/>
      <x:c r="D308" s="81"/>
      <x:c r="E308" s="81"/>
      <x:c r="F308" s="81"/>
      <x:c r="G308" s="81"/>
      <x:c r="H308" s="81"/>
      <x:c r="I308" s="81"/>
      <x:c r="J308" s="81"/>
      <x:c r="K308" s="81"/>
      <x:c r="L308" s="81"/>
      <x:c r="M308" s="81"/>
      <x:c r="N308" s="81"/>
      <x:c r="O308" s="81"/>
      <x:c r="P308" s="81"/>
      <x:c r="Q308" s="81"/>
      <x:c r="R308" s="81"/>
      <x:c r="S308" s="81"/>
      <x:c r="T308" s="81"/>
      <x:c r="U308" s="81"/>
      <x:c r="V308" s="81"/>
      <x:c r="W308" s="81"/>
      <x:c r="X308" s="81"/>
      <x:c r="Y308" s="81"/>
      <x:c r="Z308" s="81"/>
    </x:row>
    <x:row r="309">
      <x:c r="A309" s="81"/>
      <x:c r="B309" s="81"/>
      <x:c r="C309" s="81"/>
      <x:c r="D309" s="81"/>
      <x:c r="E309" s="81"/>
      <x:c r="F309" s="81"/>
      <x:c r="G309" s="81"/>
      <x:c r="H309" s="81"/>
      <x:c r="I309" s="81"/>
      <x:c r="J309" s="81"/>
      <x:c r="K309" s="81"/>
      <x:c r="L309" s="81"/>
      <x:c r="M309" s="81"/>
      <x:c r="N309" s="81"/>
      <x:c r="O309" s="81"/>
      <x:c r="P309" s="81"/>
      <x:c r="Q309" s="81"/>
      <x:c r="R309" s="81"/>
      <x:c r="S309" s="81"/>
      <x:c r="T309" s="81"/>
      <x:c r="U309" s="81"/>
      <x:c r="V309" s="81"/>
      <x:c r="W309" s="81"/>
      <x:c r="X309" s="81"/>
      <x:c r="Y309" s="81"/>
      <x:c r="Z309" s="81"/>
    </x:row>
    <x:row r="310">
      <x:c r="A310" s="81"/>
      <x:c r="B310" s="81"/>
      <x:c r="C310" s="81"/>
      <x:c r="D310" s="81"/>
      <x:c r="E310" s="81"/>
      <x:c r="F310" s="81"/>
      <x:c r="G310" s="81"/>
      <x:c r="H310" s="81"/>
      <x:c r="I310" s="81"/>
      <x:c r="J310" s="81"/>
      <x:c r="K310" s="81"/>
      <x:c r="L310" s="81"/>
      <x:c r="M310" s="81"/>
      <x:c r="N310" s="81"/>
      <x:c r="O310" s="81"/>
      <x:c r="P310" s="81"/>
      <x:c r="Q310" s="81"/>
      <x:c r="R310" s="81"/>
      <x:c r="S310" s="81"/>
      <x:c r="T310" s="81"/>
      <x:c r="U310" s="81"/>
      <x:c r="V310" s="81"/>
      <x:c r="W310" s="81"/>
      <x:c r="X310" s="81"/>
      <x:c r="Y310" s="81"/>
      <x:c r="Z310" s="81"/>
    </x:row>
    <x:row r="311">
      <x:c r="A311" s="81"/>
      <x:c r="B311" s="81"/>
      <x:c r="C311" s="81"/>
      <x:c r="D311" s="81"/>
      <x:c r="E311" s="81"/>
      <x:c r="F311" s="81"/>
      <x:c r="G311" s="81"/>
      <x:c r="H311" s="81"/>
      <x:c r="I311" s="81"/>
      <x:c r="J311" s="81"/>
      <x:c r="K311" s="81"/>
      <x:c r="L311" s="81"/>
      <x:c r="M311" s="81"/>
      <x:c r="N311" s="81"/>
      <x:c r="O311" s="81"/>
      <x:c r="P311" s="81"/>
      <x:c r="Q311" s="81"/>
      <x:c r="R311" s="81"/>
      <x:c r="S311" s="81"/>
      <x:c r="T311" s="81"/>
      <x:c r="U311" s="81"/>
      <x:c r="V311" s="81"/>
      <x:c r="W311" s="81"/>
      <x:c r="X311" s="81"/>
      <x:c r="Y311" s="81"/>
      <x:c r="Z311" s="81"/>
    </x:row>
    <x:row r="312">
      <x:c r="A312" s="81"/>
      <x:c r="B312" s="81"/>
      <x:c r="C312" s="81"/>
      <x:c r="D312" s="81"/>
      <x:c r="E312" s="81"/>
      <x:c r="F312" s="81"/>
      <x:c r="G312" s="81"/>
      <x:c r="H312" s="81"/>
      <x:c r="I312" s="81"/>
      <x:c r="J312" s="81"/>
      <x:c r="K312" s="81"/>
      <x:c r="L312" s="81"/>
      <x:c r="M312" s="81"/>
      <x:c r="N312" s="81"/>
      <x:c r="O312" s="81"/>
      <x:c r="P312" s="81"/>
      <x:c r="Q312" s="81"/>
      <x:c r="R312" s="81"/>
      <x:c r="S312" s="81"/>
      <x:c r="T312" s="81"/>
      <x:c r="U312" s="81"/>
      <x:c r="V312" s="81"/>
      <x:c r="W312" s="81"/>
      <x:c r="X312" s="81"/>
      <x:c r="Y312" s="81"/>
      <x:c r="Z312" s="81"/>
    </x:row>
    <x:row r="313">
      <x:c r="A313" s="81"/>
      <x:c r="B313" s="81"/>
      <x:c r="C313" s="81"/>
      <x:c r="D313" s="81"/>
      <x:c r="E313" s="81"/>
      <x:c r="F313" s="81"/>
      <x:c r="G313" s="81"/>
      <x:c r="H313" s="81"/>
      <x:c r="I313" s="81"/>
      <x:c r="J313" s="81"/>
      <x:c r="K313" s="81"/>
      <x:c r="L313" s="81"/>
      <x:c r="M313" s="81"/>
      <x:c r="N313" s="81"/>
      <x:c r="O313" s="81"/>
      <x:c r="P313" s="81"/>
      <x:c r="Q313" s="81"/>
      <x:c r="R313" s="81"/>
      <x:c r="S313" s="81"/>
      <x:c r="T313" s="81"/>
      <x:c r="U313" s="81"/>
      <x:c r="V313" s="81"/>
      <x:c r="W313" s="81"/>
      <x:c r="X313" s="81"/>
      <x:c r="Y313" s="81"/>
      <x:c r="Z313" s="81"/>
    </x:row>
    <x:row r="314">
      <x:c r="A314" s="81"/>
      <x:c r="B314" s="81"/>
      <x:c r="C314" s="81"/>
      <x:c r="D314" s="81"/>
      <x:c r="E314" s="81"/>
      <x:c r="F314" s="81"/>
      <x:c r="G314" s="81"/>
      <x:c r="H314" s="81"/>
      <x:c r="I314" s="81"/>
      <x:c r="J314" s="81"/>
      <x:c r="K314" s="81"/>
      <x:c r="L314" s="81"/>
      <x:c r="M314" s="81"/>
      <x:c r="N314" s="81"/>
      <x:c r="O314" s="81"/>
      <x:c r="P314" s="81"/>
      <x:c r="Q314" s="81"/>
      <x:c r="R314" s="81"/>
      <x:c r="S314" s="81"/>
      <x:c r="T314" s="81"/>
      <x:c r="U314" s="81"/>
      <x:c r="V314" s="81"/>
      <x:c r="W314" s="81"/>
      <x:c r="X314" s="81"/>
      <x:c r="Y314" s="81"/>
      <x:c r="Z314" s="81"/>
    </x:row>
    <x:row r="315">
      <x:c r="A315" s="81"/>
      <x:c r="B315" s="81"/>
      <x:c r="C315" s="81"/>
      <x:c r="D315" s="81"/>
      <x:c r="E315" s="81"/>
      <x:c r="F315" s="81"/>
      <x:c r="G315" s="81"/>
      <x:c r="H315" s="81"/>
      <x:c r="I315" s="81"/>
      <x:c r="J315" s="81"/>
      <x:c r="K315" s="81"/>
      <x:c r="L315" s="81"/>
      <x:c r="M315" s="81"/>
      <x:c r="N315" s="81"/>
      <x:c r="O315" s="81"/>
      <x:c r="P315" s="81"/>
      <x:c r="Q315" s="81"/>
      <x:c r="R315" s="81"/>
      <x:c r="S315" s="81"/>
      <x:c r="T315" s="81"/>
      <x:c r="U315" s="81"/>
      <x:c r="V315" s="81"/>
      <x:c r="W315" s="81"/>
      <x:c r="X315" s="81"/>
      <x:c r="Y315" s="81"/>
      <x:c r="Z315" s="81"/>
    </x:row>
    <x:row r="316">
      <x:c r="A316" s="81"/>
      <x:c r="B316" s="81"/>
      <x:c r="C316" s="81"/>
      <x:c r="D316" s="81"/>
      <x:c r="E316" s="81"/>
      <x:c r="F316" s="81"/>
      <x:c r="G316" s="81"/>
      <x:c r="H316" s="81"/>
      <x:c r="I316" s="81"/>
      <x:c r="J316" s="81"/>
      <x:c r="K316" s="81"/>
      <x:c r="L316" s="81"/>
      <x:c r="M316" s="81"/>
      <x:c r="N316" s="81"/>
      <x:c r="O316" s="81"/>
      <x:c r="P316" s="81"/>
      <x:c r="Q316" s="81"/>
      <x:c r="R316" s="81"/>
      <x:c r="S316" s="81"/>
      <x:c r="T316" s="81"/>
      <x:c r="U316" s="81"/>
      <x:c r="V316" s="81"/>
      <x:c r="W316" s="81"/>
      <x:c r="X316" s="81"/>
      <x:c r="Y316" s="81"/>
      <x:c r="Z316" s="81"/>
    </x:row>
    <x:row r="317">
      <x:c r="A317" s="81"/>
      <x:c r="B317" s="81"/>
      <x:c r="C317" s="81"/>
      <x:c r="D317" s="81"/>
      <x:c r="E317" s="81"/>
      <x:c r="F317" s="81"/>
      <x:c r="G317" s="81"/>
      <x:c r="H317" s="81"/>
      <x:c r="I317" s="81"/>
      <x:c r="J317" s="81"/>
      <x:c r="K317" s="81"/>
      <x:c r="L317" s="81"/>
      <x:c r="M317" s="81"/>
      <x:c r="N317" s="81"/>
      <x:c r="O317" s="81"/>
      <x:c r="P317" s="81"/>
      <x:c r="Q317" s="81"/>
      <x:c r="R317" s="81"/>
      <x:c r="S317" s="81"/>
      <x:c r="T317" s="81"/>
      <x:c r="U317" s="81"/>
      <x:c r="V317" s="81"/>
      <x:c r="W317" s="81"/>
      <x:c r="X317" s="81"/>
      <x:c r="Y317" s="81"/>
      <x:c r="Z317" s="81"/>
    </x:row>
    <x:row r="318">
      <x:c r="A318" s="81"/>
      <x:c r="B318" s="81"/>
      <x:c r="C318" s="81"/>
      <x:c r="D318" s="81"/>
      <x:c r="E318" s="81"/>
      <x:c r="F318" s="81"/>
      <x:c r="G318" s="81"/>
      <x:c r="H318" s="81"/>
      <x:c r="I318" s="81"/>
      <x:c r="J318" s="81"/>
      <x:c r="K318" s="81"/>
      <x:c r="L318" s="81"/>
      <x:c r="M318" s="81"/>
      <x:c r="N318" s="81"/>
      <x:c r="O318" s="81"/>
      <x:c r="P318" s="81"/>
      <x:c r="Q318" s="81"/>
      <x:c r="R318" s="81"/>
      <x:c r="S318" s="81"/>
      <x:c r="T318" s="81"/>
      <x:c r="U318" s="81"/>
      <x:c r="V318" s="81"/>
      <x:c r="W318" s="81"/>
      <x:c r="X318" s="81"/>
      <x:c r="Y318" s="81"/>
      <x:c r="Z318" s="81"/>
    </x:row>
    <x:row r="319">
      <x:c r="A319" s="81"/>
      <x:c r="B319" s="81"/>
      <x:c r="C319" s="81"/>
      <x:c r="D319" s="81"/>
      <x:c r="E319" s="81"/>
      <x:c r="F319" s="81"/>
      <x:c r="G319" s="81"/>
      <x:c r="H319" s="81"/>
      <x:c r="I319" s="81"/>
      <x:c r="J319" s="81"/>
      <x:c r="K319" s="81"/>
      <x:c r="L319" s="81"/>
      <x:c r="M319" s="81"/>
      <x:c r="N319" s="81"/>
      <x:c r="O319" s="81"/>
      <x:c r="P319" s="81"/>
      <x:c r="Q319" s="81"/>
      <x:c r="R319" s="81"/>
      <x:c r="S319" s="81"/>
      <x:c r="T319" s="81"/>
      <x:c r="U319" s="81"/>
      <x:c r="V319" s="81"/>
      <x:c r="W319" s="81"/>
      <x:c r="X319" s="81"/>
      <x:c r="Y319" s="81"/>
      <x:c r="Z319" s="81"/>
    </x:row>
    <x:row r="320">
      <x:c r="A320" s="81"/>
      <x:c r="B320" s="81"/>
      <x:c r="C320" s="81"/>
      <x:c r="D320" s="81"/>
      <x:c r="E320" s="81"/>
      <x:c r="F320" s="81"/>
      <x:c r="G320" s="81"/>
      <x:c r="H320" s="81"/>
      <x:c r="I320" s="81"/>
      <x:c r="J320" s="81"/>
      <x:c r="K320" s="81"/>
      <x:c r="L320" s="81"/>
      <x:c r="M320" s="81"/>
      <x:c r="N320" s="81"/>
      <x:c r="O320" s="81"/>
      <x:c r="P320" s="81"/>
      <x:c r="Q320" s="81"/>
      <x:c r="R320" s="81"/>
      <x:c r="S320" s="81"/>
      <x:c r="T320" s="81"/>
      <x:c r="U320" s="81"/>
      <x:c r="V320" s="81"/>
      <x:c r="W320" s="81"/>
      <x:c r="X320" s="81"/>
      <x:c r="Y320" s="81"/>
      <x:c r="Z320" s="81"/>
    </x:row>
    <x:row r="321">
      <x:c r="A321" s="81"/>
      <x:c r="B321" s="81"/>
      <x:c r="C321" s="81"/>
      <x:c r="D321" s="81"/>
      <x:c r="E321" s="81"/>
      <x:c r="F321" s="81"/>
      <x:c r="G321" s="81"/>
      <x:c r="H321" s="81"/>
      <x:c r="I321" s="81"/>
      <x:c r="J321" s="81"/>
      <x:c r="K321" s="81"/>
      <x:c r="L321" s="81"/>
      <x:c r="M321" s="81"/>
      <x:c r="N321" s="81"/>
      <x:c r="O321" s="81"/>
      <x:c r="P321" s="81"/>
      <x:c r="Q321" s="81"/>
      <x:c r="R321" s="81"/>
      <x:c r="S321" s="81"/>
      <x:c r="T321" s="81"/>
      <x:c r="U321" s="81"/>
      <x:c r="V321" s="81"/>
      <x:c r="W321" s="81"/>
      <x:c r="X321" s="81"/>
      <x:c r="Y321" s="81"/>
      <x:c r="Z321" s="81"/>
    </x:row>
    <x:row r="322">
      <x:c r="A322" s="81"/>
      <x:c r="B322" s="81"/>
      <x:c r="C322" s="81"/>
      <x:c r="D322" s="81"/>
      <x:c r="E322" s="81"/>
      <x:c r="F322" s="81"/>
      <x:c r="G322" s="81"/>
      <x:c r="H322" s="81"/>
      <x:c r="I322" s="81"/>
      <x:c r="J322" s="81"/>
      <x:c r="K322" s="81"/>
      <x:c r="L322" s="81"/>
      <x:c r="M322" s="81"/>
      <x:c r="N322" s="81"/>
      <x:c r="O322" s="81"/>
      <x:c r="P322" s="81"/>
      <x:c r="Q322" s="81"/>
      <x:c r="R322" s="81"/>
      <x:c r="S322" s="81"/>
      <x:c r="T322" s="81"/>
      <x:c r="U322" s="81"/>
      <x:c r="V322" s="81"/>
      <x:c r="W322" s="81"/>
      <x:c r="X322" s="81"/>
      <x:c r="Y322" s="81"/>
      <x:c r="Z322" s="81"/>
    </x:row>
    <x:row r="323">
      <x:c r="A323" s="81"/>
      <x:c r="B323" s="81"/>
      <x:c r="C323" s="81"/>
      <x:c r="D323" s="81"/>
      <x:c r="E323" s="81"/>
      <x:c r="F323" s="81"/>
      <x:c r="G323" s="81"/>
      <x:c r="H323" s="81"/>
      <x:c r="I323" s="81"/>
      <x:c r="J323" s="81"/>
      <x:c r="K323" s="81"/>
      <x:c r="L323" s="81"/>
      <x:c r="M323" s="81"/>
      <x:c r="N323" s="81"/>
      <x:c r="O323" s="81"/>
      <x:c r="P323" s="81"/>
      <x:c r="Q323" s="81"/>
      <x:c r="R323" s="81"/>
      <x:c r="S323" s="81"/>
      <x:c r="T323" s="81"/>
      <x:c r="U323" s="81"/>
      <x:c r="V323" s="81"/>
      <x:c r="W323" s="81"/>
      <x:c r="X323" s="81"/>
      <x:c r="Y323" s="81"/>
      <x:c r="Z323" s="81"/>
    </x:row>
    <x:row r="324">
      <x:c r="A324" s="81"/>
      <x:c r="B324" s="81"/>
      <x:c r="C324" s="81"/>
      <x:c r="D324" s="81"/>
      <x:c r="E324" s="81"/>
      <x:c r="F324" s="81"/>
      <x:c r="G324" s="81"/>
      <x:c r="H324" s="81"/>
      <x:c r="I324" s="81"/>
      <x:c r="J324" s="81"/>
      <x:c r="K324" s="81"/>
      <x:c r="L324" s="81"/>
      <x:c r="M324" s="81"/>
      <x:c r="N324" s="81"/>
      <x:c r="O324" s="81"/>
      <x:c r="P324" s="81"/>
      <x:c r="Q324" s="81"/>
      <x:c r="R324" s="81"/>
      <x:c r="S324" s="81"/>
      <x:c r="T324" s="81"/>
      <x:c r="U324" s="81"/>
      <x:c r="V324" s="81"/>
      <x:c r="W324" s="81"/>
      <x:c r="X324" s="81"/>
      <x:c r="Y324" s="81"/>
      <x:c r="Z324" s="81"/>
    </x:row>
    <x:row r="325">
      <x:c r="A325" s="81"/>
      <x:c r="B325" s="81"/>
      <x:c r="C325" s="81"/>
      <x:c r="D325" s="81"/>
      <x:c r="E325" s="81"/>
      <x:c r="F325" s="81"/>
      <x:c r="G325" s="81"/>
      <x:c r="H325" s="81"/>
      <x:c r="I325" s="81"/>
      <x:c r="J325" s="81"/>
      <x:c r="K325" s="81"/>
      <x:c r="L325" s="81"/>
      <x:c r="M325" s="81"/>
      <x:c r="N325" s="81"/>
      <x:c r="O325" s="81"/>
      <x:c r="P325" s="81"/>
      <x:c r="Q325" s="81"/>
      <x:c r="R325" s="81"/>
      <x:c r="S325" s="81"/>
      <x:c r="T325" s="81"/>
      <x:c r="U325" s="81"/>
      <x:c r="V325" s="81"/>
      <x:c r="W325" s="81"/>
      <x:c r="X325" s="81"/>
      <x:c r="Y325" s="81"/>
      <x:c r="Z325" s="81"/>
    </x:row>
    <x:row r="326">
      <x:c r="A326" s="81"/>
      <x:c r="B326" s="81"/>
      <x:c r="C326" s="81"/>
      <x:c r="D326" s="81"/>
      <x:c r="E326" s="81"/>
      <x:c r="F326" s="81"/>
      <x:c r="G326" s="81"/>
      <x:c r="H326" s="81"/>
      <x:c r="I326" s="81"/>
      <x:c r="J326" s="81"/>
      <x:c r="K326" s="81"/>
      <x:c r="L326" s="81"/>
      <x:c r="M326" s="81"/>
      <x:c r="N326" s="81"/>
      <x:c r="O326" s="81"/>
      <x:c r="P326" s="81"/>
      <x:c r="Q326" s="81"/>
      <x:c r="R326" s="81"/>
      <x:c r="S326" s="81"/>
      <x:c r="T326" s="81"/>
      <x:c r="U326" s="81"/>
      <x:c r="V326" s="81"/>
      <x:c r="W326" s="81"/>
      <x:c r="X326" s="81"/>
      <x:c r="Y326" s="81"/>
      <x:c r="Z326" s="81"/>
    </x:row>
    <x:row r="327">
      <x:c r="A327" s="81"/>
      <x:c r="B327" s="81"/>
      <x:c r="C327" s="81"/>
      <x:c r="D327" s="81"/>
      <x:c r="E327" s="81"/>
      <x:c r="F327" s="81"/>
      <x:c r="G327" s="81"/>
      <x:c r="H327" s="81"/>
      <x:c r="I327" s="81"/>
      <x:c r="J327" s="81"/>
      <x:c r="K327" s="81"/>
      <x:c r="L327" s="81"/>
      <x:c r="M327" s="81"/>
      <x:c r="N327" s="81"/>
      <x:c r="O327" s="81"/>
      <x:c r="P327" s="81"/>
      <x:c r="Q327" s="81"/>
      <x:c r="R327" s="81"/>
      <x:c r="S327" s="81"/>
      <x:c r="T327" s="81"/>
      <x:c r="U327" s="81"/>
      <x:c r="V327" s="81"/>
      <x:c r="W327" s="81"/>
      <x:c r="X327" s="81"/>
      <x:c r="Y327" s="81"/>
      <x:c r="Z327" s="81"/>
    </x:row>
    <x:row r="328">
      <x:c r="A328" s="81"/>
      <x:c r="B328" s="81"/>
      <x:c r="C328" s="81"/>
      <x:c r="D328" s="81"/>
      <x:c r="E328" s="81"/>
      <x:c r="F328" s="81"/>
      <x:c r="G328" s="81"/>
      <x:c r="H328" s="81"/>
      <x:c r="I328" s="81"/>
      <x:c r="J328" s="81"/>
      <x:c r="K328" s="81"/>
      <x:c r="L328" s="81"/>
      <x:c r="M328" s="81"/>
      <x:c r="N328" s="81"/>
      <x:c r="O328" s="81"/>
      <x:c r="P328" s="81"/>
      <x:c r="Q328" s="81"/>
      <x:c r="R328" s="81"/>
      <x:c r="S328" s="81"/>
      <x:c r="T328" s="81"/>
      <x:c r="U328" s="81"/>
      <x:c r="V328" s="81"/>
      <x:c r="W328" s="81"/>
      <x:c r="X328" s="81"/>
      <x:c r="Y328" s="81"/>
      <x:c r="Z328" s="81"/>
    </x:row>
    <x:row r="329">
      <x:c r="A329" s="81"/>
      <x:c r="B329" s="81"/>
      <x:c r="C329" s="81"/>
      <x:c r="D329" s="81"/>
      <x:c r="E329" s="81"/>
      <x:c r="F329" s="81"/>
      <x:c r="G329" s="81"/>
      <x:c r="H329" s="81"/>
      <x:c r="I329" s="81"/>
      <x:c r="J329" s="81"/>
      <x:c r="K329" s="81"/>
      <x:c r="L329" s="81"/>
      <x:c r="M329" s="81"/>
      <x:c r="N329" s="81"/>
      <x:c r="O329" s="81"/>
      <x:c r="P329" s="81"/>
      <x:c r="Q329" s="81"/>
      <x:c r="R329" s="81"/>
      <x:c r="S329" s="81"/>
      <x:c r="T329" s="81"/>
      <x:c r="U329" s="81"/>
      <x:c r="V329" s="81"/>
      <x:c r="W329" s="81"/>
      <x:c r="X329" s="81"/>
      <x:c r="Y329" s="81"/>
      <x:c r="Z329" s="81"/>
    </x:row>
    <x:row r="330">
      <x:c r="A330" s="81"/>
      <x:c r="B330" s="81"/>
      <x:c r="C330" s="81"/>
      <x:c r="D330" s="81"/>
      <x:c r="E330" s="81"/>
      <x:c r="F330" s="81"/>
      <x:c r="G330" s="81"/>
      <x:c r="H330" s="81"/>
      <x:c r="I330" s="81"/>
      <x:c r="J330" s="81"/>
      <x:c r="K330" s="81"/>
      <x:c r="L330" s="81"/>
      <x:c r="M330" s="81"/>
      <x:c r="N330" s="81"/>
      <x:c r="O330" s="81"/>
      <x:c r="P330" s="81"/>
      <x:c r="Q330" s="81"/>
      <x:c r="R330" s="81"/>
      <x:c r="S330" s="81"/>
      <x:c r="T330" s="81"/>
      <x:c r="U330" s="81"/>
      <x:c r="V330" s="81"/>
      <x:c r="W330" s="81"/>
      <x:c r="X330" s="81"/>
      <x:c r="Y330" s="81"/>
      <x:c r="Z330" s="81"/>
    </x:row>
    <x:row r="331">
      <x:c r="A331" s="81"/>
      <x:c r="B331" s="81"/>
      <x:c r="C331" s="81"/>
      <x:c r="D331" s="81"/>
      <x:c r="E331" s="81"/>
      <x:c r="F331" s="81"/>
      <x:c r="G331" s="81"/>
      <x:c r="H331" s="81"/>
      <x:c r="I331" s="81"/>
      <x:c r="J331" s="81"/>
      <x:c r="K331" s="81"/>
      <x:c r="L331" s="81"/>
      <x:c r="M331" s="81"/>
      <x:c r="N331" s="81"/>
      <x:c r="O331" s="81"/>
      <x:c r="P331" s="81"/>
      <x:c r="Q331" s="81"/>
      <x:c r="R331" s="81"/>
      <x:c r="S331" s="81"/>
      <x:c r="T331" s="81"/>
      <x:c r="U331" s="81"/>
      <x:c r="V331" s="81"/>
      <x:c r="W331" s="81"/>
      <x:c r="X331" s="81"/>
      <x:c r="Y331" s="81"/>
      <x:c r="Z331" s="81"/>
    </x:row>
    <x:row r="332">
      <x:c r="A332" s="81"/>
      <x:c r="B332" s="81"/>
      <x:c r="C332" s="81"/>
      <x:c r="D332" s="81"/>
      <x:c r="E332" s="81"/>
      <x:c r="F332" s="81"/>
      <x:c r="G332" s="81"/>
      <x:c r="H332" s="81"/>
      <x:c r="I332" s="81"/>
      <x:c r="J332" s="81"/>
      <x:c r="K332" s="81"/>
      <x:c r="L332" s="81"/>
      <x:c r="M332" s="81"/>
      <x:c r="N332" s="81"/>
      <x:c r="O332" s="81"/>
      <x:c r="P332" s="81"/>
      <x:c r="Q332" s="81"/>
      <x:c r="R332" s="81"/>
      <x:c r="S332" s="81"/>
      <x:c r="T332" s="81"/>
      <x:c r="U332" s="81"/>
      <x:c r="V332" s="81"/>
      <x:c r="W332" s="81"/>
      <x:c r="X332" s="81"/>
      <x:c r="Y332" s="81"/>
      <x:c r="Z332" s="81"/>
    </x:row>
    <x:row r="333">
      <x:c r="A333" s="81"/>
      <x:c r="B333" s="81"/>
      <x:c r="C333" s="81"/>
      <x:c r="D333" s="81"/>
      <x:c r="E333" s="81"/>
      <x:c r="F333" s="81"/>
      <x:c r="G333" s="81"/>
      <x:c r="H333" s="81"/>
      <x:c r="I333" s="81"/>
      <x:c r="J333" s="81"/>
      <x:c r="K333" s="81"/>
      <x:c r="L333" s="81"/>
      <x:c r="M333" s="81"/>
      <x:c r="N333" s="81"/>
      <x:c r="O333" s="81"/>
      <x:c r="P333" s="81"/>
      <x:c r="Q333" s="81"/>
      <x:c r="R333" s="81"/>
      <x:c r="S333" s="81"/>
      <x:c r="T333" s="81"/>
      <x:c r="U333" s="81"/>
      <x:c r="V333" s="81"/>
      <x:c r="W333" s="81"/>
      <x:c r="X333" s="81"/>
      <x:c r="Y333" s="81"/>
      <x:c r="Z333" s="81"/>
    </x:row>
    <x:row r="334">
      <x:c r="A334" s="81"/>
      <x:c r="B334" s="81"/>
      <x:c r="C334" s="81"/>
      <x:c r="D334" s="81"/>
      <x:c r="E334" s="81"/>
      <x:c r="F334" s="81"/>
      <x:c r="G334" s="81"/>
      <x:c r="H334" s="81"/>
      <x:c r="I334" s="81"/>
      <x:c r="J334" s="81"/>
      <x:c r="K334" s="81"/>
      <x:c r="L334" s="81"/>
      <x:c r="M334" s="81"/>
      <x:c r="N334" s="81"/>
      <x:c r="O334" s="81"/>
      <x:c r="P334" s="81"/>
      <x:c r="Q334" s="81"/>
      <x:c r="R334" s="81"/>
      <x:c r="S334" s="81"/>
      <x:c r="T334" s="81"/>
      <x:c r="U334" s="81"/>
      <x:c r="V334" s="81"/>
      <x:c r="W334" s="81"/>
      <x:c r="X334" s="81"/>
      <x:c r="Y334" s="81"/>
      <x:c r="Z334" s="81"/>
    </x:row>
    <x:row r="335">
      <x:c r="A335" s="81"/>
      <x:c r="B335" s="81"/>
      <x:c r="C335" s="81"/>
      <x:c r="D335" s="81"/>
      <x:c r="E335" s="81"/>
      <x:c r="F335" s="81"/>
      <x:c r="G335" s="81"/>
      <x:c r="H335" s="81"/>
      <x:c r="I335" s="81"/>
      <x:c r="J335" s="81"/>
      <x:c r="K335" s="81"/>
      <x:c r="L335" s="81"/>
      <x:c r="M335" s="81"/>
      <x:c r="N335" s="81"/>
      <x:c r="O335" s="81"/>
      <x:c r="P335" s="81"/>
      <x:c r="Q335" s="81"/>
      <x:c r="R335" s="81"/>
      <x:c r="S335" s="81"/>
      <x:c r="T335" s="81"/>
      <x:c r="U335" s="81"/>
      <x:c r="V335" s="81"/>
      <x:c r="W335" s="81"/>
      <x:c r="X335" s="81"/>
      <x:c r="Y335" s="81"/>
      <x:c r="Z335" s="81"/>
    </x:row>
    <x:row r="336">
      <x:c r="A336" s="81"/>
      <x:c r="B336" s="81"/>
      <x:c r="C336" s="81"/>
      <x:c r="D336" s="81"/>
      <x:c r="E336" s="81"/>
      <x:c r="F336" s="81"/>
      <x:c r="G336" s="81"/>
      <x:c r="H336" s="81"/>
      <x:c r="I336" s="81"/>
      <x:c r="J336" s="81"/>
      <x:c r="K336" s="81"/>
      <x:c r="L336" s="81"/>
      <x:c r="M336" s="81"/>
      <x:c r="N336" s="81"/>
      <x:c r="O336" s="81"/>
      <x:c r="P336" s="81"/>
      <x:c r="Q336" s="81"/>
      <x:c r="R336" s="81"/>
      <x:c r="S336" s="81"/>
      <x:c r="T336" s="81"/>
      <x:c r="U336" s="81"/>
      <x:c r="V336" s="81"/>
      <x:c r="W336" s="81"/>
      <x:c r="X336" s="81"/>
      <x:c r="Y336" s="81"/>
      <x:c r="Z336" s="81"/>
    </x:row>
    <x:row r="337">
      <x:c r="A337" s="81"/>
      <x:c r="B337" s="81"/>
      <x:c r="C337" s="81"/>
      <x:c r="D337" s="81"/>
      <x:c r="E337" s="81"/>
      <x:c r="F337" s="81"/>
      <x:c r="G337" s="81"/>
      <x:c r="H337" s="81"/>
      <x:c r="I337" s="81"/>
      <x:c r="J337" s="81"/>
      <x:c r="K337" s="81"/>
      <x:c r="L337" s="81"/>
      <x:c r="M337" s="81"/>
      <x:c r="N337" s="81"/>
      <x:c r="O337" s="81"/>
      <x:c r="P337" s="81"/>
      <x:c r="Q337" s="81"/>
      <x:c r="R337" s="81"/>
      <x:c r="S337" s="81"/>
      <x:c r="T337" s="81"/>
      <x:c r="U337" s="81"/>
      <x:c r="V337" s="81"/>
      <x:c r="W337" s="81"/>
      <x:c r="X337" s="81"/>
      <x:c r="Y337" s="81"/>
      <x:c r="Z337" s="81"/>
    </x:row>
    <x:row r="338">
      <x:c r="A338" s="81"/>
      <x:c r="B338" s="81"/>
      <x:c r="C338" s="81"/>
      <x:c r="D338" s="81"/>
      <x:c r="E338" s="81"/>
      <x:c r="F338" s="81"/>
      <x:c r="G338" s="81"/>
      <x:c r="H338" s="81"/>
      <x:c r="I338" s="81"/>
      <x:c r="J338" s="81"/>
      <x:c r="K338" s="81"/>
      <x:c r="L338" s="81"/>
      <x:c r="M338" s="81"/>
      <x:c r="N338" s="81"/>
      <x:c r="O338" s="81"/>
      <x:c r="P338" s="81"/>
      <x:c r="Q338" s="81"/>
      <x:c r="R338" s="81"/>
      <x:c r="S338" s="81"/>
      <x:c r="T338" s="81"/>
      <x:c r="U338" s="81"/>
      <x:c r="V338" s="81"/>
      <x:c r="W338" s="81"/>
      <x:c r="X338" s="81"/>
      <x:c r="Y338" s="81"/>
      <x:c r="Z338" s="81"/>
    </x:row>
    <x:row r="339">
      <x:c r="A339" s="81"/>
      <x:c r="B339" s="81"/>
      <x:c r="C339" s="81"/>
      <x:c r="D339" s="81"/>
      <x:c r="E339" s="81"/>
      <x:c r="F339" s="81"/>
      <x:c r="G339" s="81"/>
      <x:c r="H339" s="81"/>
      <x:c r="I339" s="81"/>
      <x:c r="J339" s="81"/>
      <x:c r="K339" s="81"/>
      <x:c r="L339" s="81"/>
      <x:c r="M339" s="81"/>
      <x:c r="N339" s="81"/>
      <x:c r="O339" s="81"/>
      <x:c r="P339" s="81"/>
      <x:c r="Q339" s="81"/>
      <x:c r="R339" s="81"/>
      <x:c r="S339" s="81"/>
      <x:c r="T339" s="81"/>
      <x:c r="U339" s="81"/>
      <x:c r="V339" s="81"/>
      <x:c r="W339" s="81"/>
      <x:c r="X339" s="81"/>
      <x:c r="Y339" s="81"/>
      <x:c r="Z339" s="81"/>
    </x:row>
    <x:row r="340">
      <x:c r="A340" s="81"/>
      <x:c r="B340" s="81"/>
      <x:c r="C340" s="81"/>
      <x:c r="D340" s="81"/>
      <x:c r="E340" s="81"/>
      <x:c r="F340" s="81"/>
      <x:c r="G340" s="81"/>
      <x:c r="H340" s="81"/>
      <x:c r="I340" s="81"/>
      <x:c r="J340" s="81"/>
      <x:c r="K340" s="81"/>
      <x:c r="L340" s="81"/>
      <x:c r="M340" s="81"/>
      <x:c r="N340" s="81"/>
      <x:c r="O340" s="81"/>
      <x:c r="P340" s="81"/>
      <x:c r="Q340" s="81"/>
      <x:c r="R340" s="81"/>
      <x:c r="S340" s="81"/>
      <x:c r="T340" s="81"/>
      <x:c r="U340" s="81"/>
      <x:c r="V340" s="81"/>
      <x:c r="W340" s="81"/>
      <x:c r="X340" s="81"/>
      <x:c r="Y340" s="81"/>
      <x:c r="Z340" s="81"/>
    </x:row>
    <x:row r="341">
      <x:c r="A341" s="81"/>
      <x:c r="B341" s="81"/>
      <x:c r="C341" s="81"/>
      <x:c r="D341" s="81"/>
      <x:c r="E341" s="81"/>
      <x:c r="F341" s="81"/>
      <x:c r="G341" s="81"/>
      <x:c r="H341" s="81"/>
      <x:c r="I341" s="81"/>
      <x:c r="J341" s="81"/>
      <x:c r="K341" s="81"/>
      <x:c r="L341" s="81"/>
      <x:c r="M341" s="81"/>
      <x:c r="N341" s="81"/>
      <x:c r="O341" s="81"/>
      <x:c r="P341" s="81"/>
      <x:c r="Q341" s="81"/>
      <x:c r="R341" s="81"/>
      <x:c r="S341" s="81"/>
      <x:c r="T341" s="81"/>
      <x:c r="U341" s="81"/>
      <x:c r="V341" s="81"/>
      <x:c r="W341" s="81"/>
      <x:c r="X341" s="81"/>
      <x:c r="Y341" s="81"/>
      <x:c r="Z341" s="81"/>
    </x:row>
    <x:row r="342">
      <x:c r="A342" s="81"/>
      <x:c r="B342" s="81"/>
      <x:c r="C342" s="81"/>
      <x:c r="D342" s="81"/>
      <x:c r="E342" s="81"/>
      <x:c r="F342" s="81"/>
      <x:c r="G342" s="81"/>
      <x:c r="H342" s="81"/>
      <x:c r="I342" s="81"/>
      <x:c r="J342" s="81"/>
      <x:c r="K342" s="81"/>
      <x:c r="L342" s="81"/>
      <x:c r="M342" s="81"/>
      <x:c r="N342" s="81"/>
      <x:c r="O342" s="81"/>
      <x:c r="P342" s="81"/>
      <x:c r="Q342" s="81"/>
      <x:c r="R342" s="81"/>
      <x:c r="S342" s="81"/>
      <x:c r="T342" s="81"/>
      <x:c r="U342" s="81"/>
      <x:c r="V342" s="81"/>
      <x:c r="W342" s="81"/>
      <x:c r="X342" s="81"/>
      <x:c r="Y342" s="81"/>
      <x:c r="Z342" s="81"/>
    </x:row>
    <x:row r="343">
      <x:c r="A343" s="81"/>
      <x:c r="B343" s="81"/>
      <x:c r="C343" s="81"/>
      <x:c r="D343" s="81"/>
      <x:c r="E343" s="81"/>
      <x:c r="F343" s="81"/>
      <x:c r="G343" s="81"/>
      <x:c r="H343" s="81"/>
      <x:c r="I343" s="81"/>
      <x:c r="J343" s="81"/>
      <x:c r="K343" s="81"/>
      <x:c r="L343" s="81"/>
      <x:c r="M343" s="81"/>
      <x:c r="N343" s="81"/>
      <x:c r="O343" s="81"/>
      <x:c r="P343" s="81"/>
      <x:c r="Q343" s="81"/>
      <x:c r="R343" s="81"/>
      <x:c r="S343" s="81"/>
      <x:c r="T343" s="81"/>
      <x:c r="U343" s="81"/>
      <x:c r="V343" s="81"/>
      <x:c r="W343" s="81"/>
      <x:c r="X343" s="81"/>
      <x:c r="Y343" s="81"/>
      <x:c r="Z343" s="81"/>
    </x:row>
    <x:row r="344">
      <x:c r="A344" s="81"/>
      <x:c r="B344" s="81"/>
      <x:c r="C344" s="81"/>
      <x:c r="D344" s="81"/>
      <x:c r="E344" s="81"/>
      <x:c r="F344" s="81"/>
      <x:c r="G344" s="81"/>
      <x:c r="H344" s="81"/>
      <x:c r="I344" s="81"/>
      <x:c r="J344" s="81"/>
      <x:c r="K344" s="81"/>
      <x:c r="L344" s="81"/>
      <x:c r="M344" s="81"/>
      <x:c r="N344" s="81"/>
      <x:c r="O344" s="81"/>
      <x:c r="P344" s="81"/>
      <x:c r="Q344" s="81"/>
      <x:c r="R344" s="81"/>
      <x:c r="S344" s="81"/>
      <x:c r="T344" s="81"/>
      <x:c r="U344" s="81"/>
      <x:c r="V344" s="81"/>
      <x:c r="W344" s="81"/>
      <x:c r="X344" s="81"/>
      <x:c r="Y344" s="81"/>
      <x:c r="Z344" s="81"/>
    </x:row>
    <x:row r="345">
      <x:c r="A345" s="81"/>
      <x:c r="B345" s="81"/>
      <x:c r="C345" s="81"/>
      <x:c r="D345" s="81"/>
      <x:c r="E345" s="81"/>
      <x:c r="F345" s="81"/>
      <x:c r="G345" s="81"/>
      <x:c r="H345" s="81"/>
      <x:c r="I345" s="81"/>
      <x:c r="J345" s="81"/>
      <x:c r="K345" s="81"/>
      <x:c r="L345" s="81"/>
      <x:c r="M345" s="81"/>
      <x:c r="N345" s="81"/>
      <x:c r="O345" s="81"/>
      <x:c r="P345" s="81"/>
      <x:c r="Q345" s="81"/>
      <x:c r="R345" s="81"/>
      <x:c r="S345" s="81"/>
      <x:c r="T345" s="81"/>
      <x:c r="U345" s="81"/>
      <x:c r="V345" s="81"/>
      <x:c r="W345" s="81"/>
      <x:c r="X345" s="81"/>
      <x:c r="Y345" s="81"/>
      <x:c r="Z345" s="81"/>
    </x:row>
    <x:row r="346">
      <x:c r="A346" s="81"/>
      <x:c r="B346" s="81"/>
      <x:c r="C346" s="81"/>
      <x:c r="D346" s="81"/>
      <x:c r="E346" s="81"/>
      <x:c r="F346" s="81"/>
      <x:c r="G346" s="81"/>
      <x:c r="H346" s="81"/>
      <x:c r="I346" s="81"/>
      <x:c r="J346" s="81"/>
      <x:c r="K346" s="81"/>
      <x:c r="L346" s="81"/>
      <x:c r="M346" s="81"/>
      <x:c r="N346" s="81"/>
      <x:c r="O346" s="81"/>
      <x:c r="P346" s="81"/>
      <x:c r="Q346" s="81"/>
      <x:c r="R346" s="81"/>
      <x:c r="S346" s="81"/>
      <x:c r="T346" s="81"/>
      <x:c r="U346" s="81"/>
      <x:c r="V346" s="81"/>
      <x:c r="W346" s="81"/>
      <x:c r="X346" s="81"/>
      <x:c r="Y346" s="81"/>
      <x:c r="Z346" s="81"/>
    </x:row>
    <x:row r="347">
      <x:c r="A347" s="81"/>
      <x:c r="B347" s="81"/>
      <x:c r="C347" s="81"/>
      <x:c r="D347" s="81"/>
      <x:c r="E347" s="81"/>
      <x:c r="F347" s="81"/>
      <x:c r="G347" s="81"/>
      <x:c r="H347" s="81"/>
      <x:c r="I347" s="81"/>
      <x:c r="J347" s="81"/>
      <x:c r="K347" s="81"/>
      <x:c r="L347" s="81"/>
      <x:c r="M347" s="81"/>
      <x:c r="N347" s="81"/>
      <x:c r="O347" s="81"/>
      <x:c r="P347" s="81"/>
      <x:c r="Q347" s="81"/>
      <x:c r="R347" s="81"/>
      <x:c r="S347" s="81"/>
      <x:c r="T347" s="81"/>
      <x:c r="U347" s="81"/>
      <x:c r="V347" s="81"/>
      <x:c r="W347" s="81"/>
      <x:c r="X347" s="81"/>
      <x:c r="Y347" s="81"/>
      <x:c r="Z347" s="81"/>
    </x:row>
    <x:row r="348">
      <x:c r="A348" s="81"/>
      <x:c r="B348" s="81"/>
      <x:c r="C348" s="81"/>
      <x:c r="D348" s="81"/>
      <x:c r="E348" s="81"/>
      <x:c r="F348" s="81"/>
      <x:c r="G348" s="81"/>
      <x:c r="H348" s="81"/>
      <x:c r="I348" s="81"/>
      <x:c r="J348" s="81"/>
      <x:c r="K348" s="81"/>
      <x:c r="L348" s="81"/>
      <x:c r="M348" s="81"/>
      <x:c r="N348" s="81"/>
      <x:c r="O348" s="81"/>
      <x:c r="P348" s="81"/>
      <x:c r="Q348" s="81"/>
      <x:c r="R348" s="81"/>
      <x:c r="S348" s="81"/>
      <x:c r="T348" s="81"/>
      <x:c r="U348" s="81"/>
      <x:c r="V348" s="81"/>
      <x:c r="W348" s="81"/>
      <x:c r="X348" s="81"/>
      <x:c r="Y348" s="81"/>
      <x:c r="Z348" s="81"/>
    </x:row>
    <x:row r="349">
      <x:c r="A349" s="81"/>
      <x:c r="B349" s="81"/>
      <x:c r="C349" s="81"/>
      <x:c r="D349" s="81"/>
      <x:c r="E349" s="81"/>
      <x:c r="F349" s="81"/>
      <x:c r="G349" s="81"/>
      <x:c r="H349" s="81"/>
      <x:c r="I349" s="81"/>
      <x:c r="J349" s="81"/>
      <x:c r="K349" s="81"/>
      <x:c r="L349" s="81"/>
      <x:c r="M349" s="81"/>
      <x:c r="N349" s="81"/>
      <x:c r="O349" s="81"/>
      <x:c r="P349" s="81"/>
      <x:c r="Q349" s="81"/>
      <x:c r="R349" s="81"/>
      <x:c r="S349" s="81"/>
      <x:c r="T349" s="81"/>
      <x:c r="U349" s="81"/>
      <x:c r="V349" s="81"/>
      <x:c r="W349" s="81"/>
      <x:c r="X349" s="81"/>
      <x:c r="Y349" s="81"/>
      <x:c r="Z349" s="81"/>
    </x:row>
    <x:row r="350">
      <x:c r="A350" s="81"/>
      <x:c r="B350" s="81"/>
      <x:c r="C350" s="81"/>
      <x:c r="D350" s="81"/>
      <x:c r="E350" s="81"/>
      <x:c r="F350" s="81"/>
      <x:c r="G350" s="81"/>
      <x:c r="H350" s="81"/>
      <x:c r="I350" s="81"/>
      <x:c r="J350" s="81"/>
      <x:c r="K350" s="81"/>
      <x:c r="L350" s="81"/>
      <x:c r="M350" s="81"/>
      <x:c r="N350" s="81"/>
      <x:c r="O350" s="81"/>
      <x:c r="P350" s="81"/>
      <x:c r="Q350" s="81"/>
      <x:c r="R350" s="81"/>
      <x:c r="S350" s="81"/>
      <x:c r="T350" s="81"/>
      <x:c r="U350" s="81"/>
      <x:c r="V350" s="81"/>
      <x:c r="W350" s="81"/>
      <x:c r="X350" s="81"/>
      <x:c r="Y350" s="81"/>
      <x:c r="Z350" s="81"/>
    </x:row>
    <x:row r="351">
      <x:c r="A351" s="81"/>
      <x:c r="B351" s="81"/>
      <x:c r="C351" s="81"/>
      <x:c r="D351" s="81"/>
      <x:c r="E351" s="81"/>
      <x:c r="F351" s="81"/>
      <x:c r="G351" s="81"/>
      <x:c r="H351" s="81"/>
      <x:c r="I351" s="81"/>
      <x:c r="J351" s="81"/>
      <x:c r="K351" s="81"/>
      <x:c r="L351" s="81"/>
      <x:c r="M351" s="81"/>
      <x:c r="N351" s="81"/>
      <x:c r="O351" s="81"/>
      <x:c r="P351" s="81"/>
      <x:c r="Q351" s="81"/>
      <x:c r="R351" s="81"/>
      <x:c r="S351" s="81"/>
      <x:c r="T351" s="81"/>
      <x:c r="U351" s="81"/>
      <x:c r="V351" s="81"/>
      <x:c r="W351" s="81"/>
      <x:c r="X351" s="81"/>
      <x:c r="Y351" s="81"/>
      <x:c r="Z351" s="81"/>
    </x:row>
    <x:row r="352">
      <x:c r="A352" s="81"/>
      <x:c r="B352" s="81"/>
      <x:c r="C352" s="81"/>
      <x:c r="D352" s="81"/>
      <x:c r="E352" s="81"/>
      <x:c r="F352" s="81"/>
      <x:c r="G352" s="81"/>
      <x:c r="H352" s="81"/>
      <x:c r="I352" s="81"/>
      <x:c r="J352" s="81"/>
      <x:c r="K352" s="81"/>
      <x:c r="L352" s="81"/>
      <x:c r="M352" s="81"/>
      <x:c r="N352" s="81"/>
      <x:c r="O352" s="81"/>
      <x:c r="P352" s="81"/>
      <x:c r="Q352" s="81"/>
      <x:c r="R352" s="81"/>
      <x:c r="S352" s="81"/>
      <x:c r="T352" s="81"/>
      <x:c r="U352" s="81"/>
      <x:c r="V352" s="81"/>
      <x:c r="W352" s="81"/>
      <x:c r="X352" s="81"/>
      <x:c r="Y352" s="81"/>
      <x:c r="Z352" s="81"/>
    </x:row>
    <x:row r="353">
      <x:c r="A353" s="81"/>
      <x:c r="B353" s="81"/>
      <x:c r="C353" s="81"/>
      <x:c r="D353" s="81"/>
      <x:c r="E353" s="81"/>
      <x:c r="F353" s="81"/>
      <x:c r="G353" s="81"/>
      <x:c r="H353" s="81"/>
      <x:c r="I353" s="81"/>
      <x:c r="J353" s="81"/>
      <x:c r="K353" s="81"/>
      <x:c r="L353" s="81"/>
      <x:c r="M353" s="81"/>
      <x:c r="N353" s="81"/>
      <x:c r="O353" s="81"/>
      <x:c r="P353" s="81"/>
      <x:c r="Q353" s="81"/>
      <x:c r="R353" s="81"/>
      <x:c r="S353" s="81"/>
      <x:c r="T353" s="81"/>
      <x:c r="U353" s="81"/>
      <x:c r="V353" s="81"/>
      <x:c r="W353" s="81"/>
      <x:c r="X353" s="81"/>
      <x:c r="Y353" s="81"/>
      <x:c r="Z353" s="81"/>
    </x:row>
    <x:row r="354">
      <x:c r="A354" s="81"/>
      <x:c r="B354" s="81"/>
      <x:c r="C354" s="81"/>
      <x:c r="D354" s="81"/>
      <x:c r="E354" s="81"/>
      <x:c r="F354" s="81"/>
      <x:c r="G354" s="81"/>
      <x:c r="H354" s="81"/>
      <x:c r="I354" s="81"/>
      <x:c r="J354" s="81"/>
      <x:c r="K354" s="81"/>
      <x:c r="L354" s="81"/>
      <x:c r="M354" s="81"/>
      <x:c r="N354" s="81"/>
      <x:c r="O354" s="81"/>
      <x:c r="P354" s="81"/>
      <x:c r="Q354" s="81"/>
      <x:c r="R354" s="81"/>
      <x:c r="S354" s="81"/>
      <x:c r="T354" s="81"/>
      <x:c r="U354" s="81"/>
      <x:c r="V354" s="81"/>
      <x:c r="W354" s="81"/>
      <x:c r="X354" s="81"/>
      <x:c r="Y354" s="81"/>
      <x:c r="Z354" s="81"/>
    </x:row>
    <x:row r="355">
      <x:c r="A355" s="81"/>
      <x:c r="B355" s="81"/>
      <x:c r="C355" s="81"/>
      <x:c r="D355" s="81"/>
      <x:c r="E355" s="81"/>
      <x:c r="F355" s="81"/>
      <x:c r="G355" s="81"/>
      <x:c r="H355" s="81"/>
      <x:c r="I355" s="81"/>
      <x:c r="J355" s="81"/>
      <x:c r="K355" s="81"/>
      <x:c r="L355" s="81"/>
      <x:c r="M355" s="81"/>
      <x:c r="N355" s="81"/>
      <x:c r="O355" s="81"/>
      <x:c r="P355" s="81"/>
      <x:c r="Q355" s="81"/>
      <x:c r="R355" s="81"/>
      <x:c r="S355" s="81"/>
      <x:c r="T355" s="81"/>
      <x:c r="U355" s="81"/>
      <x:c r="V355" s="81"/>
      <x:c r="W355" s="81"/>
      <x:c r="X355" s="81"/>
      <x:c r="Y355" s="81"/>
      <x:c r="Z355" s="81"/>
    </x:row>
    <x:row r="356">
      <x:c r="A356" s="81"/>
      <x:c r="B356" s="81"/>
      <x:c r="C356" s="81"/>
      <x:c r="D356" s="81"/>
      <x:c r="E356" s="81"/>
      <x:c r="F356" s="81"/>
      <x:c r="G356" s="81"/>
      <x:c r="H356" s="81"/>
      <x:c r="I356" s="81"/>
      <x:c r="J356" s="81"/>
      <x:c r="K356" s="81"/>
      <x:c r="L356" s="81"/>
      <x:c r="M356" s="81"/>
      <x:c r="N356" s="81"/>
      <x:c r="O356" s="81"/>
      <x:c r="P356" s="81"/>
      <x:c r="Q356" s="81"/>
      <x:c r="R356" s="81"/>
      <x:c r="S356" s="81"/>
      <x:c r="T356" s="81"/>
      <x:c r="U356" s="81"/>
      <x:c r="V356" s="81"/>
      <x:c r="W356" s="81"/>
      <x:c r="X356" s="81"/>
      <x:c r="Y356" s="81"/>
      <x:c r="Z356" s="81"/>
    </x:row>
    <x:row r="357">
      <x:c r="A357" s="81"/>
      <x:c r="B357" s="81"/>
      <x:c r="C357" s="81"/>
      <x:c r="D357" s="81"/>
      <x:c r="E357" s="81"/>
      <x:c r="F357" s="81"/>
      <x:c r="G357" s="81"/>
      <x:c r="H357" s="81"/>
      <x:c r="I357" s="81"/>
      <x:c r="J357" s="81"/>
      <x:c r="K357" s="81"/>
      <x:c r="L357" s="81"/>
      <x:c r="M357" s="81"/>
      <x:c r="N357" s="81"/>
      <x:c r="O357" s="81"/>
      <x:c r="P357" s="81"/>
      <x:c r="Q357" s="81"/>
      <x:c r="R357" s="81"/>
      <x:c r="S357" s="81"/>
      <x:c r="T357" s="81"/>
      <x:c r="U357" s="81"/>
      <x:c r="V357" s="81"/>
      <x:c r="W357" s="81"/>
      <x:c r="X357" s="81"/>
      <x:c r="Y357" s="81"/>
      <x:c r="Z357" s="81"/>
    </x:row>
    <x:row r="358">
      <x:c r="A358" s="81"/>
      <x:c r="B358" s="81"/>
      <x:c r="C358" s="81"/>
      <x:c r="D358" s="81"/>
      <x:c r="E358" s="81"/>
      <x:c r="F358" s="81"/>
      <x:c r="G358" s="81"/>
      <x:c r="H358" s="81"/>
      <x:c r="I358" s="81"/>
      <x:c r="J358" s="81"/>
      <x:c r="K358" s="81"/>
      <x:c r="L358" s="81"/>
      <x:c r="M358" s="81"/>
      <x:c r="N358" s="81"/>
      <x:c r="O358" s="81"/>
      <x:c r="P358" s="81"/>
      <x:c r="Q358" s="81"/>
      <x:c r="R358" s="81"/>
      <x:c r="S358" s="81"/>
      <x:c r="T358" s="81"/>
      <x:c r="U358" s="81"/>
      <x:c r="V358" s="81"/>
      <x:c r="W358" s="81"/>
      <x:c r="X358" s="81"/>
      <x:c r="Y358" s="81"/>
      <x:c r="Z358" s="81"/>
    </x:row>
    <x:row r="359">
      <x:c r="A359" s="81"/>
      <x:c r="B359" s="81"/>
      <x:c r="C359" s="81"/>
      <x:c r="D359" s="81"/>
      <x:c r="E359" s="81"/>
      <x:c r="F359" s="81"/>
      <x:c r="G359" s="81"/>
      <x:c r="H359" s="81"/>
      <x:c r="I359" s="81"/>
      <x:c r="J359" s="81"/>
      <x:c r="K359" s="81"/>
      <x:c r="L359" s="81"/>
      <x:c r="M359" s="81"/>
      <x:c r="N359" s="81"/>
      <x:c r="O359" s="81"/>
      <x:c r="P359" s="81"/>
      <x:c r="Q359" s="81"/>
      <x:c r="R359" s="81"/>
      <x:c r="S359" s="81"/>
      <x:c r="T359" s="81"/>
      <x:c r="U359" s="81"/>
      <x:c r="V359" s="81"/>
      <x:c r="W359" s="81"/>
      <x:c r="X359" s="81"/>
      <x:c r="Y359" s="81"/>
      <x:c r="Z359" s="81"/>
    </x:row>
    <x:row r="360">
      <x:c r="A360" s="81"/>
      <x:c r="B360" s="81"/>
      <x:c r="C360" s="81"/>
      <x:c r="D360" s="81"/>
      <x:c r="E360" s="81"/>
      <x:c r="F360" s="81"/>
      <x:c r="G360" s="81"/>
      <x:c r="H360" s="81"/>
      <x:c r="I360" s="81"/>
      <x:c r="J360" s="81"/>
      <x:c r="K360" s="81"/>
      <x:c r="L360" s="81"/>
      <x:c r="M360" s="81"/>
      <x:c r="N360" s="81"/>
      <x:c r="O360" s="81"/>
      <x:c r="P360" s="81"/>
      <x:c r="Q360" s="81"/>
      <x:c r="R360" s="81"/>
      <x:c r="S360" s="81"/>
      <x:c r="T360" s="81"/>
      <x:c r="U360" s="81"/>
      <x:c r="V360" s="81"/>
      <x:c r="W360" s="81"/>
      <x:c r="X360" s="81"/>
      <x:c r="Y360" s="81"/>
      <x:c r="Z360" s="81"/>
    </x:row>
    <x:row r="361">
      <x:c r="A361" s="81"/>
      <x:c r="B361" s="81"/>
      <x:c r="C361" s="81"/>
      <x:c r="D361" s="81"/>
      <x:c r="E361" s="81"/>
      <x:c r="F361" s="81"/>
      <x:c r="G361" s="81"/>
      <x:c r="H361" s="81"/>
      <x:c r="I361" s="81"/>
      <x:c r="J361" s="81"/>
      <x:c r="K361" s="81"/>
      <x:c r="L361" s="81"/>
      <x:c r="M361" s="81"/>
      <x:c r="N361" s="81"/>
      <x:c r="O361" s="81"/>
      <x:c r="P361" s="81"/>
      <x:c r="Q361" s="81"/>
      <x:c r="R361" s="81"/>
      <x:c r="S361" s="81"/>
      <x:c r="T361" s="81"/>
      <x:c r="U361" s="81"/>
      <x:c r="V361" s="81"/>
      <x:c r="W361" s="81"/>
      <x:c r="X361" s="81"/>
      <x:c r="Y361" s="81"/>
      <x:c r="Z361" s="81"/>
    </x:row>
    <x:row r="362">
      <x:c r="A362" s="81"/>
      <x:c r="B362" s="81"/>
      <x:c r="C362" s="81"/>
      <x:c r="D362" s="81"/>
      <x:c r="E362" s="81"/>
      <x:c r="F362" s="81"/>
      <x:c r="G362" s="81"/>
      <x:c r="H362" s="81"/>
      <x:c r="I362" s="81"/>
      <x:c r="J362" s="81"/>
      <x:c r="K362" s="81"/>
      <x:c r="L362" s="81"/>
      <x:c r="M362" s="81"/>
      <x:c r="N362" s="81"/>
      <x:c r="O362" s="81"/>
      <x:c r="P362" s="81"/>
      <x:c r="Q362" s="81"/>
      <x:c r="R362" s="81"/>
      <x:c r="S362" s="81"/>
      <x:c r="T362" s="81"/>
      <x:c r="U362" s="81"/>
      <x:c r="V362" s="81"/>
      <x:c r="W362" s="81"/>
      <x:c r="X362" s="81"/>
      <x:c r="Y362" s="81"/>
      <x:c r="Z362" s="81"/>
    </x:row>
    <x:row r="363">
      <x:c r="A363" s="81"/>
      <x:c r="B363" s="81"/>
      <x:c r="C363" s="81"/>
      <x:c r="D363" s="81"/>
      <x:c r="E363" s="81"/>
      <x:c r="F363" s="81"/>
      <x:c r="G363" s="81"/>
      <x:c r="H363" s="81"/>
      <x:c r="I363" s="81"/>
      <x:c r="J363" s="81"/>
      <x:c r="K363" s="81"/>
      <x:c r="L363" s="81"/>
      <x:c r="M363" s="81"/>
      <x:c r="N363" s="81"/>
      <x:c r="O363" s="81"/>
      <x:c r="P363" s="81"/>
      <x:c r="Q363" s="81"/>
      <x:c r="R363" s="81"/>
      <x:c r="S363" s="81"/>
      <x:c r="T363" s="81"/>
      <x:c r="U363" s="81"/>
      <x:c r="V363" s="81"/>
      <x:c r="W363" s="81"/>
      <x:c r="X363" s="81"/>
      <x:c r="Y363" s="81"/>
      <x:c r="Z363" s="81"/>
    </x:row>
    <x:row r="364">
      <x:c r="A364" s="81"/>
      <x:c r="B364" s="81"/>
      <x:c r="C364" s="81"/>
      <x:c r="D364" s="81"/>
      <x:c r="E364" s="81"/>
      <x:c r="F364" s="81"/>
      <x:c r="G364" s="81"/>
      <x:c r="H364" s="81"/>
      <x:c r="I364" s="81"/>
      <x:c r="J364" s="81"/>
      <x:c r="K364" s="81"/>
      <x:c r="L364" s="81"/>
      <x:c r="M364" s="81"/>
      <x:c r="N364" s="81"/>
      <x:c r="O364" s="81"/>
      <x:c r="P364" s="81"/>
      <x:c r="Q364" s="81"/>
      <x:c r="R364" s="81"/>
      <x:c r="S364" s="81"/>
      <x:c r="T364" s="81"/>
      <x:c r="U364" s="81"/>
      <x:c r="V364" s="81"/>
      <x:c r="W364" s="81"/>
      <x:c r="X364" s="81"/>
      <x:c r="Y364" s="81"/>
      <x:c r="Z364" s="81"/>
    </x:row>
    <x:row r="365">
      <x:c r="A365" s="81"/>
      <x:c r="B365" s="81"/>
      <x:c r="C365" s="81"/>
      <x:c r="D365" s="81"/>
      <x:c r="E365" s="81"/>
      <x:c r="F365" s="81"/>
      <x:c r="G365" s="81"/>
      <x:c r="H365" s="81"/>
      <x:c r="I365" s="81"/>
      <x:c r="J365" s="81"/>
      <x:c r="K365" s="81"/>
      <x:c r="L365" s="81"/>
      <x:c r="M365" s="81"/>
      <x:c r="N365" s="81"/>
      <x:c r="O365" s="81"/>
      <x:c r="P365" s="81"/>
      <x:c r="Q365" s="81"/>
      <x:c r="R365" s="81"/>
      <x:c r="S365" s="81"/>
      <x:c r="T365" s="81"/>
      <x:c r="U365" s="81"/>
      <x:c r="V365" s="81"/>
      <x:c r="W365" s="81"/>
      <x:c r="X365" s="81"/>
      <x:c r="Y365" s="81"/>
      <x:c r="Z365" s="81"/>
    </x:row>
    <x:row r="366">
      <x:c r="A366" s="81"/>
      <x:c r="B366" s="81"/>
      <x:c r="C366" s="81"/>
      <x:c r="D366" s="81"/>
      <x:c r="E366" s="81"/>
      <x:c r="F366" s="81"/>
      <x:c r="G366" s="81"/>
      <x:c r="H366" s="81"/>
      <x:c r="I366" s="81"/>
      <x:c r="J366" s="81"/>
      <x:c r="K366" s="81"/>
      <x:c r="L366" s="81"/>
      <x:c r="M366" s="81"/>
      <x:c r="N366" s="81"/>
      <x:c r="O366" s="81"/>
      <x:c r="P366" s="81"/>
      <x:c r="Q366" s="81"/>
      <x:c r="R366" s="81"/>
      <x:c r="S366" s="81"/>
      <x:c r="T366" s="81"/>
      <x:c r="U366" s="81"/>
      <x:c r="V366" s="81"/>
      <x:c r="W366" s="81"/>
      <x:c r="X366" s="81"/>
      <x:c r="Y366" s="81"/>
      <x:c r="Z366" s="81"/>
    </x:row>
    <x:row r="367">
      <x:c r="A367" s="81"/>
      <x:c r="B367" s="81"/>
      <x:c r="C367" s="81"/>
      <x:c r="D367" s="81"/>
      <x:c r="E367" s="81"/>
      <x:c r="F367" s="81"/>
      <x:c r="G367" s="81"/>
      <x:c r="H367" s="81"/>
      <x:c r="I367" s="81"/>
      <x:c r="J367" s="81"/>
      <x:c r="K367" s="81"/>
      <x:c r="L367" s="81"/>
      <x:c r="M367" s="81"/>
      <x:c r="N367" s="81"/>
      <x:c r="O367" s="81"/>
      <x:c r="P367" s="81"/>
      <x:c r="Q367" s="81"/>
      <x:c r="R367" s="81"/>
      <x:c r="S367" s="81"/>
      <x:c r="T367" s="81"/>
      <x:c r="U367" s="81"/>
      <x:c r="V367" s="81"/>
      <x:c r="W367" s="81"/>
      <x:c r="X367" s="81"/>
      <x:c r="Y367" s="81"/>
      <x:c r="Z367" s="81"/>
    </x:row>
    <x:row r="368">
      <x:c r="A368" s="81"/>
      <x:c r="B368" s="81"/>
      <x:c r="C368" s="81"/>
      <x:c r="D368" s="81"/>
      <x:c r="E368" s="81"/>
      <x:c r="F368" s="81"/>
      <x:c r="G368" s="81"/>
      <x:c r="H368" s="81"/>
      <x:c r="I368" s="81"/>
      <x:c r="J368" s="81"/>
      <x:c r="K368" s="81"/>
      <x:c r="L368" s="81"/>
      <x:c r="M368" s="81"/>
      <x:c r="N368" s="81"/>
      <x:c r="O368" s="81"/>
      <x:c r="P368" s="81"/>
      <x:c r="Q368" s="81"/>
      <x:c r="R368" s="81"/>
      <x:c r="S368" s="81"/>
      <x:c r="T368" s="81"/>
      <x:c r="U368" s="81"/>
      <x:c r="V368" s="81"/>
      <x:c r="W368" s="81"/>
      <x:c r="X368" s="81"/>
      <x:c r="Y368" s="81"/>
      <x:c r="Z368" s="81"/>
    </x:row>
    <x:row r="369">
      <x:c r="A369" s="81"/>
      <x:c r="B369" s="81"/>
      <x:c r="C369" s="81"/>
      <x:c r="D369" s="81"/>
      <x:c r="E369" s="81"/>
      <x:c r="F369" s="81"/>
      <x:c r="G369" s="81"/>
      <x:c r="H369" s="81"/>
      <x:c r="I369" s="81"/>
      <x:c r="J369" s="81"/>
      <x:c r="K369" s="81"/>
      <x:c r="L369" s="81"/>
      <x:c r="M369" s="81"/>
      <x:c r="N369" s="81"/>
      <x:c r="O369" s="81"/>
      <x:c r="P369" s="81"/>
      <x:c r="Q369" s="81"/>
      <x:c r="R369" s="81"/>
      <x:c r="S369" s="81"/>
      <x:c r="T369" s="81"/>
      <x:c r="U369" s="81"/>
      <x:c r="V369" s="81"/>
      <x:c r="W369" s="81"/>
      <x:c r="X369" s="81"/>
      <x:c r="Y369" s="81"/>
      <x:c r="Z369" s="81"/>
    </x:row>
    <x:row r="370">
      <x:c r="A370" s="81"/>
      <x:c r="B370" s="81"/>
      <x:c r="C370" s="81"/>
      <x:c r="D370" s="81"/>
      <x:c r="E370" s="81"/>
      <x:c r="F370" s="81"/>
      <x:c r="G370" s="81"/>
      <x:c r="H370" s="81"/>
      <x:c r="I370" s="81"/>
      <x:c r="J370" s="81"/>
      <x:c r="K370" s="81"/>
      <x:c r="L370" s="81"/>
      <x:c r="M370" s="81"/>
      <x:c r="N370" s="81"/>
      <x:c r="O370" s="81"/>
      <x:c r="P370" s="81"/>
      <x:c r="Q370" s="81"/>
      <x:c r="R370" s="81"/>
      <x:c r="S370" s="81"/>
      <x:c r="T370" s="81"/>
      <x:c r="U370" s="81"/>
      <x:c r="V370" s="81"/>
      <x:c r="W370" s="81"/>
      <x:c r="X370" s="81"/>
      <x:c r="Y370" s="81"/>
      <x:c r="Z370" s="81"/>
    </x:row>
    <x:row r="371">
      <x:c r="A371" s="81"/>
      <x:c r="B371" s="81"/>
      <x:c r="C371" s="81"/>
      <x:c r="D371" s="81"/>
      <x:c r="E371" s="81"/>
      <x:c r="F371" s="81"/>
      <x:c r="G371" s="81"/>
      <x:c r="H371" s="81"/>
      <x:c r="I371" s="81"/>
      <x:c r="J371" s="81"/>
      <x:c r="K371" s="81"/>
      <x:c r="L371" s="81"/>
      <x:c r="M371" s="81"/>
      <x:c r="N371" s="81"/>
      <x:c r="O371" s="81"/>
      <x:c r="P371" s="81"/>
      <x:c r="Q371" s="81"/>
      <x:c r="R371" s="81"/>
      <x:c r="S371" s="81"/>
      <x:c r="T371" s="81"/>
      <x:c r="U371" s="81"/>
      <x:c r="V371" s="81"/>
      <x:c r="W371" s="81"/>
      <x:c r="X371" s="81"/>
      <x:c r="Y371" s="81"/>
      <x:c r="Z371" s="81"/>
    </x:row>
    <x:row r="372">
      <x:c r="A372" s="81"/>
      <x:c r="B372" s="81"/>
      <x:c r="C372" s="81"/>
      <x:c r="D372" s="81"/>
      <x:c r="E372" s="81"/>
      <x:c r="F372" s="81"/>
      <x:c r="G372" s="81"/>
      <x:c r="H372" s="81"/>
      <x:c r="I372" s="81"/>
      <x:c r="J372" s="81"/>
      <x:c r="K372" s="81"/>
      <x:c r="L372" s="81"/>
      <x:c r="M372" s="81"/>
      <x:c r="N372" s="81"/>
      <x:c r="O372" s="81"/>
      <x:c r="P372" s="81"/>
      <x:c r="Q372" s="81"/>
      <x:c r="R372" s="81"/>
      <x:c r="S372" s="81"/>
      <x:c r="T372" s="81"/>
      <x:c r="U372" s="81"/>
      <x:c r="V372" s="81"/>
      <x:c r="W372" s="81"/>
      <x:c r="X372" s="81"/>
      <x:c r="Y372" s="81"/>
      <x:c r="Z372" s="81"/>
    </x:row>
    <x:row r="373">
      <x:c r="A373" s="81"/>
      <x:c r="B373" s="81"/>
      <x:c r="C373" s="81"/>
      <x:c r="D373" s="81"/>
      <x:c r="E373" s="81"/>
      <x:c r="F373" s="81"/>
      <x:c r="G373" s="81"/>
      <x:c r="H373" s="81"/>
      <x:c r="I373" s="81"/>
      <x:c r="J373" s="81"/>
      <x:c r="K373" s="81"/>
      <x:c r="L373" s="81"/>
      <x:c r="M373" s="81"/>
      <x:c r="N373" s="81"/>
      <x:c r="O373" s="81"/>
      <x:c r="P373" s="81"/>
      <x:c r="Q373" s="81"/>
      <x:c r="R373" s="81"/>
      <x:c r="S373" s="81"/>
      <x:c r="T373" s="81"/>
      <x:c r="U373" s="81"/>
      <x:c r="V373" s="81"/>
      <x:c r="W373" s="81"/>
      <x:c r="X373" s="81"/>
      <x:c r="Y373" s="81"/>
      <x:c r="Z373" s="81"/>
    </x:row>
    <x:row r="374">
      <x:c r="A374" s="81"/>
      <x:c r="B374" s="81"/>
      <x:c r="C374" s="81"/>
      <x:c r="D374" s="81"/>
      <x:c r="E374" s="81"/>
      <x:c r="F374" s="81"/>
      <x:c r="G374" s="81"/>
      <x:c r="H374" s="81"/>
      <x:c r="I374" s="81"/>
      <x:c r="J374" s="81"/>
      <x:c r="K374" s="81"/>
      <x:c r="L374" s="81"/>
      <x:c r="M374" s="81"/>
      <x:c r="N374" s="81"/>
      <x:c r="O374" s="81"/>
      <x:c r="P374" s="81"/>
      <x:c r="Q374" s="81"/>
      <x:c r="R374" s="81"/>
      <x:c r="S374" s="81"/>
      <x:c r="T374" s="81"/>
      <x:c r="U374" s="81"/>
      <x:c r="V374" s="81"/>
      <x:c r="W374" s="81"/>
      <x:c r="X374" s="81"/>
      <x:c r="Y374" s="81"/>
      <x:c r="Z374" s="81"/>
    </x:row>
    <x:row r="375">
      <x:c r="A375" s="81"/>
      <x:c r="B375" s="81"/>
      <x:c r="C375" s="81"/>
      <x:c r="D375" s="81"/>
      <x:c r="E375" s="81"/>
      <x:c r="F375" s="81"/>
      <x:c r="G375" s="81"/>
      <x:c r="H375" s="81"/>
      <x:c r="I375" s="81"/>
      <x:c r="J375" s="81"/>
      <x:c r="K375" s="81"/>
      <x:c r="L375" s="81"/>
      <x:c r="M375" s="81"/>
      <x:c r="N375" s="81"/>
      <x:c r="O375" s="81"/>
      <x:c r="P375" s="81"/>
      <x:c r="Q375" s="81"/>
      <x:c r="R375" s="81"/>
      <x:c r="S375" s="81"/>
      <x:c r="T375" s="81"/>
      <x:c r="U375" s="81"/>
      <x:c r="V375" s="81"/>
      <x:c r="W375" s="81"/>
      <x:c r="X375" s="81"/>
      <x:c r="Y375" s="81"/>
      <x:c r="Z375" s="81"/>
    </x:row>
    <x:row r="376">
      <x:c r="A376" s="81"/>
      <x:c r="B376" s="81"/>
      <x:c r="C376" s="81"/>
      <x:c r="D376" s="81"/>
      <x:c r="E376" s="81"/>
      <x:c r="F376" s="81"/>
      <x:c r="G376" s="81"/>
      <x:c r="H376" s="81"/>
      <x:c r="I376" s="81"/>
      <x:c r="J376" s="81"/>
      <x:c r="K376" s="81"/>
      <x:c r="L376" s="81"/>
      <x:c r="M376" s="81"/>
      <x:c r="N376" s="81"/>
      <x:c r="O376" s="81"/>
      <x:c r="P376" s="81"/>
      <x:c r="Q376" s="81"/>
      <x:c r="R376" s="81"/>
      <x:c r="S376" s="81"/>
      <x:c r="T376" s="81"/>
      <x:c r="U376" s="81"/>
      <x:c r="V376" s="81"/>
      <x:c r="W376" s="81"/>
      <x:c r="X376" s="81"/>
      <x:c r="Y376" s="81"/>
      <x:c r="Z376" s="81"/>
    </x:row>
    <x:row r="377">
      <x:c r="A377" s="81"/>
      <x:c r="B377" s="81"/>
      <x:c r="C377" s="81"/>
      <x:c r="D377" s="81"/>
      <x:c r="E377" s="81"/>
      <x:c r="F377" s="81"/>
      <x:c r="G377" s="81"/>
      <x:c r="H377" s="81"/>
      <x:c r="I377" s="81"/>
      <x:c r="J377" s="81"/>
      <x:c r="K377" s="81"/>
      <x:c r="L377" s="81"/>
      <x:c r="M377" s="81"/>
      <x:c r="N377" s="81"/>
      <x:c r="O377" s="81"/>
      <x:c r="P377" s="81"/>
      <x:c r="Q377" s="81"/>
      <x:c r="R377" s="81"/>
      <x:c r="S377" s="81"/>
      <x:c r="T377" s="81"/>
      <x:c r="U377" s="81"/>
      <x:c r="V377" s="81"/>
      <x:c r="W377" s="81"/>
      <x:c r="X377" s="81"/>
      <x:c r="Y377" s="81"/>
      <x:c r="Z377" s="81"/>
    </x:row>
    <x:row r="378">
      <x:c r="A378" s="81"/>
      <x:c r="B378" s="81"/>
      <x:c r="C378" s="81"/>
      <x:c r="D378" s="81"/>
      <x:c r="E378" s="81"/>
      <x:c r="F378" s="81"/>
      <x:c r="G378" s="81"/>
      <x:c r="H378" s="81"/>
      <x:c r="I378" s="81"/>
      <x:c r="J378" s="81"/>
      <x:c r="K378" s="81"/>
      <x:c r="L378" s="81"/>
      <x:c r="M378" s="81"/>
      <x:c r="N378" s="81"/>
      <x:c r="O378" s="81"/>
      <x:c r="P378" s="81"/>
      <x:c r="Q378" s="81"/>
      <x:c r="R378" s="81"/>
      <x:c r="S378" s="81"/>
      <x:c r="T378" s="81"/>
      <x:c r="U378" s="81"/>
      <x:c r="V378" s="81"/>
      <x:c r="W378" s="81"/>
      <x:c r="X378" s="81"/>
      <x:c r="Y378" s="81"/>
      <x:c r="Z378" s="81"/>
    </x:row>
    <x:row r="379">
      <x:c r="A379" s="81"/>
      <x:c r="B379" s="81"/>
      <x:c r="C379" s="81"/>
      <x:c r="D379" s="81"/>
      <x:c r="E379" s="81"/>
      <x:c r="F379" s="81"/>
      <x:c r="G379" s="81"/>
      <x:c r="H379" s="81"/>
      <x:c r="I379" s="81"/>
      <x:c r="J379" s="81"/>
      <x:c r="K379" s="81"/>
      <x:c r="L379" s="81"/>
      <x:c r="M379" s="81"/>
      <x:c r="N379" s="81"/>
      <x:c r="O379" s="81"/>
      <x:c r="P379" s="81"/>
      <x:c r="Q379" s="81"/>
      <x:c r="R379" s="81"/>
      <x:c r="S379" s="81"/>
      <x:c r="T379" s="81"/>
      <x:c r="U379" s="81"/>
      <x:c r="V379" s="81"/>
      <x:c r="W379" s="81"/>
      <x:c r="X379" s="81"/>
      <x:c r="Y379" s="81"/>
      <x:c r="Z379" s="81"/>
    </x:row>
    <x:row r="380">
      <x:c r="A380" s="81"/>
      <x:c r="B380" s="81"/>
      <x:c r="C380" s="81"/>
      <x:c r="D380" s="81"/>
      <x:c r="E380" s="81"/>
      <x:c r="F380" s="81"/>
      <x:c r="G380" s="81"/>
      <x:c r="H380" s="81"/>
      <x:c r="I380" s="81"/>
      <x:c r="J380" s="81"/>
      <x:c r="K380" s="81"/>
      <x:c r="L380" s="81"/>
      <x:c r="M380" s="81"/>
      <x:c r="N380" s="81"/>
      <x:c r="O380" s="81"/>
      <x:c r="P380" s="81"/>
      <x:c r="Q380" s="81"/>
      <x:c r="R380" s="81"/>
      <x:c r="S380" s="81"/>
      <x:c r="T380" s="81"/>
      <x:c r="U380" s="81"/>
      <x:c r="V380" s="81"/>
      <x:c r="W380" s="81"/>
      <x:c r="X380" s="81"/>
      <x:c r="Y380" s="81"/>
      <x:c r="Z380" s="81"/>
    </x:row>
    <x:row r="381">
      <x:c r="A381" s="81"/>
      <x:c r="B381" s="81"/>
      <x:c r="C381" s="81"/>
      <x:c r="D381" s="81"/>
      <x:c r="E381" s="81"/>
      <x:c r="F381" s="81"/>
      <x:c r="G381" s="81"/>
      <x:c r="H381" s="81"/>
      <x:c r="I381" s="81"/>
      <x:c r="J381" s="81"/>
      <x:c r="K381" s="81"/>
      <x:c r="L381" s="81"/>
      <x:c r="M381" s="81"/>
      <x:c r="N381" s="81"/>
      <x:c r="O381" s="81"/>
      <x:c r="P381" s="81"/>
      <x:c r="Q381" s="81"/>
      <x:c r="R381" s="81"/>
      <x:c r="S381" s="81"/>
      <x:c r="T381" s="81"/>
      <x:c r="U381" s="81"/>
      <x:c r="V381" s="81"/>
      <x:c r="W381" s="81"/>
      <x:c r="X381" s="81"/>
      <x:c r="Y381" s="81"/>
      <x:c r="Z381" s="81"/>
    </x:row>
    <x:row r="382">
      <x:c r="A382" s="81"/>
      <x:c r="B382" s="81"/>
      <x:c r="C382" s="81"/>
      <x:c r="D382" s="81"/>
      <x:c r="E382" s="81"/>
      <x:c r="F382" s="81"/>
      <x:c r="G382" s="81"/>
      <x:c r="H382" s="81"/>
      <x:c r="I382" s="81"/>
      <x:c r="J382" s="81"/>
      <x:c r="K382" s="81"/>
      <x:c r="L382" s="81"/>
      <x:c r="M382" s="81"/>
      <x:c r="N382" s="81"/>
      <x:c r="O382" s="81"/>
      <x:c r="P382" s="81"/>
      <x:c r="Q382" s="81"/>
      <x:c r="R382" s="81"/>
      <x:c r="S382" s="81"/>
      <x:c r="T382" s="81"/>
      <x:c r="U382" s="81"/>
      <x:c r="V382" s="81"/>
      <x:c r="W382" s="81"/>
      <x:c r="X382" s="81"/>
      <x:c r="Y382" s="81"/>
      <x:c r="Z382" s="81"/>
    </x:row>
    <x:row r="383">
      <x:c r="A383" s="81"/>
      <x:c r="B383" s="81"/>
      <x:c r="C383" s="81"/>
      <x:c r="D383" s="81"/>
      <x:c r="E383" s="81"/>
      <x:c r="F383" s="81"/>
      <x:c r="G383" s="81"/>
      <x:c r="H383" s="81"/>
      <x:c r="I383" s="81"/>
      <x:c r="J383" s="81"/>
      <x:c r="K383" s="81"/>
      <x:c r="L383" s="81"/>
      <x:c r="M383" s="81"/>
      <x:c r="N383" s="81"/>
      <x:c r="O383" s="81"/>
      <x:c r="P383" s="81"/>
      <x:c r="Q383" s="81"/>
      <x:c r="R383" s="81"/>
      <x:c r="S383" s="81"/>
      <x:c r="T383" s="81"/>
      <x:c r="U383" s="81"/>
      <x:c r="V383" s="81"/>
      <x:c r="W383" s="81"/>
      <x:c r="X383" s="81"/>
      <x:c r="Y383" s="81"/>
      <x:c r="Z383" s="81"/>
    </x:row>
    <x:row r="384">
      <x:c r="A384" s="81"/>
      <x:c r="B384" s="81"/>
      <x:c r="C384" s="81"/>
      <x:c r="D384" s="81"/>
      <x:c r="E384" s="81"/>
      <x:c r="F384" s="81"/>
      <x:c r="G384" s="81"/>
      <x:c r="H384" s="81"/>
      <x:c r="I384" s="81"/>
      <x:c r="J384" s="81"/>
      <x:c r="K384" s="81"/>
      <x:c r="L384" s="81"/>
      <x:c r="M384" s="81"/>
      <x:c r="N384" s="81"/>
      <x:c r="O384" s="81"/>
      <x:c r="P384" s="81"/>
      <x:c r="Q384" s="81"/>
      <x:c r="R384" s="81"/>
      <x:c r="S384" s="81"/>
      <x:c r="T384" s="81"/>
      <x:c r="U384" s="81"/>
      <x:c r="V384" s="81"/>
      <x:c r="W384" s="81"/>
      <x:c r="X384" s="81"/>
      <x:c r="Y384" s="81"/>
      <x:c r="Z384" s="81"/>
    </x:row>
    <x:row r="385">
      <x:c r="A385" s="81"/>
      <x:c r="B385" s="81"/>
      <x:c r="C385" s="81"/>
      <x:c r="D385" s="81"/>
      <x:c r="E385" s="81"/>
      <x:c r="F385" s="81"/>
      <x:c r="G385" s="81"/>
      <x:c r="H385" s="81"/>
      <x:c r="I385" s="81"/>
      <x:c r="J385" s="81"/>
      <x:c r="K385" s="81"/>
      <x:c r="L385" s="81"/>
      <x:c r="M385" s="81"/>
      <x:c r="N385" s="81"/>
      <x:c r="O385" s="81"/>
      <x:c r="P385" s="81"/>
      <x:c r="Q385" s="81"/>
      <x:c r="R385" s="81"/>
      <x:c r="S385" s="81"/>
      <x:c r="T385" s="81"/>
      <x:c r="U385" s="81"/>
      <x:c r="V385" s="81"/>
      <x:c r="W385" s="81"/>
      <x:c r="X385" s="81"/>
      <x:c r="Y385" s="81"/>
      <x:c r="Z385" s="81"/>
    </x:row>
    <x:row r="386">
      <x:c r="A386" s="81"/>
      <x:c r="B386" s="81"/>
      <x:c r="C386" s="81"/>
      <x:c r="D386" s="81"/>
      <x:c r="E386" s="81"/>
      <x:c r="F386" s="81"/>
      <x:c r="G386" s="81"/>
      <x:c r="H386" s="81"/>
      <x:c r="I386" s="81"/>
      <x:c r="J386" s="81"/>
      <x:c r="K386" s="81"/>
      <x:c r="L386" s="81"/>
      <x:c r="M386" s="81"/>
      <x:c r="N386" s="81"/>
      <x:c r="O386" s="81"/>
      <x:c r="P386" s="81"/>
      <x:c r="Q386" s="81"/>
      <x:c r="R386" s="81"/>
      <x:c r="S386" s="81"/>
      <x:c r="T386" s="81"/>
      <x:c r="U386" s="81"/>
      <x:c r="V386" s="81"/>
      <x:c r="W386" s="81"/>
      <x:c r="X386" s="81"/>
      <x:c r="Y386" s="81"/>
      <x:c r="Z386" s="81"/>
    </x:row>
    <x:row r="387">
      <x:c r="A387" s="81"/>
      <x:c r="B387" s="81"/>
      <x:c r="C387" s="81"/>
      <x:c r="D387" s="81"/>
      <x:c r="E387" s="81"/>
      <x:c r="F387" s="81"/>
      <x:c r="G387" s="81"/>
      <x:c r="H387" s="81"/>
      <x:c r="I387" s="81"/>
      <x:c r="J387" s="81"/>
      <x:c r="K387" s="81"/>
      <x:c r="L387" s="81"/>
      <x:c r="M387" s="81"/>
      <x:c r="N387" s="81"/>
      <x:c r="O387" s="81"/>
      <x:c r="P387" s="81"/>
      <x:c r="Q387" s="81"/>
      <x:c r="R387" s="81"/>
      <x:c r="S387" s="81"/>
      <x:c r="T387" s="81"/>
      <x:c r="U387" s="81"/>
      <x:c r="V387" s="81"/>
      <x:c r="W387" s="81"/>
      <x:c r="X387" s="81"/>
      <x:c r="Y387" s="81"/>
      <x:c r="Z387" s="81"/>
    </x:row>
    <x:row r="388">
      <x:c r="A388" s="81"/>
      <x:c r="B388" s="81"/>
      <x:c r="C388" s="81"/>
      <x:c r="D388" s="81"/>
      <x:c r="E388" s="81"/>
      <x:c r="F388" s="81"/>
      <x:c r="G388" s="81"/>
      <x:c r="H388" s="81"/>
      <x:c r="I388" s="81"/>
      <x:c r="J388" s="81"/>
      <x:c r="K388" s="81"/>
      <x:c r="L388" s="81"/>
      <x:c r="M388" s="81"/>
      <x:c r="N388" s="81"/>
      <x:c r="O388" s="81"/>
      <x:c r="P388" s="81"/>
      <x:c r="Q388" s="81"/>
      <x:c r="R388" s="81"/>
      <x:c r="S388" s="81"/>
      <x:c r="T388" s="81"/>
      <x:c r="U388" s="81"/>
      <x:c r="V388" s="81"/>
      <x:c r="W388" s="81"/>
      <x:c r="X388" s="81"/>
      <x:c r="Y388" s="81"/>
      <x:c r="Z388" s="81"/>
    </x:row>
    <x:row r="389">
      <x:c r="A389" s="81"/>
      <x:c r="B389" s="81"/>
      <x:c r="C389" s="81"/>
      <x:c r="D389" s="81"/>
      <x:c r="E389" s="81"/>
      <x:c r="F389" s="81"/>
      <x:c r="G389" s="81"/>
      <x:c r="H389" s="81"/>
      <x:c r="I389" s="81"/>
      <x:c r="J389" s="81"/>
      <x:c r="K389" s="81"/>
      <x:c r="L389" s="81"/>
      <x:c r="M389" s="81"/>
      <x:c r="N389" s="81"/>
      <x:c r="O389" s="81"/>
      <x:c r="P389" s="81"/>
      <x:c r="Q389" s="81"/>
      <x:c r="R389" s="81"/>
      <x:c r="S389" s="81"/>
      <x:c r="T389" s="81"/>
      <x:c r="U389" s="81"/>
      <x:c r="V389" s="81"/>
      <x:c r="W389" s="81"/>
      <x:c r="X389" s="81"/>
      <x:c r="Y389" s="81"/>
      <x:c r="Z389" s="81"/>
    </x:row>
    <x:row r="390">
      <x:c r="A390" s="81"/>
      <x:c r="B390" s="81"/>
      <x:c r="C390" s="81"/>
      <x:c r="D390" s="81"/>
      <x:c r="E390" s="81"/>
      <x:c r="F390" s="81"/>
      <x:c r="G390" s="81"/>
      <x:c r="H390" s="81"/>
      <x:c r="I390" s="81"/>
      <x:c r="J390" s="81"/>
      <x:c r="K390" s="81"/>
      <x:c r="L390" s="81"/>
      <x:c r="M390" s="81"/>
      <x:c r="N390" s="81"/>
      <x:c r="O390" s="81"/>
      <x:c r="P390" s="81"/>
      <x:c r="Q390" s="81"/>
      <x:c r="R390" s="81"/>
      <x:c r="S390" s="81"/>
      <x:c r="T390" s="81"/>
      <x:c r="U390" s="81"/>
      <x:c r="V390" s="81"/>
      <x:c r="W390" s="81"/>
      <x:c r="X390" s="81"/>
      <x:c r="Y390" s="81"/>
      <x:c r="Z390" s="81"/>
    </x:row>
    <x:row r="391">
      <x:c r="A391" s="81"/>
      <x:c r="B391" s="81"/>
      <x:c r="C391" s="81"/>
      <x:c r="D391" s="81"/>
      <x:c r="E391" s="81"/>
      <x:c r="F391" s="81"/>
      <x:c r="G391" s="81"/>
      <x:c r="H391" s="81"/>
      <x:c r="I391" s="81"/>
      <x:c r="J391" s="81"/>
      <x:c r="K391" s="81"/>
      <x:c r="L391" s="81"/>
      <x:c r="M391" s="81"/>
      <x:c r="N391" s="81"/>
      <x:c r="O391" s="81"/>
      <x:c r="P391" s="81"/>
      <x:c r="Q391" s="81"/>
      <x:c r="R391" s="81"/>
      <x:c r="S391" s="81"/>
      <x:c r="T391" s="81"/>
      <x:c r="U391" s="81"/>
      <x:c r="V391" s="81"/>
      <x:c r="W391" s="81"/>
      <x:c r="X391" s="81"/>
      <x:c r="Y391" s="81"/>
      <x:c r="Z391" s="81"/>
    </x:row>
    <x:row r="392">
      <x:c r="A392" s="81"/>
      <x:c r="B392" s="81"/>
      <x:c r="C392" s="81"/>
      <x:c r="D392" s="81"/>
      <x:c r="E392" s="81"/>
      <x:c r="F392" s="81"/>
      <x:c r="G392" s="81"/>
      <x:c r="H392" s="81"/>
      <x:c r="I392" s="81"/>
      <x:c r="J392" s="81"/>
      <x:c r="K392" s="81"/>
      <x:c r="L392" s="81"/>
      <x:c r="M392" s="81"/>
      <x:c r="N392" s="81"/>
      <x:c r="O392" s="81"/>
      <x:c r="P392" s="81"/>
      <x:c r="Q392" s="81"/>
      <x:c r="R392" s="81"/>
      <x:c r="S392" s="81"/>
      <x:c r="T392" s="81"/>
      <x:c r="U392" s="81"/>
      <x:c r="V392" s="81"/>
      <x:c r="W392" s="81"/>
      <x:c r="X392" s="81"/>
      <x:c r="Y392" s="81"/>
      <x:c r="Z392" s="81"/>
    </x:row>
    <x:row r="393">
      <x:c r="A393" s="81"/>
      <x:c r="B393" s="81"/>
      <x:c r="C393" s="81"/>
      <x:c r="D393" s="81"/>
      <x:c r="E393" s="81"/>
      <x:c r="F393" s="81"/>
      <x:c r="G393" s="81"/>
      <x:c r="H393" s="81"/>
      <x:c r="I393" s="81"/>
      <x:c r="J393" s="81"/>
      <x:c r="K393" s="81"/>
      <x:c r="L393" s="81"/>
      <x:c r="M393" s="81"/>
      <x:c r="N393" s="81"/>
      <x:c r="O393" s="81"/>
      <x:c r="P393" s="81"/>
      <x:c r="Q393" s="81"/>
      <x:c r="R393" s="81"/>
      <x:c r="S393" s="81"/>
      <x:c r="T393" s="81"/>
      <x:c r="U393" s="81"/>
      <x:c r="V393" s="81"/>
      <x:c r="W393" s="81"/>
      <x:c r="X393" s="81"/>
      <x:c r="Y393" s="81"/>
      <x:c r="Z393" s="81"/>
    </x:row>
    <x:row r="394">
      <x:c r="A394" s="81"/>
      <x:c r="B394" s="81"/>
      <x:c r="C394" s="81"/>
      <x:c r="D394" s="81"/>
      <x:c r="E394" s="81"/>
      <x:c r="F394" s="81"/>
      <x:c r="G394" s="81"/>
      <x:c r="H394" s="81"/>
      <x:c r="I394" s="81"/>
      <x:c r="J394" s="81"/>
      <x:c r="K394" s="81"/>
      <x:c r="L394" s="81"/>
      <x:c r="M394" s="81"/>
      <x:c r="N394" s="81"/>
      <x:c r="O394" s="81"/>
      <x:c r="P394" s="81"/>
      <x:c r="Q394" s="81"/>
      <x:c r="R394" s="81"/>
      <x:c r="S394" s="81"/>
      <x:c r="T394" s="81"/>
      <x:c r="U394" s="81"/>
      <x:c r="V394" s="81"/>
      <x:c r="W394" s="81"/>
      <x:c r="X394" s="81"/>
      <x:c r="Y394" s="81"/>
      <x:c r="Z394" s="81"/>
    </x:row>
    <x:row r="395">
      <x:c r="A395" s="81"/>
      <x:c r="B395" s="81"/>
      <x:c r="C395" s="81"/>
      <x:c r="D395" s="81"/>
      <x:c r="E395" s="81"/>
      <x:c r="F395" s="81"/>
      <x:c r="G395" s="81"/>
      <x:c r="H395" s="81"/>
      <x:c r="I395" s="81"/>
      <x:c r="J395" s="81"/>
      <x:c r="K395" s="81"/>
      <x:c r="L395" s="81"/>
      <x:c r="M395" s="81"/>
      <x:c r="N395" s="81"/>
      <x:c r="O395" s="81"/>
      <x:c r="P395" s="81"/>
      <x:c r="Q395" s="81"/>
      <x:c r="R395" s="81"/>
      <x:c r="S395" s="81"/>
      <x:c r="T395" s="81"/>
      <x:c r="U395" s="81"/>
      <x:c r="V395" s="81"/>
      <x:c r="W395" s="81"/>
      <x:c r="X395" s="81"/>
      <x:c r="Y395" s="81"/>
      <x:c r="Z395" s="81"/>
    </x:row>
    <x:row r="396">
      <x:c r="A396" s="81"/>
      <x:c r="B396" s="81"/>
      <x:c r="C396" s="81"/>
      <x:c r="D396" s="81"/>
      <x:c r="E396" s="81"/>
      <x:c r="F396" s="81"/>
      <x:c r="G396" s="81"/>
      <x:c r="H396" s="81"/>
      <x:c r="I396" s="81"/>
      <x:c r="J396" s="81"/>
      <x:c r="K396" s="81"/>
      <x:c r="L396" s="81"/>
      <x:c r="M396" s="81"/>
      <x:c r="N396" s="81"/>
      <x:c r="O396" s="81"/>
      <x:c r="P396" s="81"/>
      <x:c r="Q396" s="81"/>
      <x:c r="R396" s="81"/>
      <x:c r="S396" s="81"/>
      <x:c r="T396" s="81"/>
      <x:c r="U396" s="81"/>
      <x:c r="V396" s="81"/>
      <x:c r="W396" s="81"/>
      <x:c r="X396" s="81"/>
      <x:c r="Y396" s="81"/>
      <x:c r="Z396" s="81"/>
    </x:row>
    <x:row r="397">
      <x:c r="A397" s="81"/>
      <x:c r="B397" s="81"/>
      <x:c r="C397" s="81"/>
      <x:c r="D397" s="81"/>
      <x:c r="E397" s="81"/>
      <x:c r="F397" s="81"/>
      <x:c r="G397" s="81"/>
      <x:c r="H397" s="81"/>
      <x:c r="I397" s="81"/>
      <x:c r="J397" s="81"/>
      <x:c r="K397" s="81"/>
      <x:c r="L397" s="81"/>
      <x:c r="M397" s="81"/>
      <x:c r="N397" s="81"/>
      <x:c r="O397" s="81"/>
      <x:c r="P397" s="81"/>
      <x:c r="Q397" s="81"/>
      <x:c r="R397" s="81"/>
      <x:c r="S397" s="81"/>
      <x:c r="T397" s="81"/>
      <x:c r="U397" s="81"/>
      <x:c r="V397" s="81"/>
      <x:c r="W397" s="81"/>
      <x:c r="X397" s="81"/>
      <x:c r="Y397" s="81"/>
      <x:c r="Z397" s="81"/>
    </x:row>
    <x:row r="398">
      <x:c r="A398" s="81"/>
      <x:c r="B398" s="81"/>
      <x:c r="C398" s="81"/>
      <x:c r="D398" s="81"/>
      <x:c r="E398" s="81"/>
      <x:c r="F398" s="81"/>
      <x:c r="G398" s="81"/>
      <x:c r="H398" s="81"/>
      <x:c r="I398" s="81"/>
      <x:c r="J398" s="81"/>
      <x:c r="K398" s="81"/>
      <x:c r="L398" s="81"/>
      <x:c r="M398" s="81"/>
      <x:c r="N398" s="81"/>
      <x:c r="O398" s="81"/>
      <x:c r="P398" s="81"/>
      <x:c r="Q398" s="81"/>
      <x:c r="R398" s="81"/>
      <x:c r="S398" s="81"/>
      <x:c r="T398" s="81"/>
      <x:c r="U398" s="81"/>
      <x:c r="V398" s="81"/>
      <x:c r="W398" s="81"/>
      <x:c r="X398" s="81"/>
      <x:c r="Y398" s="81"/>
      <x:c r="Z398" s="81"/>
    </x:row>
    <x:row r="399">
      <x:c r="A399" s="81"/>
      <x:c r="B399" s="81"/>
      <x:c r="C399" s="81"/>
      <x:c r="D399" s="81"/>
      <x:c r="E399" s="81"/>
      <x:c r="F399" s="81"/>
      <x:c r="G399" s="81"/>
      <x:c r="H399" s="81"/>
      <x:c r="I399" s="81"/>
      <x:c r="J399" s="81"/>
      <x:c r="K399" s="81"/>
      <x:c r="L399" s="81"/>
      <x:c r="M399" s="81"/>
      <x:c r="N399" s="81"/>
      <x:c r="O399" s="81"/>
      <x:c r="P399" s="81"/>
      <x:c r="Q399" s="81"/>
      <x:c r="R399" s="81"/>
      <x:c r="S399" s="81"/>
      <x:c r="T399" s="81"/>
      <x:c r="U399" s="81"/>
      <x:c r="V399" s="81"/>
      <x:c r="W399" s="81"/>
      <x:c r="X399" s="81"/>
      <x:c r="Y399" s="81"/>
      <x:c r="Z399" s="81"/>
    </x:row>
    <x:row r="400">
      <x:c r="A400" s="81"/>
      <x:c r="B400" s="81"/>
      <x:c r="C400" s="81"/>
      <x:c r="D400" s="81"/>
      <x:c r="E400" s="81"/>
      <x:c r="F400" s="81"/>
      <x:c r="G400" s="81"/>
      <x:c r="H400" s="81"/>
      <x:c r="I400" s="81"/>
      <x:c r="J400" s="81"/>
      <x:c r="K400" s="81"/>
      <x:c r="L400" s="81"/>
      <x:c r="M400" s="81"/>
      <x:c r="N400" s="81"/>
      <x:c r="O400" s="81"/>
      <x:c r="P400" s="81"/>
      <x:c r="Q400" s="81"/>
      <x:c r="R400" s="81"/>
      <x:c r="S400" s="81"/>
      <x:c r="T400" s="81"/>
      <x:c r="U400" s="81"/>
      <x:c r="V400" s="81"/>
      <x:c r="W400" s="81"/>
      <x:c r="X400" s="81"/>
      <x:c r="Y400" s="81"/>
      <x:c r="Z400" s="81"/>
    </x:row>
    <x:row r="401">
      <x:c r="A401" s="81"/>
      <x:c r="B401" s="81"/>
      <x:c r="C401" s="81"/>
      <x:c r="D401" s="81"/>
      <x:c r="E401" s="81"/>
      <x:c r="F401" s="81"/>
      <x:c r="G401" s="81"/>
      <x:c r="H401" s="81"/>
      <x:c r="I401" s="81"/>
      <x:c r="J401" s="81"/>
      <x:c r="K401" s="81"/>
      <x:c r="L401" s="81"/>
      <x:c r="M401" s="81"/>
      <x:c r="N401" s="81"/>
      <x:c r="O401" s="81"/>
      <x:c r="P401" s="81"/>
      <x:c r="Q401" s="81"/>
      <x:c r="R401" s="81"/>
      <x:c r="S401" s="81"/>
      <x:c r="T401" s="81"/>
      <x:c r="U401" s="81"/>
      <x:c r="V401" s="81"/>
      <x:c r="W401" s="81"/>
      <x:c r="X401" s="81"/>
      <x:c r="Y401" s="81"/>
      <x:c r="Z401" s="81"/>
    </x:row>
    <x:row r="402">
      <x:c r="A402" s="81"/>
      <x:c r="B402" s="81"/>
      <x:c r="C402" s="81"/>
      <x:c r="D402" s="81"/>
      <x:c r="E402" s="81"/>
      <x:c r="F402" s="81"/>
      <x:c r="G402" s="81"/>
      <x:c r="H402" s="81"/>
      <x:c r="I402" s="81"/>
      <x:c r="J402" s="81"/>
      <x:c r="K402" s="81"/>
      <x:c r="L402" s="81"/>
      <x:c r="M402" s="81"/>
      <x:c r="N402" s="81"/>
      <x:c r="O402" s="81"/>
      <x:c r="P402" s="81"/>
      <x:c r="Q402" s="81"/>
      <x:c r="R402" s="81"/>
      <x:c r="S402" s="81"/>
      <x:c r="T402" s="81"/>
      <x:c r="U402" s="81"/>
      <x:c r="V402" s="81"/>
      <x:c r="W402" s="81"/>
      <x:c r="X402" s="81"/>
      <x:c r="Y402" s="81"/>
      <x:c r="Z402" s="81"/>
    </x:row>
    <x:row r="403">
      <x:c r="A403" s="81"/>
      <x:c r="B403" s="81"/>
      <x:c r="C403" s="81"/>
      <x:c r="D403" s="81"/>
      <x:c r="E403" s="81"/>
      <x:c r="F403" s="81"/>
      <x:c r="G403" s="81"/>
      <x:c r="H403" s="81"/>
      <x:c r="I403" s="81"/>
      <x:c r="J403" s="81"/>
      <x:c r="K403" s="81"/>
      <x:c r="L403" s="81"/>
      <x:c r="M403" s="81"/>
      <x:c r="N403" s="81"/>
      <x:c r="O403" s="81"/>
      <x:c r="P403" s="81"/>
      <x:c r="Q403" s="81"/>
      <x:c r="R403" s="81"/>
      <x:c r="S403" s="81"/>
      <x:c r="T403" s="81"/>
      <x:c r="U403" s="81"/>
      <x:c r="V403" s="81"/>
      <x:c r="W403" s="81"/>
      <x:c r="X403" s="81"/>
      <x:c r="Y403" s="81"/>
      <x:c r="Z403" s="81"/>
    </x:row>
    <x:row r="404">
      <x:c r="A404" s="81"/>
      <x:c r="B404" s="81"/>
      <x:c r="C404" s="81"/>
      <x:c r="D404" s="81"/>
      <x:c r="E404" s="81"/>
      <x:c r="F404" s="81"/>
      <x:c r="G404" s="81"/>
      <x:c r="H404" s="81"/>
      <x:c r="I404" s="81"/>
      <x:c r="J404" s="81"/>
      <x:c r="K404" s="81"/>
      <x:c r="L404" s="81"/>
      <x:c r="M404" s="81"/>
      <x:c r="N404" s="81"/>
      <x:c r="O404" s="81"/>
      <x:c r="P404" s="81"/>
      <x:c r="Q404" s="81"/>
      <x:c r="R404" s="81"/>
      <x:c r="S404" s="81"/>
      <x:c r="T404" s="81"/>
      <x:c r="U404" s="81"/>
      <x:c r="V404" s="81"/>
      <x:c r="W404" s="81"/>
      <x:c r="X404" s="81"/>
      <x:c r="Y404" s="81"/>
      <x:c r="Z404" s="81"/>
    </x:row>
    <x:row r="405">
      <x:c r="A405" s="81"/>
      <x:c r="B405" s="81"/>
      <x:c r="C405" s="81"/>
      <x:c r="D405" s="81"/>
      <x:c r="E405" s="81"/>
      <x:c r="F405" s="81"/>
      <x:c r="G405" s="81"/>
      <x:c r="H405" s="81"/>
      <x:c r="I405" s="81"/>
      <x:c r="J405" s="81"/>
      <x:c r="K405" s="81"/>
      <x:c r="L405" s="81"/>
      <x:c r="M405" s="81"/>
      <x:c r="N405" s="81"/>
      <x:c r="O405" s="81"/>
      <x:c r="P405" s="81"/>
      <x:c r="Q405" s="81"/>
      <x:c r="R405" s="81"/>
      <x:c r="S405" s="81"/>
      <x:c r="T405" s="81"/>
      <x:c r="U405" s="81"/>
      <x:c r="V405" s="81"/>
      <x:c r="W405" s="81"/>
      <x:c r="X405" s="81"/>
      <x:c r="Y405" s="81"/>
      <x:c r="Z405" s="81"/>
    </x:row>
    <x:row r="406">
      <x:c r="A406" s="81"/>
      <x:c r="B406" s="81"/>
      <x:c r="C406" s="81"/>
      <x:c r="D406" s="81"/>
      <x:c r="E406" s="81"/>
      <x:c r="F406" s="81"/>
      <x:c r="G406" s="81"/>
      <x:c r="H406" s="81"/>
      <x:c r="I406" s="81"/>
      <x:c r="J406" s="81"/>
      <x:c r="K406" s="81"/>
      <x:c r="L406" s="81"/>
      <x:c r="M406" s="81"/>
      <x:c r="N406" s="81"/>
      <x:c r="O406" s="81"/>
      <x:c r="P406" s="81"/>
      <x:c r="Q406" s="81"/>
      <x:c r="R406" s="81"/>
      <x:c r="S406" s="81"/>
      <x:c r="T406" s="81"/>
      <x:c r="U406" s="81"/>
      <x:c r="V406" s="81"/>
      <x:c r="W406" s="81"/>
      <x:c r="X406" s="81"/>
      <x:c r="Y406" s="81"/>
      <x:c r="Z406" s="81"/>
    </x:row>
    <x:row r="407">
      <x:c r="A407" s="81"/>
      <x:c r="B407" s="81"/>
      <x:c r="C407" s="81"/>
      <x:c r="D407" s="81"/>
      <x:c r="E407" s="81"/>
      <x:c r="F407" s="81"/>
      <x:c r="G407" s="81"/>
      <x:c r="H407" s="81"/>
      <x:c r="I407" s="81"/>
      <x:c r="J407" s="81"/>
      <x:c r="K407" s="81"/>
      <x:c r="L407" s="81"/>
      <x:c r="M407" s="81"/>
      <x:c r="N407" s="81"/>
      <x:c r="O407" s="81"/>
      <x:c r="P407" s="81"/>
      <x:c r="Q407" s="81"/>
      <x:c r="R407" s="81"/>
      <x:c r="S407" s="81"/>
      <x:c r="T407" s="81"/>
      <x:c r="U407" s="81"/>
      <x:c r="V407" s="81"/>
      <x:c r="W407" s="81"/>
      <x:c r="X407" s="81"/>
      <x:c r="Y407" s="81"/>
      <x:c r="Z407" s="81"/>
    </x:row>
    <x:row r="408">
      <x:c r="A408" s="81"/>
      <x:c r="B408" s="81"/>
      <x:c r="C408" s="81"/>
      <x:c r="D408" s="81"/>
      <x:c r="E408" s="81"/>
      <x:c r="F408" s="81"/>
      <x:c r="G408" s="81"/>
      <x:c r="H408" s="81"/>
      <x:c r="I408" s="81"/>
      <x:c r="J408" s="81"/>
      <x:c r="K408" s="81"/>
      <x:c r="L408" s="81"/>
      <x:c r="M408" s="81"/>
      <x:c r="N408" s="81"/>
      <x:c r="O408" s="81"/>
      <x:c r="P408" s="81"/>
      <x:c r="Q408" s="81"/>
      <x:c r="R408" s="81"/>
      <x:c r="S408" s="81"/>
      <x:c r="T408" s="81"/>
      <x:c r="U408" s="81"/>
      <x:c r="V408" s="81"/>
      <x:c r="W408" s="81"/>
      <x:c r="X408" s="81"/>
      <x:c r="Y408" s="81"/>
      <x:c r="Z408" s="81"/>
    </x:row>
    <x:row r="409">
      <x:c r="A409" s="81"/>
      <x:c r="B409" s="81"/>
      <x:c r="C409" s="81"/>
      <x:c r="D409" s="81"/>
      <x:c r="E409" s="81"/>
      <x:c r="F409" s="81"/>
      <x:c r="G409" s="81"/>
      <x:c r="H409" s="81"/>
      <x:c r="I409" s="81"/>
      <x:c r="J409" s="81"/>
      <x:c r="K409" s="81"/>
      <x:c r="L409" s="81"/>
      <x:c r="M409" s="81"/>
      <x:c r="N409" s="81"/>
      <x:c r="O409" s="81"/>
      <x:c r="P409" s="81"/>
      <x:c r="Q409" s="81"/>
      <x:c r="R409" s="81"/>
      <x:c r="S409" s="81"/>
      <x:c r="T409" s="81"/>
      <x:c r="U409" s="81"/>
      <x:c r="V409" s="81"/>
      <x:c r="W409" s="81"/>
      <x:c r="X409" s="81"/>
      <x:c r="Y409" s="81"/>
      <x:c r="Z409" s="81"/>
    </x:row>
    <x:row r="410">
      <x:c r="A410" s="81"/>
      <x:c r="B410" s="81"/>
      <x:c r="C410" s="81"/>
      <x:c r="D410" s="81"/>
      <x:c r="E410" s="81"/>
      <x:c r="F410" s="81"/>
      <x:c r="G410" s="81"/>
      <x:c r="H410" s="81"/>
      <x:c r="I410" s="81"/>
      <x:c r="J410" s="81"/>
      <x:c r="K410" s="81"/>
      <x:c r="L410" s="81"/>
      <x:c r="M410" s="81"/>
      <x:c r="N410" s="81"/>
      <x:c r="O410" s="81"/>
      <x:c r="P410" s="81"/>
      <x:c r="Q410" s="81"/>
      <x:c r="R410" s="81"/>
      <x:c r="S410" s="81"/>
      <x:c r="T410" s="81"/>
      <x:c r="U410" s="81"/>
      <x:c r="V410" s="81"/>
      <x:c r="W410" s="81"/>
      <x:c r="X410" s="81"/>
      <x:c r="Y410" s="81"/>
      <x:c r="Z410" s="81"/>
    </x:row>
    <x:row r="411">
      <x:c r="A411" s="81"/>
      <x:c r="B411" s="81"/>
      <x:c r="C411" s="81"/>
      <x:c r="D411" s="81"/>
      <x:c r="E411" s="81"/>
      <x:c r="F411" s="81"/>
      <x:c r="G411" s="81"/>
      <x:c r="H411" s="81"/>
      <x:c r="I411" s="81"/>
      <x:c r="J411" s="81"/>
      <x:c r="K411" s="81"/>
      <x:c r="L411" s="81"/>
      <x:c r="M411" s="81"/>
      <x:c r="N411" s="81"/>
      <x:c r="O411" s="81"/>
      <x:c r="P411" s="81"/>
      <x:c r="Q411" s="81"/>
      <x:c r="R411" s="81"/>
      <x:c r="S411" s="81"/>
      <x:c r="T411" s="81"/>
      <x:c r="U411" s="81"/>
      <x:c r="V411" s="81"/>
      <x:c r="W411" s="81"/>
      <x:c r="X411" s="81"/>
      <x:c r="Y411" s="81"/>
      <x:c r="Z411" s="81"/>
    </x:row>
    <x:row r="412">
      <x:c r="A412" s="81"/>
      <x:c r="B412" s="81"/>
      <x:c r="C412" s="81"/>
      <x:c r="D412" s="81"/>
      <x:c r="E412" s="81"/>
      <x:c r="F412" s="81"/>
      <x:c r="G412" s="81"/>
      <x:c r="H412" s="81"/>
      <x:c r="I412" s="81"/>
      <x:c r="J412" s="81"/>
      <x:c r="K412" s="81"/>
      <x:c r="L412" s="81"/>
      <x:c r="M412" s="81"/>
      <x:c r="N412" s="81"/>
      <x:c r="O412" s="81"/>
      <x:c r="P412" s="81"/>
      <x:c r="Q412" s="81"/>
      <x:c r="R412" s="81"/>
      <x:c r="S412" s="81"/>
      <x:c r="T412" s="81"/>
      <x:c r="U412" s="81"/>
      <x:c r="V412" s="81"/>
      <x:c r="W412" s="81"/>
      <x:c r="X412" s="81"/>
      <x:c r="Y412" s="81"/>
      <x:c r="Z412" s="81"/>
    </x:row>
    <x:row r="413">
      <x:c r="A413" s="81"/>
      <x:c r="B413" s="81"/>
      <x:c r="C413" s="81"/>
      <x:c r="D413" s="81"/>
      <x:c r="E413" s="81"/>
      <x:c r="F413" s="81"/>
      <x:c r="G413" s="81"/>
      <x:c r="H413" s="81"/>
      <x:c r="I413" s="81"/>
      <x:c r="J413" s="81"/>
      <x:c r="K413" s="81"/>
      <x:c r="L413" s="81"/>
      <x:c r="M413" s="81"/>
      <x:c r="N413" s="81"/>
      <x:c r="O413" s="81"/>
      <x:c r="P413" s="81"/>
      <x:c r="Q413" s="81"/>
      <x:c r="R413" s="81"/>
      <x:c r="S413" s="81"/>
      <x:c r="T413" s="81"/>
      <x:c r="U413" s="81"/>
      <x:c r="V413" s="81"/>
      <x:c r="W413" s="81"/>
      <x:c r="X413" s="81"/>
      <x:c r="Y413" s="81"/>
      <x:c r="Z413" s="81"/>
    </x:row>
    <x:row r="414">
      <x:c r="A414" s="81"/>
      <x:c r="B414" s="81"/>
      <x:c r="C414" s="81"/>
      <x:c r="D414" s="81"/>
      <x:c r="E414" s="81"/>
      <x:c r="F414" s="81"/>
      <x:c r="G414" s="81"/>
      <x:c r="H414" s="81"/>
      <x:c r="I414" s="81"/>
      <x:c r="J414" s="81"/>
      <x:c r="K414" s="81"/>
      <x:c r="L414" s="81"/>
      <x:c r="M414" s="81"/>
      <x:c r="N414" s="81"/>
      <x:c r="O414" s="81"/>
      <x:c r="P414" s="81"/>
      <x:c r="Q414" s="81"/>
      <x:c r="R414" s="81"/>
      <x:c r="S414" s="81"/>
      <x:c r="T414" s="81"/>
      <x:c r="U414" s="81"/>
      <x:c r="V414" s="81"/>
      <x:c r="W414" s="81"/>
      <x:c r="X414" s="81"/>
      <x:c r="Y414" s="81"/>
      <x:c r="Z414" s="81"/>
    </x:row>
    <x:row r="415">
      <x:c r="A415" s="81"/>
      <x:c r="B415" s="81"/>
      <x:c r="C415" s="81"/>
      <x:c r="D415" s="81"/>
      <x:c r="E415" s="81"/>
      <x:c r="F415" s="81"/>
      <x:c r="G415" s="81"/>
      <x:c r="H415" s="81"/>
      <x:c r="I415" s="81"/>
      <x:c r="J415" s="81"/>
      <x:c r="K415" s="81"/>
      <x:c r="L415" s="81"/>
      <x:c r="M415" s="81"/>
      <x:c r="N415" s="81"/>
      <x:c r="O415" s="81"/>
      <x:c r="P415" s="81"/>
      <x:c r="Q415" s="81"/>
      <x:c r="R415" s="81"/>
      <x:c r="S415" s="81"/>
      <x:c r="T415" s="81"/>
      <x:c r="U415" s="81"/>
      <x:c r="V415" s="81"/>
      <x:c r="W415" s="81"/>
      <x:c r="X415" s="81"/>
      <x:c r="Y415" s="81"/>
      <x:c r="Z415" s="81"/>
    </x:row>
    <x:row r="416">
      <x:c r="A416" s="81"/>
      <x:c r="B416" s="81"/>
      <x:c r="C416" s="81"/>
      <x:c r="D416" s="81"/>
      <x:c r="E416" s="81"/>
      <x:c r="F416" s="81"/>
      <x:c r="G416" s="81"/>
      <x:c r="H416" s="81"/>
      <x:c r="I416" s="81"/>
      <x:c r="J416" s="81"/>
      <x:c r="K416" s="81"/>
      <x:c r="L416" s="81"/>
      <x:c r="M416" s="81"/>
      <x:c r="N416" s="81"/>
      <x:c r="O416" s="81"/>
      <x:c r="P416" s="81"/>
      <x:c r="Q416" s="81"/>
      <x:c r="R416" s="81"/>
      <x:c r="S416" s="81"/>
      <x:c r="T416" s="81"/>
      <x:c r="U416" s="81"/>
      <x:c r="V416" s="81"/>
      <x:c r="W416" s="81"/>
      <x:c r="X416" s="81"/>
      <x:c r="Y416" s="81"/>
      <x:c r="Z416" s="81"/>
    </x:row>
    <x:row r="417">
      <x:c r="A417" s="81"/>
      <x:c r="B417" s="81"/>
      <x:c r="C417" s="81"/>
      <x:c r="D417" s="81"/>
      <x:c r="E417" s="81"/>
      <x:c r="F417" s="81"/>
      <x:c r="G417" s="81"/>
      <x:c r="H417" s="81"/>
      <x:c r="I417" s="81"/>
      <x:c r="J417" s="81"/>
      <x:c r="K417" s="81"/>
      <x:c r="L417" s="81"/>
      <x:c r="M417" s="81"/>
      <x:c r="N417" s="81"/>
      <x:c r="O417" s="81"/>
      <x:c r="P417" s="81"/>
      <x:c r="Q417" s="81"/>
      <x:c r="R417" s="81"/>
      <x:c r="S417" s="81"/>
      <x:c r="T417" s="81"/>
      <x:c r="U417" s="81"/>
      <x:c r="V417" s="81"/>
      <x:c r="W417" s="81"/>
      <x:c r="X417" s="81"/>
      <x:c r="Y417" s="81"/>
      <x:c r="Z417" s="81"/>
    </x:row>
    <x:row r="418">
      <x:c r="A418" s="81"/>
      <x:c r="B418" s="81"/>
      <x:c r="C418" s="81"/>
      <x:c r="D418" s="81"/>
      <x:c r="E418" s="81"/>
      <x:c r="F418" s="81"/>
      <x:c r="G418" s="81"/>
      <x:c r="H418" s="81"/>
      <x:c r="I418" s="81"/>
      <x:c r="J418" s="81"/>
      <x:c r="K418" s="81"/>
      <x:c r="L418" s="81"/>
      <x:c r="M418" s="81"/>
      <x:c r="N418" s="81"/>
      <x:c r="O418" s="81"/>
      <x:c r="P418" s="81"/>
      <x:c r="Q418" s="81"/>
      <x:c r="R418" s="81"/>
      <x:c r="S418" s="81"/>
      <x:c r="T418" s="81"/>
      <x:c r="U418" s="81"/>
      <x:c r="V418" s="81"/>
      <x:c r="W418" s="81"/>
      <x:c r="X418" s="81"/>
      <x:c r="Y418" s="81"/>
      <x:c r="Z418" s="81"/>
    </x:row>
    <x:row r="419">
      <x:c r="A419" s="81"/>
      <x:c r="B419" s="81"/>
      <x:c r="C419" s="81"/>
      <x:c r="D419" s="81"/>
      <x:c r="E419" s="81"/>
      <x:c r="F419" s="81"/>
      <x:c r="G419" s="81"/>
      <x:c r="H419" s="81"/>
      <x:c r="I419" s="81"/>
      <x:c r="J419" s="81"/>
      <x:c r="K419" s="81"/>
      <x:c r="L419" s="81"/>
      <x:c r="M419" s="81"/>
      <x:c r="N419" s="81"/>
      <x:c r="O419" s="81"/>
      <x:c r="P419" s="81"/>
      <x:c r="Q419" s="81"/>
      <x:c r="R419" s="81"/>
      <x:c r="S419" s="81"/>
      <x:c r="T419" s="81"/>
      <x:c r="U419" s="81"/>
      <x:c r="V419" s="81"/>
      <x:c r="W419" s="81"/>
      <x:c r="X419" s="81"/>
      <x:c r="Y419" s="81"/>
      <x:c r="Z419" s="81"/>
    </x:row>
    <x:row r="420">
      <x:c r="A420" s="81"/>
      <x:c r="B420" s="81"/>
      <x:c r="C420" s="81"/>
      <x:c r="D420" s="81"/>
      <x:c r="E420" s="81"/>
      <x:c r="F420" s="81"/>
      <x:c r="G420" s="81"/>
      <x:c r="H420" s="81"/>
      <x:c r="I420" s="81"/>
      <x:c r="J420" s="81"/>
      <x:c r="K420" s="81"/>
      <x:c r="L420" s="81"/>
      <x:c r="M420" s="81"/>
      <x:c r="N420" s="81"/>
      <x:c r="O420" s="81"/>
      <x:c r="P420" s="81"/>
      <x:c r="Q420" s="81"/>
      <x:c r="R420" s="81"/>
      <x:c r="S420" s="81"/>
      <x:c r="T420" s="81"/>
      <x:c r="U420" s="81"/>
      <x:c r="V420" s="81"/>
      <x:c r="W420" s="81"/>
      <x:c r="X420" s="81"/>
      <x:c r="Y420" s="81"/>
      <x:c r="Z420" s="81"/>
    </x:row>
    <x:row r="421">
      <x:c r="A421" s="81"/>
      <x:c r="B421" s="81"/>
      <x:c r="C421" s="81"/>
      <x:c r="D421" s="81"/>
      <x:c r="E421" s="81"/>
      <x:c r="F421" s="81"/>
      <x:c r="G421" s="81"/>
      <x:c r="H421" s="81"/>
      <x:c r="I421" s="81"/>
      <x:c r="J421" s="81"/>
      <x:c r="K421" s="81"/>
      <x:c r="L421" s="81"/>
      <x:c r="M421" s="81"/>
      <x:c r="N421" s="81"/>
      <x:c r="O421" s="81"/>
      <x:c r="P421" s="81"/>
      <x:c r="Q421" s="81"/>
      <x:c r="R421" s="81"/>
      <x:c r="S421" s="81"/>
      <x:c r="T421" s="81"/>
      <x:c r="U421" s="81"/>
      <x:c r="V421" s="81"/>
      <x:c r="W421" s="81"/>
      <x:c r="X421" s="81"/>
      <x:c r="Y421" s="81"/>
      <x:c r="Z421" s="81"/>
    </x:row>
    <x:row r="422">
      <x:c r="A422" s="81"/>
      <x:c r="B422" s="81"/>
      <x:c r="C422" s="81"/>
      <x:c r="D422" s="81"/>
      <x:c r="E422" s="81"/>
      <x:c r="F422" s="81"/>
      <x:c r="G422" s="81"/>
      <x:c r="H422" s="81"/>
      <x:c r="I422" s="81"/>
      <x:c r="J422" s="81"/>
      <x:c r="K422" s="81"/>
      <x:c r="L422" s="81"/>
      <x:c r="M422" s="81"/>
      <x:c r="N422" s="81"/>
      <x:c r="O422" s="81"/>
      <x:c r="P422" s="81"/>
      <x:c r="Q422" s="81"/>
      <x:c r="R422" s="81"/>
      <x:c r="S422" s="81"/>
      <x:c r="T422" s="81"/>
      <x:c r="U422" s="81"/>
      <x:c r="V422" s="81"/>
      <x:c r="W422" s="81"/>
      <x:c r="X422" s="81"/>
      <x:c r="Y422" s="81"/>
      <x:c r="Z422" s="81"/>
    </x:row>
    <x:row r="423">
      <x:c r="A423" s="81"/>
      <x:c r="B423" s="81"/>
      <x:c r="C423" s="81"/>
      <x:c r="D423" s="81"/>
      <x:c r="E423" s="81"/>
      <x:c r="F423" s="81"/>
      <x:c r="G423" s="81"/>
      <x:c r="H423" s="81"/>
      <x:c r="I423" s="81"/>
      <x:c r="J423" s="81"/>
      <x:c r="K423" s="81"/>
      <x:c r="L423" s="81"/>
      <x:c r="M423" s="81"/>
      <x:c r="N423" s="81"/>
      <x:c r="O423" s="81"/>
      <x:c r="P423" s="81"/>
      <x:c r="Q423" s="81"/>
      <x:c r="R423" s="81"/>
      <x:c r="S423" s="81"/>
      <x:c r="T423" s="81"/>
      <x:c r="U423" s="81"/>
      <x:c r="V423" s="81"/>
      <x:c r="W423" s="81"/>
      <x:c r="X423" s="81"/>
      <x:c r="Y423" s="81"/>
      <x:c r="Z423" s="81"/>
    </x:row>
    <x:row r="424">
      <x:c r="A424" s="81"/>
      <x:c r="B424" s="81"/>
      <x:c r="C424" s="81"/>
      <x:c r="D424" s="81"/>
      <x:c r="E424" s="81"/>
      <x:c r="F424" s="81"/>
      <x:c r="G424" s="81"/>
      <x:c r="H424" s="81"/>
      <x:c r="I424" s="81"/>
      <x:c r="J424" s="81"/>
      <x:c r="K424" s="81"/>
      <x:c r="L424" s="81"/>
      <x:c r="M424" s="81"/>
      <x:c r="N424" s="81"/>
      <x:c r="O424" s="81"/>
      <x:c r="P424" s="81"/>
      <x:c r="Q424" s="81"/>
      <x:c r="R424" s="81"/>
      <x:c r="S424" s="81"/>
      <x:c r="T424" s="81"/>
      <x:c r="U424" s="81"/>
      <x:c r="V424" s="81"/>
      <x:c r="W424" s="81"/>
      <x:c r="X424" s="81"/>
      <x:c r="Y424" s="81"/>
      <x:c r="Z424" s="81"/>
    </x:row>
    <x:row r="425">
      <x:c r="A425" s="81"/>
      <x:c r="B425" s="81"/>
      <x:c r="C425" s="81"/>
      <x:c r="D425" s="81"/>
      <x:c r="E425" s="81"/>
      <x:c r="F425" s="81"/>
      <x:c r="G425" s="81"/>
      <x:c r="H425" s="81"/>
      <x:c r="I425" s="81"/>
      <x:c r="J425" s="81"/>
      <x:c r="K425" s="81"/>
      <x:c r="L425" s="81"/>
      <x:c r="M425" s="81"/>
      <x:c r="N425" s="81"/>
      <x:c r="O425" s="81"/>
      <x:c r="P425" s="81"/>
      <x:c r="Q425" s="81"/>
      <x:c r="R425" s="81"/>
      <x:c r="S425" s="81"/>
      <x:c r="T425" s="81"/>
      <x:c r="U425" s="81"/>
      <x:c r="V425" s="81"/>
      <x:c r="W425" s="81"/>
      <x:c r="X425" s="81"/>
      <x:c r="Y425" s="81"/>
      <x:c r="Z425" s="81"/>
    </x:row>
    <x:row r="426">
      <x:c r="A426" s="81"/>
      <x:c r="B426" s="81"/>
      <x:c r="C426" s="81"/>
      <x:c r="D426" s="81"/>
      <x:c r="E426" s="81"/>
      <x:c r="F426" s="81"/>
      <x:c r="G426" s="81"/>
      <x:c r="H426" s="81"/>
      <x:c r="I426" s="81"/>
      <x:c r="J426" s="81"/>
      <x:c r="K426" s="81"/>
      <x:c r="L426" s="81"/>
      <x:c r="M426" s="81"/>
      <x:c r="N426" s="81"/>
      <x:c r="O426" s="81"/>
      <x:c r="P426" s="81"/>
      <x:c r="Q426" s="81"/>
      <x:c r="R426" s="81"/>
      <x:c r="S426" s="81"/>
      <x:c r="T426" s="81"/>
      <x:c r="U426" s="81"/>
      <x:c r="V426" s="81"/>
      <x:c r="W426" s="81"/>
      <x:c r="X426" s="81"/>
      <x:c r="Y426" s="81"/>
      <x:c r="Z426" s="81"/>
    </x:row>
    <x:row r="427">
      <x:c r="A427" s="81"/>
      <x:c r="B427" s="81"/>
      <x:c r="C427" s="81"/>
      <x:c r="D427" s="81"/>
      <x:c r="E427" s="81"/>
      <x:c r="F427" s="81"/>
      <x:c r="G427" s="81"/>
      <x:c r="H427" s="81"/>
      <x:c r="I427" s="81"/>
      <x:c r="J427" s="81"/>
      <x:c r="K427" s="81"/>
      <x:c r="L427" s="81"/>
      <x:c r="M427" s="81"/>
      <x:c r="N427" s="81"/>
      <x:c r="O427" s="81"/>
      <x:c r="P427" s="81"/>
      <x:c r="Q427" s="81"/>
      <x:c r="R427" s="81"/>
      <x:c r="S427" s="81"/>
      <x:c r="T427" s="81"/>
      <x:c r="U427" s="81"/>
      <x:c r="V427" s="81"/>
      <x:c r="W427" s="81"/>
      <x:c r="X427" s="81"/>
      <x:c r="Y427" s="81"/>
      <x:c r="Z427" s="81"/>
    </x:row>
    <x:row r="428">
      <x:c r="A428" s="81"/>
      <x:c r="B428" s="81"/>
      <x:c r="C428" s="81"/>
      <x:c r="D428" s="81"/>
      <x:c r="E428" s="81"/>
      <x:c r="F428" s="81"/>
      <x:c r="G428" s="81"/>
      <x:c r="H428" s="81"/>
      <x:c r="I428" s="81"/>
      <x:c r="J428" s="81"/>
      <x:c r="K428" s="81"/>
      <x:c r="L428" s="81"/>
      <x:c r="M428" s="81"/>
      <x:c r="N428" s="81"/>
      <x:c r="O428" s="81"/>
      <x:c r="P428" s="81"/>
      <x:c r="Q428" s="81"/>
      <x:c r="R428" s="81"/>
      <x:c r="S428" s="81"/>
      <x:c r="T428" s="81"/>
      <x:c r="U428" s="81"/>
      <x:c r="V428" s="81"/>
      <x:c r="W428" s="81"/>
      <x:c r="X428" s="81"/>
      <x:c r="Y428" s="81"/>
      <x:c r="Z428" s="81"/>
    </x:row>
    <x:row r="429">
      <x:c r="A429" s="81"/>
      <x:c r="B429" s="81"/>
      <x:c r="C429" s="81"/>
      <x:c r="D429" s="81"/>
      <x:c r="E429" s="81"/>
      <x:c r="F429" s="81"/>
      <x:c r="G429" s="81"/>
      <x:c r="H429" s="81"/>
      <x:c r="I429" s="81"/>
      <x:c r="J429" s="81"/>
      <x:c r="K429" s="81"/>
      <x:c r="L429" s="81"/>
      <x:c r="M429" s="81"/>
      <x:c r="N429" s="81"/>
      <x:c r="O429" s="81"/>
      <x:c r="P429" s="81"/>
      <x:c r="Q429" s="81"/>
      <x:c r="R429" s="81"/>
      <x:c r="S429" s="81"/>
      <x:c r="T429" s="81"/>
      <x:c r="U429" s="81"/>
      <x:c r="V429" s="81"/>
      <x:c r="W429" s="81"/>
      <x:c r="X429" s="81"/>
      <x:c r="Y429" s="81"/>
      <x:c r="Z429" s="81"/>
    </x:row>
    <x:row r="430">
      <x:c r="A430" s="81"/>
      <x:c r="B430" s="81"/>
      <x:c r="C430" s="81"/>
      <x:c r="D430" s="81"/>
      <x:c r="E430" s="81"/>
      <x:c r="F430" s="81"/>
      <x:c r="G430" s="81"/>
      <x:c r="H430" s="81"/>
      <x:c r="I430" s="81"/>
      <x:c r="J430" s="81"/>
      <x:c r="K430" s="81"/>
      <x:c r="L430" s="81"/>
      <x:c r="M430" s="81"/>
      <x:c r="N430" s="81"/>
      <x:c r="O430" s="81"/>
      <x:c r="P430" s="81"/>
      <x:c r="Q430" s="81"/>
      <x:c r="R430" s="81"/>
      <x:c r="S430" s="81"/>
      <x:c r="T430" s="81"/>
      <x:c r="U430" s="81"/>
      <x:c r="V430" s="81"/>
      <x:c r="W430" s="81"/>
      <x:c r="X430" s="81"/>
      <x:c r="Y430" s="81"/>
      <x:c r="Z430" s="81"/>
    </x:row>
    <x:row r="431">
      <x:c r="A431" s="81"/>
      <x:c r="B431" s="81"/>
      <x:c r="C431" s="81"/>
      <x:c r="D431" s="81"/>
      <x:c r="E431" s="81"/>
      <x:c r="F431" s="81"/>
      <x:c r="G431" s="81"/>
      <x:c r="H431" s="81"/>
      <x:c r="I431" s="81"/>
      <x:c r="J431" s="81"/>
      <x:c r="K431" s="81"/>
      <x:c r="L431" s="81"/>
      <x:c r="M431" s="81"/>
      <x:c r="N431" s="81"/>
      <x:c r="O431" s="81"/>
      <x:c r="P431" s="81"/>
      <x:c r="Q431" s="81"/>
      <x:c r="R431" s="81"/>
      <x:c r="S431" s="81"/>
      <x:c r="T431" s="81"/>
      <x:c r="U431" s="81"/>
      <x:c r="V431" s="81"/>
      <x:c r="W431" s="81"/>
      <x:c r="X431" s="81"/>
      <x:c r="Y431" s="81"/>
      <x:c r="Z431" s="81"/>
    </x:row>
    <x:row r="432">
      <x:c r="A432" s="81"/>
      <x:c r="B432" s="81"/>
      <x:c r="C432" s="81"/>
      <x:c r="D432" s="81"/>
      <x:c r="E432" s="81"/>
      <x:c r="F432" s="81"/>
      <x:c r="G432" s="81"/>
      <x:c r="H432" s="81"/>
      <x:c r="I432" s="81"/>
      <x:c r="J432" s="81"/>
      <x:c r="K432" s="81"/>
      <x:c r="L432" s="81"/>
      <x:c r="M432" s="81"/>
      <x:c r="N432" s="81"/>
      <x:c r="O432" s="81"/>
      <x:c r="P432" s="81"/>
      <x:c r="Q432" s="81"/>
      <x:c r="R432" s="81"/>
      <x:c r="S432" s="81"/>
      <x:c r="T432" s="81"/>
      <x:c r="U432" s="81"/>
      <x:c r="V432" s="81"/>
      <x:c r="W432" s="81"/>
      <x:c r="X432" s="81"/>
      <x:c r="Y432" s="81"/>
      <x:c r="Z432" s="81"/>
    </x:row>
    <x:row r="433">
      <x:c r="A433" s="81"/>
      <x:c r="B433" s="81"/>
      <x:c r="C433" s="81"/>
      <x:c r="D433" s="81"/>
      <x:c r="E433" s="81"/>
      <x:c r="F433" s="81"/>
      <x:c r="G433" s="81"/>
      <x:c r="H433" s="81"/>
      <x:c r="I433" s="81"/>
      <x:c r="J433" s="81"/>
      <x:c r="K433" s="81"/>
      <x:c r="L433" s="81"/>
      <x:c r="M433" s="81"/>
      <x:c r="N433" s="81"/>
      <x:c r="O433" s="81"/>
      <x:c r="P433" s="81"/>
      <x:c r="Q433" s="81"/>
      <x:c r="R433" s="81"/>
      <x:c r="S433" s="81"/>
      <x:c r="T433" s="81"/>
      <x:c r="U433" s="81"/>
      <x:c r="V433" s="81"/>
      <x:c r="W433" s="81"/>
      <x:c r="X433" s="81"/>
      <x:c r="Y433" s="81"/>
      <x:c r="Z433" s="81"/>
    </x:row>
    <x:row r="434">
      <x:c r="A434" s="81"/>
      <x:c r="B434" s="81"/>
      <x:c r="C434" s="81"/>
      <x:c r="D434" s="81"/>
      <x:c r="E434" s="81"/>
      <x:c r="F434" s="81"/>
      <x:c r="G434" s="81"/>
      <x:c r="H434" s="81"/>
      <x:c r="I434" s="81"/>
      <x:c r="J434" s="81"/>
      <x:c r="K434" s="81"/>
      <x:c r="L434" s="81"/>
      <x:c r="M434" s="81"/>
      <x:c r="N434" s="81"/>
      <x:c r="O434" s="81"/>
      <x:c r="P434" s="81"/>
      <x:c r="Q434" s="81"/>
      <x:c r="R434" s="81"/>
      <x:c r="S434" s="81"/>
      <x:c r="T434" s="81"/>
      <x:c r="U434" s="81"/>
      <x:c r="V434" s="81"/>
      <x:c r="W434" s="81"/>
      <x:c r="X434" s="81"/>
      <x:c r="Y434" s="81"/>
      <x:c r="Z434" s="81"/>
    </x:row>
    <x:row r="435">
      <x:c r="A435" s="81"/>
      <x:c r="B435" s="81"/>
      <x:c r="C435" s="81"/>
      <x:c r="D435" s="81"/>
      <x:c r="E435" s="81"/>
      <x:c r="F435" s="81"/>
      <x:c r="G435" s="81"/>
      <x:c r="H435" s="81"/>
      <x:c r="I435" s="81"/>
      <x:c r="J435" s="81"/>
      <x:c r="K435" s="81"/>
      <x:c r="L435" s="81"/>
      <x:c r="M435" s="81"/>
      <x:c r="N435" s="81"/>
      <x:c r="O435" s="81"/>
      <x:c r="P435" s="81"/>
      <x:c r="Q435" s="81"/>
      <x:c r="R435" s="81"/>
      <x:c r="S435" s="81"/>
      <x:c r="T435" s="81"/>
      <x:c r="U435" s="81"/>
      <x:c r="V435" s="81"/>
      <x:c r="W435" s="81"/>
      <x:c r="X435" s="81"/>
      <x:c r="Y435" s="81"/>
      <x:c r="Z435" s="81"/>
    </x:row>
    <x:row r="436">
      <x:c r="A436" s="81"/>
      <x:c r="B436" s="81"/>
      <x:c r="C436" s="81"/>
      <x:c r="D436" s="81"/>
      <x:c r="E436" s="81"/>
      <x:c r="F436" s="81"/>
      <x:c r="G436" s="81"/>
      <x:c r="H436" s="81"/>
      <x:c r="I436" s="81"/>
      <x:c r="J436" s="81"/>
      <x:c r="K436" s="81"/>
      <x:c r="L436" s="81"/>
      <x:c r="M436" s="81"/>
      <x:c r="N436" s="81"/>
      <x:c r="O436" s="81"/>
      <x:c r="P436" s="81"/>
      <x:c r="Q436" s="81"/>
      <x:c r="R436" s="81"/>
      <x:c r="S436" s="81"/>
      <x:c r="T436" s="81"/>
      <x:c r="U436" s="81"/>
      <x:c r="V436" s="81"/>
      <x:c r="W436" s="81"/>
      <x:c r="X436" s="81"/>
      <x:c r="Y436" s="81"/>
      <x:c r="Z436" s="81"/>
    </x:row>
    <x:row r="437">
      <x:c r="A437" s="81"/>
      <x:c r="B437" s="81"/>
      <x:c r="C437" s="81"/>
      <x:c r="D437" s="81"/>
      <x:c r="E437" s="81"/>
      <x:c r="F437" s="81"/>
      <x:c r="G437" s="81"/>
      <x:c r="H437" s="81"/>
      <x:c r="I437" s="81"/>
      <x:c r="J437" s="81"/>
      <x:c r="K437" s="81"/>
      <x:c r="L437" s="81"/>
      <x:c r="M437" s="81"/>
      <x:c r="N437" s="81"/>
      <x:c r="O437" s="81"/>
      <x:c r="P437" s="81"/>
      <x:c r="Q437" s="81"/>
      <x:c r="R437" s="81"/>
      <x:c r="S437" s="81"/>
      <x:c r="T437" s="81"/>
      <x:c r="U437" s="81"/>
      <x:c r="V437" s="81"/>
      <x:c r="W437" s="81"/>
      <x:c r="X437" s="81"/>
      <x:c r="Y437" s="81"/>
      <x:c r="Z437" s="81"/>
    </x:row>
    <x:row r="438">
      <x:c r="A438" s="81"/>
      <x:c r="B438" s="81"/>
      <x:c r="C438" s="81"/>
      <x:c r="D438" s="81"/>
      <x:c r="E438" s="81"/>
      <x:c r="F438" s="81"/>
      <x:c r="G438" s="81"/>
      <x:c r="H438" s="81"/>
      <x:c r="I438" s="81"/>
      <x:c r="J438" s="81"/>
      <x:c r="K438" s="81"/>
      <x:c r="L438" s="81"/>
      <x:c r="M438" s="81"/>
      <x:c r="N438" s="81"/>
      <x:c r="O438" s="81"/>
      <x:c r="P438" s="81"/>
      <x:c r="Q438" s="81"/>
      <x:c r="R438" s="81"/>
      <x:c r="S438" s="81"/>
      <x:c r="T438" s="81"/>
      <x:c r="U438" s="81"/>
      <x:c r="V438" s="81"/>
      <x:c r="W438" s="81"/>
      <x:c r="X438" s="81"/>
      <x:c r="Y438" s="81"/>
      <x:c r="Z438" s="81"/>
    </x:row>
    <x:row r="439">
      <x:c r="A439" s="81"/>
      <x:c r="B439" s="81"/>
      <x:c r="C439" s="81"/>
      <x:c r="D439" s="81"/>
      <x:c r="E439" s="81"/>
      <x:c r="F439" s="81"/>
      <x:c r="G439" s="81"/>
      <x:c r="H439" s="81"/>
      <x:c r="I439" s="81"/>
      <x:c r="J439" s="81"/>
      <x:c r="K439" s="81"/>
      <x:c r="L439" s="81"/>
      <x:c r="M439" s="81"/>
      <x:c r="N439" s="81"/>
      <x:c r="O439" s="81"/>
      <x:c r="P439" s="81"/>
      <x:c r="Q439" s="81"/>
      <x:c r="R439" s="81"/>
      <x:c r="S439" s="81"/>
      <x:c r="T439" s="81"/>
      <x:c r="U439" s="81"/>
      <x:c r="V439" s="81"/>
      <x:c r="W439" s="81"/>
      <x:c r="X439" s="81"/>
      <x:c r="Y439" s="81"/>
      <x:c r="Z439" s="81"/>
    </x:row>
    <x:row r="440">
      <x:c r="A440" s="81"/>
      <x:c r="B440" s="81"/>
      <x:c r="C440" s="81"/>
      <x:c r="D440" s="81"/>
      <x:c r="E440" s="81"/>
      <x:c r="F440" s="81"/>
      <x:c r="G440" s="81"/>
      <x:c r="H440" s="81"/>
      <x:c r="I440" s="81"/>
      <x:c r="J440" s="81"/>
      <x:c r="K440" s="81"/>
      <x:c r="L440" s="81"/>
      <x:c r="M440" s="81"/>
      <x:c r="N440" s="81"/>
      <x:c r="O440" s="81"/>
      <x:c r="P440" s="81"/>
      <x:c r="Q440" s="81"/>
      <x:c r="R440" s="81"/>
      <x:c r="S440" s="81"/>
      <x:c r="T440" s="81"/>
      <x:c r="U440" s="81"/>
      <x:c r="V440" s="81"/>
      <x:c r="W440" s="81"/>
      <x:c r="X440" s="81"/>
      <x:c r="Y440" s="81"/>
      <x:c r="Z440" s="81"/>
    </x:row>
    <x:row r="441">
      <x:c r="A441" s="81"/>
      <x:c r="B441" s="81"/>
      <x:c r="C441" s="81"/>
      <x:c r="D441" s="81"/>
      <x:c r="E441" s="81"/>
      <x:c r="F441" s="81"/>
      <x:c r="G441" s="81"/>
      <x:c r="H441" s="81"/>
      <x:c r="I441" s="81"/>
      <x:c r="J441" s="81"/>
      <x:c r="K441" s="81"/>
      <x:c r="L441" s="81"/>
      <x:c r="M441" s="81"/>
      <x:c r="N441" s="81"/>
      <x:c r="O441" s="81"/>
      <x:c r="P441" s="81"/>
      <x:c r="Q441" s="81"/>
      <x:c r="R441" s="81"/>
      <x:c r="S441" s="81"/>
      <x:c r="T441" s="81"/>
      <x:c r="U441" s="81"/>
      <x:c r="V441" s="81"/>
      <x:c r="W441" s="81"/>
      <x:c r="X441" s="81"/>
      <x:c r="Y441" s="81"/>
      <x:c r="Z441" s="81"/>
    </x:row>
    <x:row r="442">
      <x:c r="A442" s="81"/>
      <x:c r="B442" s="81"/>
      <x:c r="C442" s="81"/>
      <x:c r="D442" s="81"/>
      <x:c r="E442" s="81"/>
      <x:c r="F442" s="81"/>
      <x:c r="G442" s="81"/>
      <x:c r="H442" s="81"/>
      <x:c r="I442" s="81"/>
      <x:c r="J442" s="81"/>
      <x:c r="K442" s="81"/>
      <x:c r="L442" s="81"/>
      <x:c r="M442" s="81"/>
      <x:c r="N442" s="81"/>
      <x:c r="O442" s="81"/>
      <x:c r="P442" s="81"/>
      <x:c r="Q442" s="81"/>
      <x:c r="R442" s="81"/>
      <x:c r="S442" s="81"/>
      <x:c r="T442" s="81"/>
      <x:c r="U442" s="81"/>
      <x:c r="V442" s="81"/>
      <x:c r="W442" s="81"/>
      <x:c r="X442" s="81"/>
      <x:c r="Y442" s="81"/>
      <x:c r="Z442" s="81"/>
    </x:row>
    <x:row r="443">
      <x:c r="A443" s="81"/>
      <x:c r="B443" s="81"/>
      <x:c r="C443" s="81"/>
      <x:c r="D443" s="81"/>
      <x:c r="E443" s="81"/>
      <x:c r="F443" s="81"/>
      <x:c r="G443" s="81"/>
      <x:c r="H443" s="81"/>
      <x:c r="I443" s="81"/>
      <x:c r="J443" s="81"/>
      <x:c r="K443" s="81"/>
      <x:c r="L443" s="81"/>
      <x:c r="M443" s="81"/>
      <x:c r="N443" s="81"/>
      <x:c r="O443" s="81"/>
      <x:c r="P443" s="81"/>
      <x:c r="Q443" s="81"/>
      <x:c r="R443" s="81"/>
      <x:c r="S443" s="81"/>
      <x:c r="T443" s="81"/>
      <x:c r="U443" s="81"/>
      <x:c r="V443" s="81"/>
      <x:c r="W443" s="81"/>
      <x:c r="X443" s="81"/>
      <x:c r="Y443" s="81"/>
      <x:c r="Z443" s="81"/>
    </x:row>
    <x:row r="444">
      <x:c r="A444" s="81"/>
      <x:c r="B444" s="81"/>
      <x:c r="C444" s="81"/>
      <x:c r="D444" s="81"/>
      <x:c r="E444" s="81"/>
      <x:c r="F444" s="81"/>
      <x:c r="G444" s="81"/>
      <x:c r="H444" s="81"/>
      <x:c r="I444" s="81"/>
      <x:c r="J444" s="81"/>
      <x:c r="K444" s="81"/>
      <x:c r="L444" s="81"/>
      <x:c r="M444" s="81"/>
      <x:c r="N444" s="81"/>
      <x:c r="O444" s="81"/>
      <x:c r="P444" s="81"/>
      <x:c r="Q444" s="81"/>
      <x:c r="R444" s="81"/>
      <x:c r="S444" s="81"/>
      <x:c r="T444" s="81"/>
      <x:c r="U444" s="81"/>
      <x:c r="V444" s="81"/>
      <x:c r="W444" s="81"/>
      <x:c r="X444" s="81"/>
      <x:c r="Y444" s="81"/>
      <x:c r="Z444" s="81"/>
    </x:row>
    <x:row r="445">
      <x:c r="A445" s="81"/>
      <x:c r="B445" s="81"/>
      <x:c r="C445" s="81"/>
      <x:c r="D445" s="81"/>
      <x:c r="E445" s="81"/>
      <x:c r="F445" s="81"/>
      <x:c r="G445" s="81"/>
      <x:c r="H445" s="81"/>
      <x:c r="I445" s="81"/>
      <x:c r="J445" s="81"/>
      <x:c r="K445" s="81"/>
      <x:c r="L445" s="81"/>
      <x:c r="M445" s="81"/>
      <x:c r="N445" s="81"/>
      <x:c r="O445" s="81"/>
      <x:c r="P445" s="81"/>
      <x:c r="Q445" s="81"/>
      <x:c r="R445" s="81"/>
      <x:c r="S445" s="81"/>
      <x:c r="T445" s="81"/>
      <x:c r="U445" s="81"/>
      <x:c r="V445" s="81"/>
      <x:c r="W445" s="81"/>
      <x:c r="X445" s="81"/>
      <x:c r="Y445" s="81"/>
      <x:c r="Z445" s="81"/>
    </x:row>
    <x:row r="446">
      <x:c r="A446" s="81"/>
      <x:c r="B446" s="81"/>
      <x:c r="C446" s="81"/>
      <x:c r="D446" s="81"/>
      <x:c r="E446" s="81"/>
      <x:c r="F446" s="81"/>
      <x:c r="G446" s="81"/>
      <x:c r="H446" s="81"/>
      <x:c r="I446" s="81"/>
      <x:c r="J446" s="81"/>
      <x:c r="K446" s="81"/>
      <x:c r="L446" s="81"/>
      <x:c r="M446" s="81"/>
      <x:c r="N446" s="81"/>
      <x:c r="O446" s="81"/>
      <x:c r="P446" s="81"/>
      <x:c r="Q446" s="81"/>
      <x:c r="R446" s="81"/>
      <x:c r="S446" s="81"/>
      <x:c r="T446" s="81"/>
      <x:c r="U446" s="81"/>
      <x:c r="V446" s="81"/>
      <x:c r="W446" s="81"/>
      <x:c r="X446" s="81"/>
      <x:c r="Y446" s="81"/>
      <x:c r="Z446" s="81"/>
    </x:row>
    <x:row r="447">
      <x:c r="A447" s="81"/>
      <x:c r="B447" s="81"/>
      <x:c r="C447" s="81"/>
      <x:c r="D447" s="81"/>
      <x:c r="E447" s="81"/>
      <x:c r="F447" s="81"/>
      <x:c r="G447" s="81"/>
      <x:c r="H447" s="81"/>
      <x:c r="I447" s="81"/>
      <x:c r="J447" s="81"/>
      <x:c r="K447" s="81"/>
      <x:c r="L447" s="81"/>
      <x:c r="M447" s="81"/>
      <x:c r="N447" s="81"/>
      <x:c r="O447" s="81"/>
      <x:c r="P447" s="81"/>
      <x:c r="Q447" s="81"/>
      <x:c r="R447" s="81"/>
      <x:c r="S447" s="81"/>
      <x:c r="T447" s="81"/>
      <x:c r="U447" s="81"/>
      <x:c r="V447" s="81"/>
      <x:c r="W447" s="81"/>
      <x:c r="X447" s="81"/>
      <x:c r="Y447" s="81"/>
      <x:c r="Z447" s="81"/>
    </x:row>
    <x:row r="448">
      <x:c r="A448" s="81"/>
      <x:c r="B448" s="81"/>
      <x:c r="C448" s="81"/>
      <x:c r="D448" s="81"/>
      <x:c r="E448" s="81"/>
      <x:c r="F448" s="81"/>
      <x:c r="G448" s="81"/>
      <x:c r="H448" s="81"/>
      <x:c r="I448" s="81"/>
      <x:c r="J448" s="81"/>
      <x:c r="K448" s="81"/>
      <x:c r="L448" s="81"/>
      <x:c r="M448" s="81"/>
      <x:c r="N448" s="81"/>
      <x:c r="O448" s="81"/>
      <x:c r="P448" s="81"/>
      <x:c r="Q448" s="81"/>
      <x:c r="R448" s="81"/>
      <x:c r="S448" s="81"/>
      <x:c r="T448" s="81"/>
      <x:c r="U448" s="81"/>
      <x:c r="V448" s="81"/>
      <x:c r="W448" s="81"/>
      <x:c r="X448" s="81"/>
      <x:c r="Y448" s="81"/>
      <x:c r="Z448" s="81"/>
    </x:row>
    <x:row r="449">
      <x:c r="A449" s="81"/>
      <x:c r="B449" s="81"/>
      <x:c r="C449" s="81"/>
      <x:c r="D449" s="81"/>
      <x:c r="E449" s="81"/>
      <x:c r="F449" s="81"/>
      <x:c r="G449" s="81"/>
      <x:c r="H449" s="81"/>
      <x:c r="I449" s="81"/>
      <x:c r="J449" s="81"/>
      <x:c r="K449" s="81"/>
      <x:c r="L449" s="81"/>
      <x:c r="M449" s="81"/>
      <x:c r="N449" s="81"/>
      <x:c r="O449" s="81"/>
      <x:c r="P449" s="81"/>
      <x:c r="Q449" s="81"/>
      <x:c r="R449" s="81"/>
      <x:c r="S449" s="81"/>
      <x:c r="T449" s="81"/>
      <x:c r="U449" s="81"/>
      <x:c r="V449" s="81"/>
      <x:c r="W449" s="81"/>
      <x:c r="X449" s="81"/>
      <x:c r="Y449" s="81"/>
      <x:c r="Z449" s="81"/>
    </x:row>
    <x:row r="450">
      <x:c r="A450" s="81"/>
      <x:c r="B450" s="81"/>
      <x:c r="C450" s="81"/>
      <x:c r="D450" s="81"/>
      <x:c r="E450" s="81"/>
      <x:c r="F450" s="81"/>
      <x:c r="G450" s="81"/>
      <x:c r="H450" s="81"/>
      <x:c r="I450" s="81"/>
      <x:c r="J450" s="81"/>
      <x:c r="K450" s="81"/>
      <x:c r="L450" s="81"/>
      <x:c r="M450" s="81"/>
      <x:c r="N450" s="81"/>
      <x:c r="O450" s="81"/>
      <x:c r="P450" s="81"/>
      <x:c r="Q450" s="81"/>
      <x:c r="R450" s="81"/>
      <x:c r="S450" s="81"/>
      <x:c r="T450" s="81"/>
      <x:c r="U450" s="81"/>
      <x:c r="V450" s="81"/>
      <x:c r="W450" s="81"/>
      <x:c r="X450" s="81"/>
      <x:c r="Y450" s="81"/>
      <x:c r="Z450" s="81"/>
    </x:row>
    <x:row r="451">
      <x:c r="A451" s="81"/>
      <x:c r="B451" s="81"/>
      <x:c r="C451" s="81"/>
      <x:c r="D451" s="81"/>
      <x:c r="E451" s="81"/>
      <x:c r="F451" s="81"/>
      <x:c r="G451" s="81"/>
      <x:c r="H451" s="81"/>
      <x:c r="I451" s="81"/>
      <x:c r="J451" s="81"/>
      <x:c r="K451" s="81"/>
      <x:c r="L451" s="81"/>
      <x:c r="M451" s="81"/>
      <x:c r="N451" s="81"/>
      <x:c r="O451" s="81"/>
      <x:c r="P451" s="81"/>
      <x:c r="Q451" s="81"/>
      <x:c r="R451" s="81"/>
      <x:c r="S451" s="81"/>
      <x:c r="T451" s="81"/>
      <x:c r="U451" s="81"/>
      <x:c r="V451" s="81"/>
      <x:c r="W451" s="81"/>
      <x:c r="X451" s="81"/>
      <x:c r="Y451" s="81"/>
      <x:c r="Z451" s="81"/>
    </x:row>
    <x:row r="452">
      <x:c r="A452" s="81"/>
      <x:c r="B452" s="81"/>
      <x:c r="C452" s="81"/>
      <x:c r="D452" s="81"/>
      <x:c r="E452" s="81"/>
      <x:c r="F452" s="81"/>
      <x:c r="G452" s="81"/>
      <x:c r="H452" s="81"/>
      <x:c r="I452" s="81"/>
      <x:c r="J452" s="81"/>
      <x:c r="K452" s="81"/>
      <x:c r="L452" s="81"/>
      <x:c r="M452" s="81"/>
      <x:c r="N452" s="81"/>
      <x:c r="O452" s="81"/>
      <x:c r="P452" s="81"/>
      <x:c r="Q452" s="81"/>
      <x:c r="R452" s="81"/>
      <x:c r="S452" s="81"/>
      <x:c r="T452" s="81"/>
      <x:c r="U452" s="81"/>
      <x:c r="V452" s="81"/>
      <x:c r="W452" s="81"/>
      <x:c r="X452" s="81"/>
      <x:c r="Y452" s="81"/>
      <x:c r="Z452" s="81"/>
    </x:row>
    <x:row r="453">
      <x:c r="A453" s="81"/>
      <x:c r="B453" s="81"/>
      <x:c r="C453" s="81"/>
      <x:c r="D453" s="81"/>
      <x:c r="E453" s="81"/>
      <x:c r="F453" s="81"/>
      <x:c r="G453" s="81"/>
      <x:c r="H453" s="81"/>
      <x:c r="I453" s="81"/>
      <x:c r="J453" s="81"/>
      <x:c r="K453" s="81"/>
      <x:c r="L453" s="81"/>
      <x:c r="M453" s="81"/>
      <x:c r="N453" s="81"/>
      <x:c r="O453" s="81"/>
      <x:c r="P453" s="81"/>
      <x:c r="Q453" s="81"/>
      <x:c r="R453" s="81"/>
      <x:c r="S453" s="81"/>
      <x:c r="T453" s="81"/>
      <x:c r="U453" s="81"/>
      <x:c r="V453" s="81"/>
      <x:c r="W453" s="81"/>
      <x:c r="X453" s="81"/>
      <x:c r="Y453" s="81"/>
      <x:c r="Z453" s="81"/>
    </x:row>
    <x:row r="454">
      <x:c r="A454" s="81"/>
      <x:c r="B454" s="81"/>
      <x:c r="C454" s="81"/>
      <x:c r="D454" s="81"/>
      <x:c r="E454" s="81"/>
      <x:c r="F454" s="81"/>
      <x:c r="G454" s="81"/>
      <x:c r="H454" s="81"/>
      <x:c r="I454" s="81"/>
      <x:c r="J454" s="81"/>
      <x:c r="K454" s="81"/>
      <x:c r="L454" s="81"/>
      <x:c r="M454" s="81"/>
      <x:c r="N454" s="81"/>
      <x:c r="O454" s="81"/>
      <x:c r="P454" s="81"/>
      <x:c r="Q454" s="81"/>
      <x:c r="R454" s="81"/>
      <x:c r="S454" s="81"/>
      <x:c r="T454" s="81"/>
      <x:c r="U454" s="81"/>
      <x:c r="V454" s="81"/>
      <x:c r="W454" s="81"/>
      <x:c r="X454" s="81"/>
      <x:c r="Y454" s="81"/>
      <x:c r="Z454" s="81"/>
    </x:row>
    <x:row r="455">
      <x:c r="A455" s="81"/>
      <x:c r="B455" s="81"/>
      <x:c r="C455" s="81"/>
      <x:c r="D455" s="81"/>
      <x:c r="E455" s="81"/>
      <x:c r="F455" s="81"/>
      <x:c r="G455" s="81"/>
      <x:c r="H455" s="81"/>
      <x:c r="I455" s="81"/>
      <x:c r="J455" s="81"/>
      <x:c r="K455" s="81"/>
      <x:c r="L455" s="81"/>
      <x:c r="M455" s="81"/>
      <x:c r="N455" s="81"/>
      <x:c r="O455" s="81"/>
      <x:c r="P455" s="81"/>
      <x:c r="Q455" s="81"/>
      <x:c r="R455" s="81"/>
      <x:c r="S455" s="81"/>
      <x:c r="T455" s="81"/>
      <x:c r="U455" s="81"/>
      <x:c r="V455" s="81"/>
      <x:c r="W455" s="81"/>
      <x:c r="X455" s="81"/>
      <x:c r="Y455" s="81"/>
      <x:c r="Z455" s="81"/>
    </x:row>
    <x:row r="456">
      <x:c r="A456" s="81"/>
      <x:c r="B456" s="81"/>
      <x:c r="C456" s="81"/>
      <x:c r="D456" s="81"/>
      <x:c r="E456" s="81"/>
      <x:c r="F456" s="81"/>
      <x:c r="G456" s="81"/>
      <x:c r="H456" s="81"/>
      <x:c r="I456" s="81"/>
      <x:c r="J456" s="81"/>
      <x:c r="K456" s="81"/>
      <x:c r="L456" s="81"/>
      <x:c r="M456" s="81"/>
      <x:c r="N456" s="81"/>
      <x:c r="O456" s="81"/>
      <x:c r="P456" s="81"/>
      <x:c r="Q456" s="81"/>
      <x:c r="R456" s="81"/>
      <x:c r="S456" s="81"/>
      <x:c r="T456" s="81"/>
      <x:c r="U456" s="81"/>
      <x:c r="V456" s="81"/>
      <x:c r="W456" s="81"/>
      <x:c r="X456" s="81"/>
      <x:c r="Y456" s="81"/>
      <x:c r="Z456" s="81"/>
    </x:row>
    <x:row r="457">
      <x:c r="A457" s="81"/>
      <x:c r="B457" s="81"/>
      <x:c r="C457" s="81"/>
      <x:c r="D457" s="81"/>
      <x:c r="E457" s="81"/>
      <x:c r="F457" s="81"/>
      <x:c r="G457" s="81"/>
      <x:c r="H457" s="81"/>
      <x:c r="I457" s="81"/>
      <x:c r="J457" s="81"/>
      <x:c r="K457" s="81"/>
      <x:c r="L457" s="81"/>
      <x:c r="M457" s="81"/>
      <x:c r="N457" s="81"/>
      <x:c r="O457" s="81"/>
      <x:c r="P457" s="81"/>
      <x:c r="Q457" s="81"/>
      <x:c r="R457" s="81"/>
      <x:c r="S457" s="81"/>
      <x:c r="T457" s="81"/>
      <x:c r="U457" s="81"/>
      <x:c r="V457" s="81"/>
      <x:c r="W457" s="81"/>
      <x:c r="X457" s="81"/>
      <x:c r="Y457" s="81"/>
      <x:c r="Z457" s="81"/>
    </x:row>
    <x:row r="458">
      <x:c r="A458" s="81"/>
      <x:c r="B458" s="81"/>
      <x:c r="C458" s="81"/>
      <x:c r="D458" s="81"/>
      <x:c r="E458" s="81"/>
      <x:c r="F458" s="81"/>
      <x:c r="G458" s="81"/>
      <x:c r="H458" s="81"/>
      <x:c r="I458" s="81"/>
      <x:c r="J458" s="81"/>
      <x:c r="K458" s="81"/>
      <x:c r="L458" s="81"/>
      <x:c r="M458" s="81"/>
      <x:c r="N458" s="81"/>
      <x:c r="O458" s="81"/>
      <x:c r="P458" s="81"/>
      <x:c r="Q458" s="81"/>
      <x:c r="R458" s="81"/>
      <x:c r="S458" s="81"/>
      <x:c r="T458" s="81"/>
      <x:c r="U458" s="81"/>
      <x:c r="V458" s="81"/>
      <x:c r="W458" s="81"/>
      <x:c r="X458" s="81"/>
      <x:c r="Y458" s="81"/>
      <x:c r="Z458" s="81"/>
    </x:row>
    <x:row r="459">
      <x:c r="A459" s="81"/>
      <x:c r="B459" s="81"/>
      <x:c r="C459" s="81"/>
      <x:c r="D459" s="81"/>
      <x:c r="E459" s="81"/>
      <x:c r="F459" s="81"/>
      <x:c r="G459" s="81"/>
      <x:c r="H459" s="81"/>
      <x:c r="I459" s="81"/>
      <x:c r="J459" s="81"/>
      <x:c r="K459" s="81"/>
      <x:c r="L459" s="81"/>
      <x:c r="M459" s="81"/>
      <x:c r="N459" s="81"/>
      <x:c r="O459" s="81"/>
      <x:c r="P459" s="81"/>
      <x:c r="Q459" s="81"/>
      <x:c r="R459" s="81"/>
      <x:c r="S459" s="81"/>
      <x:c r="T459" s="81"/>
      <x:c r="U459" s="81"/>
      <x:c r="V459" s="81"/>
      <x:c r="W459" s="81"/>
      <x:c r="X459" s="81"/>
      <x:c r="Y459" s="81"/>
      <x:c r="Z459" s="81"/>
    </x:row>
    <x:row r="460">
      <x:c r="A460" s="81"/>
      <x:c r="B460" s="81"/>
      <x:c r="C460" s="81"/>
      <x:c r="D460" s="81"/>
      <x:c r="E460" s="81"/>
      <x:c r="F460" s="81"/>
      <x:c r="G460" s="81"/>
      <x:c r="H460" s="81"/>
      <x:c r="I460" s="81"/>
      <x:c r="J460" s="81"/>
      <x:c r="K460" s="81"/>
      <x:c r="L460" s="81"/>
      <x:c r="M460" s="81"/>
      <x:c r="N460" s="81"/>
      <x:c r="O460" s="81"/>
      <x:c r="P460" s="81"/>
      <x:c r="Q460" s="81"/>
      <x:c r="R460" s="81"/>
      <x:c r="S460" s="81"/>
      <x:c r="T460" s="81"/>
      <x:c r="U460" s="81"/>
      <x:c r="V460" s="81"/>
      <x:c r="W460" s="81"/>
      <x:c r="X460" s="81"/>
      <x:c r="Y460" s="81"/>
      <x:c r="Z460" s="81"/>
    </x:row>
    <x:row r="461">
      <x:c r="A461" s="81"/>
      <x:c r="B461" s="81"/>
      <x:c r="C461" s="81"/>
      <x:c r="D461" s="81"/>
      <x:c r="E461" s="81"/>
      <x:c r="F461" s="81"/>
      <x:c r="G461" s="81"/>
      <x:c r="H461" s="81"/>
      <x:c r="I461" s="81"/>
      <x:c r="J461" s="81"/>
      <x:c r="K461" s="81"/>
      <x:c r="L461" s="81"/>
      <x:c r="M461" s="81"/>
      <x:c r="N461" s="81"/>
      <x:c r="O461" s="81"/>
      <x:c r="P461" s="81"/>
      <x:c r="Q461" s="81"/>
      <x:c r="R461" s="81"/>
      <x:c r="S461" s="81"/>
      <x:c r="T461" s="81"/>
      <x:c r="U461" s="81"/>
      <x:c r="V461" s="81"/>
      <x:c r="W461" s="81"/>
      <x:c r="X461" s="81"/>
      <x:c r="Y461" s="81"/>
      <x:c r="Z461" s="81"/>
    </x:row>
    <x:row r="462">
      <x:c r="A462" s="81"/>
      <x:c r="B462" s="81"/>
      <x:c r="C462" s="81"/>
      <x:c r="D462" s="81"/>
      <x:c r="E462" s="81"/>
      <x:c r="F462" s="81"/>
      <x:c r="G462" s="81"/>
      <x:c r="H462" s="81"/>
      <x:c r="I462" s="81"/>
      <x:c r="J462" s="81"/>
      <x:c r="K462" s="81"/>
      <x:c r="L462" s="81"/>
      <x:c r="M462" s="81"/>
      <x:c r="N462" s="81"/>
      <x:c r="O462" s="81"/>
      <x:c r="P462" s="81"/>
      <x:c r="Q462" s="81"/>
      <x:c r="R462" s="81"/>
      <x:c r="S462" s="81"/>
      <x:c r="T462" s="81"/>
      <x:c r="U462" s="81"/>
      <x:c r="V462" s="81"/>
      <x:c r="W462" s="81"/>
      <x:c r="X462" s="81"/>
      <x:c r="Y462" s="81"/>
      <x:c r="Z462" s="81"/>
    </x:row>
    <x:row r="463">
      <x:c r="A463" s="81"/>
      <x:c r="B463" s="81"/>
      <x:c r="C463" s="81"/>
      <x:c r="D463" s="81"/>
      <x:c r="E463" s="81"/>
      <x:c r="F463" s="81"/>
      <x:c r="G463" s="81"/>
      <x:c r="H463" s="81"/>
      <x:c r="I463" s="81"/>
      <x:c r="J463" s="81"/>
      <x:c r="K463" s="81"/>
      <x:c r="L463" s="81"/>
      <x:c r="M463" s="81"/>
      <x:c r="N463" s="81"/>
      <x:c r="O463" s="81"/>
      <x:c r="P463" s="81"/>
      <x:c r="Q463" s="81"/>
      <x:c r="R463" s="81"/>
      <x:c r="S463" s="81"/>
      <x:c r="T463" s="81"/>
      <x:c r="U463" s="81"/>
      <x:c r="V463" s="81"/>
      <x:c r="W463" s="81"/>
      <x:c r="X463" s="81"/>
      <x:c r="Y463" s="81"/>
      <x:c r="Z463" s="81"/>
    </x:row>
    <x:row r="464">
      <x:c r="A464" s="81"/>
      <x:c r="B464" s="81"/>
      <x:c r="C464" s="81"/>
      <x:c r="D464" s="81"/>
      <x:c r="E464" s="81"/>
      <x:c r="F464" s="81"/>
      <x:c r="G464" s="81"/>
      <x:c r="H464" s="81"/>
      <x:c r="I464" s="81"/>
      <x:c r="J464" s="81"/>
      <x:c r="K464" s="81"/>
      <x:c r="L464" s="81"/>
      <x:c r="M464" s="81"/>
      <x:c r="N464" s="81"/>
      <x:c r="O464" s="81"/>
      <x:c r="P464" s="81"/>
      <x:c r="Q464" s="81"/>
      <x:c r="R464" s="81"/>
      <x:c r="S464" s="81"/>
      <x:c r="T464" s="81"/>
      <x:c r="U464" s="81"/>
      <x:c r="V464" s="81"/>
      <x:c r="W464" s="81"/>
      <x:c r="X464" s="81"/>
      <x:c r="Y464" s="81"/>
      <x:c r="Z464" s="81"/>
    </x:row>
    <x:row r="465">
      <x:c r="A465" s="81"/>
      <x:c r="B465" s="81"/>
      <x:c r="C465" s="81"/>
      <x:c r="D465" s="81"/>
      <x:c r="E465" s="81"/>
      <x:c r="F465" s="81"/>
      <x:c r="G465" s="81"/>
      <x:c r="H465" s="81"/>
      <x:c r="I465" s="81"/>
      <x:c r="J465" s="81"/>
      <x:c r="K465" s="81"/>
      <x:c r="L465" s="81"/>
      <x:c r="M465" s="81"/>
      <x:c r="N465" s="81"/>
      <x:c r="O465" s="81"/>
      <x:c r="P465" s="81"/>
      <x:c r="Q465" s="81"/>
      <x:c r="R465" s="81"/>
      <x:c r="S465" s="81"/>
      <x:c r="T465" s="81"/>
      <x:c r="U465" s="81"/>
      <x:c r="V465" s="81"/>
      <x:c r="W465" s="81"/>
      <x:c r="X465" s="81"/>
      <x:c r="Y465" s="81"/>
      <x:c r="Z465" s="81"/>
    </x:row>
    <x:row r="466">
      <x:c r="A466" s="81"/>
      <x:c r="B466" s="81"/>
      <x:c r="C466" s="81"/>
      <x:c r="D466" s="81"/>
      <x:c r="E466" s="81"/>
      <x:c r="F466" s="81"/>
      <x:c r="G466" s="81"/>
      <x:c r="H466" s="81"/>
      <x:c r="I466" s="81"/>
      <x:c r="J466" s="81"/>
      <x:c r="K466" s="81"/>
      <x:c r="L466" s="81"/>
      <x:c r="M466" s="81"/>
      <x:c r="N466" s="81"/>
      <x:c r="O466" s="81"/>
      <x:c r="P466" s="81"/>
      <x:c r="Q466" s="81"/>
      <x:c r="R466" s="81"/>
      <x:c r="S466" s="81"/>
      <x:c r="T466" s="81"/>
      <x:c r="U466" s="81"/>
      <x:c r="V466" s="81"/>
      <x:c r="W466" s="81"/>
      <x:c r="X466" s="81"/>
      <x:c r="Y466" s="81"/>
      <x:c r="Z466" s="81"/>
    </x:row>
    <x:row r="467">
      <x:c r="A467" s="81"/>
      <x:c r="B467" s="81"/>
      <x:c r="C467" s="81"/>
      <x:c r="D467" s="81"/>
      <x:c r="E467" s="81"/>
      <x:c r="F467" s="81"/>
      <x:c r="G467" s="81"/>
      <x:c r="H467" s="81"/>
      <x:c r="I467" s="81"/>
      <x:c r="J467" s="81"/>
      <x:c r="K467" s="81"/>
      <x:c r="L467" s="81"/>
      <x:c r="M467" s="81"/>
      <x:c r="N467" s="81"/>
      <x:c r="O467" s="81"/>
      <x:c r="P467" s="81"/>
      <x:c r="Q467" s="81"/>
      <x:c r="R467" s="81"/>
      <x:c r="S467" s="81"/>
      <x:c r="T467" s="81"/>
      <x:c r="U467" s="81"/>
      <x:c r="V467" s="81"/>
      <x:c r="W467" s="81"/>
      <x:c r="X467" s="81"/>
      <x:c r="Y467" s="81"/>
      <x:c r="Z467" s="81"/>
    </x:row>
    <x:row r="468">
      <x:c r="A468" s="81"/>
      <x:c r="B468" s="81"/>
      <x:c r="C468" s="81"/>
      <x:c r="D468" s="81"/>
      <x:c r="E468" s="81"/>
      <x:c r="F468" s="81"/>
      <x:c r="G468" s="81"/>
      <x:c r="H468" s="81"/>
      <x:c r="I468" s="81"/>
      <x:c r="J468" s="81"/>
      <x:c r="K468" s="81"/>
      <x:c r="L468" s="81"/>
      <x:c r="M468" s="81"/>
      <x:c r="N468" s="81"/>
      <x:c r="O468" s="81"/>
      <x:c r="P468" s="81"/>
      <x:c r="Q468" s="81"/>
      <x:c r="R468" s="81"/>
      <x:c r="S468" s="81"/>
      <x:c r="T468" s="81"/>
      <x:c r="U468" s="81"/>
      <x:c r="V468" s="81"/>
      <x:c r="W468" s="81"/>
      <x:c r="X468" s="81"/>
      <x:c r="Y468" s="81"/>
      <x:c r="Z468" s="81"/>
    </x:row>
    <x:row r="469">
      <x:c r="A469" s="81"/>
      <x:c r="B469" s="81"/>
      <x:c r="C469" s="81"/>
      <x:c r="D469" s="81"/>
      <x:c r="E469" s="81"/>
      <x:c r="F469" s="81"/>
      <x:c r="G469" s="81"/>
      <x:c r="H469" s="81"/>
      <x:c r="I469" s="81"/>
      <x:c r="J469" s="81"/>
      <x:c r="K469" s="81"/>
      <x:c r="L469" s="81"/>
      <x:c r="M469" s="81"/>
      <x:c r="N469" s="81"/>
      <x:c r="O469" s="81"/>
      <x:c r="P469" s="81"/>
      <x:c r="Q469" s="81"/>
      <x:c r="R469" s="81"/>
      <x:c r="S469" s="81"/>
      <x:c r="T469" s="81"/>
      <x:c r="U469" s="81"/>
      <x:c r="V469" s="81"/>
      <x:c r="W469" s="81"/>
      <x:c r="X469" s="81"/>
      <x:c r="Y469" s="81"/>
      <x:c r="Z469" s="81"/>
    </x:row>
    <x:row r="470">
      <x:c r="A470" s="81"/>
      <x:c r="B470" s="81"/>
      <x:c r="C470" s="81"/>
      <x:c r="D470" s="81"/>
      <x:c r="E470" s="81"/>
      <x:c r="F470" s="81"/>
      <x:c r="G470" s="81"/>
      <x:c r="H470" s="81"/>
      <x:c r="I470" s="81"/>
      <x:c r="J470" s="81"/>
      <x:c r="K470" s="81"/>
      <x:c r="L470" s="81"/>
      <x:c r="M470" s="81"/>
      <x:c r="N470" s="81"/>
      <x:c r="O470" s="81"/>
      <x:c r="P470" s="81"/>
      <x:c r="Q470" s="81"/>
      <x:c r="R470" s="81"/>
      <x:c r="S470" s="81"/>
      <x:c r="T470" s="81"/>
      <x:c r="U470" s="81"/>
      <x:c r="V470" s="81"/>
      <x:c r="W470" s="81"/>
      <x:c r="X470" s="81"/>
      <x:c r="Y470" s="81"/>
      <x:c r="Z470" s="81"/>
    </x:row>
    <x:row r="471">
      <x:c r="A471" s="81"/>
      <x:c r="B471" s="81"/>
      <x:c r="C471" s="81"/>
      <x:c r="D471" s="81"/>
      <x:c r="E471" s="81"/>
      <x:c r="F471" s="81"/>
      <x:c r="G471" s="81"/>
      <x:c r="H471" s="81"/>
      <x:c r="I471" s="81"/>
      <x:c r="J471" s="81"/>
      <x:c r="K471" s="81"/>
      <x:c r="L471" s="81"/>
      <x:c r="M471" s="81"/>
      <x:c r="N471" s="81"/>
      <x:c r="O471" s="81"/>
      <x:c r="P471" s="81"/>
      <x:c r="Q471" s="81"/>
      <x:c r="R471" s="81"/>
      <x:c r="S471" s="81"/>
      <x:c r="T471" s="81"/>
      <x:c r="U471" s="81"/>
      <x:c r="V471" s="81"/>
      <x:c r="W471" s="81"/>
      <x:c r="X471" s="81"/>
      <x:c r="Y471" s="81"/>
      <x:c r="Z471" s="81"/>
    </x:row>
    <x:row r="472">
      <x:c r="A472" s="81"/>
      <x:c r="B472" s="81"/>
      <x:c r="C472" s="81"/>
      <x:c r="D472" s="81"/>
      <x:c r="E472" s="81"/>
      <x:c r="F472" s="81"/>
      <x:c r="G472" s="81"/>
      <x:c r="H472" s="81"/>
      <x:c r="I472" s="81"/>
      <x:c r="J472" s="81"/>
      <x:c r="K472" s="81"/>
      <x:c r="L472" s="81"/>
      <x:c r="M472" s="81"/>
      <x:c r="N472" s="81"/>
      <x:c r="O472" s="81"/>
      <x:c r="P472" s="81"/>
      <x:c r="Q472" s="81"/>
      <x:c r="R472" s="81"/>
      <x:c r="S472" s="81"/>
      <x:c r="T472" s="81"/>
      <x:c r="U472" s="81"/>
      <x:c r="V472" s="81"/>
      <x:c r="W472" s="81"/>
      <x:c r="X472" s="81"/>
      <x:c r="Y472" s="81"/>
      <x:c r="Z472" s="81"/>
    </x:row>
    <x:row r="473">
      <x:c r="A473" s="81"/>
      <x:c r="B473" s="81"/>
      <x:c r="C473" s="81"/>
      <x:c r="D473" s="81"/>
      <x:c r="E473" s="81"/>
      <x:c r="F473" s="81"/>
      <x:c r="G473" s="81"/>
      <x:c r="H473" s="81"/>
      <x:c r="I473" s="81"/>
      <x:c r="J473" s="81"/>
      <x:c r="K473" s="81"/>
      <x:c r="L473" s="81"/>
      <x:c r="M473" s="81"/>
      <x:c r="N473" s="81"/>
      <x:c r="O473" s="81"/>
      <x:c r="P473" s="81"/>
      <x:c r="Q473" s="81"/>
      <x:c r="R473" s="81"/>
      <x:c r="S473" s="81"/>
      <x:c r="T473" s="81"/>
      <x:c r="U473" s="81"/>
      <x:c r="V473" s="81"/>
      <x:c r="W473" s="81"/>
      <x:c r="X473" s="81"/>
      <x:c r="Y473" s="81"/>
      <x:c r="Z473" s="81"/>
    </x:row>
    <x:row r="474">
      <x:c r="A474" s="81"/>
      <x:c r="B474" s="81"/>
      <x:c r="C474" s="81"/>
      <x:c r="D474" s="81"/>
      <x:c r="E474" s="81"/>
      <x:c r="F474" s="81"/>
      <x:c r="G474" s="81"/>
      <x:c r="H474" s="81"/>
      <x:c r="I474" s="81"/>
      <x:c r="J474" s="81"/>
      <x:c r="K474" s="81"/>
      <x:c r="L474" s="81"/>
      <x:c r="M474" s="81"/>
      <x:c r="N474" s="81"/>
      <x:c r="O474" s="81"/>
      <x:c r="P474" s="81"/>
      <x:c r="Q474" s="81"/>
      <x:c r="R474" s="81"/>
      <x:c r="S474" s="81"/>
      <x:c r="T474" s="81"/>
      <x:c r="U474" s="81"/>
      <x:c r="V474" s="81"/>
      <x:c r="W474" s="81"/>
      <x:c r="X474" s="81"/>
      <x:c r="Y474" s="81"/>
      <x:c r="Z474" s="81"/>
    </x:row>
    <x:row r="475">
      <x:c r="A475" s="81"/>
      <x:c r="B475" s="81"/>
      <x:c r="C475" s="81"/>
      <x:c r="D475" s="81"/>
      <x:c r="E475" s="81"/>
      <x:c r="F475" s="81"/>
      <x:c r="G475" s="81"/>
      <x:c r="H475" s="81"/>
      <x:c r="I475" s="81"/>
      <x:c r="J475" s="81"/>
      <x:c r="K475" s="81"/>
      <x:c r="L475" s="81"/>
      <x:c r="M475" s="81"/>
      <x:c r="N475" s="81"/>
      <x:c r="O475" s="81"/>
      <x:c r="P475" s="81"/>
      <x:c r="Q475" s="81"/>
      <x:c r="R475" s="81"/>
      <x:c r="S475" s="81"/>
      <x:c r="T475" s="81"/>
      <x:c r="U475" s="81"/>
      <x:c r="V475" s="81"/>
      <x:c r="W475" s="81"/>
      <x:c r="X475" s="81"/>
      <x:c r="Y475" s="81"/>
      <x:c r="Z475" s="81"/>
    </x:row>
    <x:row r="476">
      <x:c r="A476" s="81"/>
      <x:c r="B476" s="81"/>
      <x:c r="C476" s="81"/>
      <x:c r="D476" s="81"/>
      <x:c r="E476" s="81"/>
      <x:c r="F476" s="81"/>
      <x:c r="G476" s="81"/>
      <x:c r="H476" s="81"/>
      <x:c r="I476" s="81"/>
      <x:c r="J476" s="81"/>
      <x:c r="K476" s="81"/>
      <x:c r="L476" s="81"/>
      <x:c r="M476" s="81"/>
      <x:c r="N476" s="81"/>
      <x:c r="O476" s="81"/>
      <x:c r="P476" s="81"/>
      <x:c r="Q476" s="81"/>
      <x:c r="R476" s="81"/>
      <x:c r="S476" s="81"/>
      <x:c r="T476" s="81"/>
      <x:c r="U476" s="81"/>
      <x:c r="V476" s="81"/>
      <x:c r="W476" s="81"/>
      <x:c r="X476" s="81"/>
      <x:c r="Y476" s="81"/>
      <x:c r="Z476" s="81"/>
    </x:row>
    <x:row r="477">
      <x:c r="A477" s="81"/>
      <x:c r="B477" s="81"/>
      <x:c r="C477" s="81"/>
      <x:c r="D477" s="81"/>
      <x:c r="E477" s="81"/>
      <x:c r="F477" s="81"/>
      <x:c r="G477" s="81"/>
      <x:c r="H477" s="81"/>
      <x:c r="I477" s="81"/>
      <x:c r="J477" s="81"/>
      <x:c r="K477" s="81"/>
      <x:c r="L477" s="81"/>
      <x:c r="M477" s="81"/>
      <x:c r="N477" s="81"/>
      <x:c r="O477" s="81"/>
      <x:c r="P477" s="81"/>
      <x:c r="Q477" s="81"/>
      <x:c r="R477" s="81"/>
      <x:c r="S477" s="81"/>
      <x:c r="T477" s="81"/>
      <x:c r="U477" s="81"/>
      <x:c r="V477" s="81"/>
      <x:c r="W477" s="81"/>
      <x:c r="X477" s="81"/>
      <x:c r="Y477" s="81"/>
      <x:c r="Z477" s="81"/>
    </x:row>
    <x:row r="478">
      <x:c r="A478" s="81"/>
      <x:c r="B478" s="81"/>
      <x:c r="C478" s="81"/>
      <x:c r="D478" s="81"/>
      <x:c r="E478" s="81"/>
      <x:c r="F478" s="81"/>
      <x:c r="G478" s="81"/>
      <x:c r="H478" s="81"/>
      <x:c r="I478" s="81"/>
      <x:c r="J478" s="81"/>
      <x:c r="K478" s="81"/>
      <x:c r="L478" s="81"/>
      <x:c r="M478" s="81"/>
      <x:c r="N478" s="81"/>
      <x:c r="O478" s="81"/>
      <x:c r="P478" s="81"/>
      <x:c r="Q478" s="81"/>
      <x:c r="R478" s="81"/>
      <x:c r="S478" s="81"/>
      <x:c r="T478" s="81"/>
      <x:c r="U478" s="81"/>
      <x:c r="V478" s="81"/>
      <x:c r="W478" s="81"/>
      <x:c r="X478" s="81"/>
      <x:c r="Y478" s="81"/>
      <x:c r="Z478" s="81"/>
    </x:row>
    <x:row r="479">
      <x:c r="A479" s="81"/>
      <x:c r="B479" s="81"/>
      <x:c r="C479" s="81"/>
      <x:c r="D479" s="81"/>
      <x:c r="E479" s="81"/>
      <x:c r="F479" s="81"/>
      <x:c r="G479" s="81"/>
      <x:c r="H479" s="81"/>
      <x:c r="I479" s="81"/>
      <x:c r="J479" s="81"/>
      <x:c r="K479" s="81"/>
      <x:c r="L479" s="81"/>
      <x:c r="M479" s="81"/>
      <x:c r="N479" s="81"/>
      <x:c r="O479" s="81"/>
      <x:c r="P479" s="81"/>
      <x:c r="Q479" s="81"/>
      <x:c r="R479" s="81"/>
      <x:c r="S479" s="81"/>
      <x:c r="T479" s="81"/>
      <x:c r="U479" s="81"/>
      <x:c r="V479" s="81"/>
      <x:c r="W479" s="81"/>
      <x:c r="X479" s="81"/>
      <x:c r="Y479" s="81"/>
      <x:c r="Z479" s="81"/>
    </x:row>
    <x:row r="480">
      <x:c r="A480" s="81"/>
      <x:c r="B480" s="81"/>
      <x:c r="C480" s="81"/>
      <x:c r="D480" s="81"/>
      <x:c r="E480" s="81"/>
      <x:c r="F480" s="81"/>
      <x:c r="G480" s="81"/>
      <x:c r="H480" s="81"/>
      <x:c r="I480" s="81"/>
      <x:c r="J480" s="81"/>
      <x:c r="K480" s="81"/>
      <x:c r="L480" s="81"/>
      <x:c r="M480" s="81"/>
      <x:c r="N480" s="81"/>
      <x:c r="O480" s="81"/>
      <x:c r="P480" s="81"/>
      <x:c r="Q480" s="81"/>
      <x:c r="R480" s="81"/>
      <x:c r="S480" s="81"/>
      <x:c r="T480" s="81"/>
      <x:c r="U480" s="81"/>
      <x:c r="V480" s="81"/>
      <x:c r="W480" s="81"/>
      <x:c r="X480" s="81"/>
      <x:c r="Y480" s="81"/>
      <x:c r="Z480" s="81"/>
    </x:row>
    <x:row r="481">
      <x:c r="A481" s="81"/>
      <x:c r="B481" s="81"/>
      <x:c r="C481" s="81"/>
      <x:c r="D481" s="81"/>
      <x:c r="E481" s="81"/>
      <x:c r="F481" s="81"/>
      <x:c r="G481" s="81"/>
      <x:c r="H481" s="81"/>
      <x:c r="I481" s="81"/>
      <x:c r="J481" s="81"/>
      <x:c r="K481" s="81"/>
      <x:c r="L481" s="81"/>
      <x:c r="M481" s="81"/>
      <x:c r="N481" s="81"/>
      <x:c r="O481" s="81"/>
      <x:c r="P481" s="81"/>
      <x:c r="Q481" s="81"/>
      <x:c r="R481" s="81"/>
      <x:c r="S481" s="81"/>
      <x:c r="T481" s="81"/>
      <x:c r="U481" s="81"/>
      <x:c r="V481" s="81"/>
      <x:c r="W481" s="81"/>
      <x:c r="X481" s="81"/>
      <x:c r="Y481" s="81"/>
      <x:c r="Z481" s="81"/>
    </x:row>
    <x:row r="482">
      <x:c r="A482" s="81"/>
      <x:c r="B482" s="81"/>
      <x:c r="C482" s="81"/>
      <x:c r="D482" s="81"/>
      <x:c r="E482" s="81"/>
      <x:c r="F482" s="81"/>
      <x:c r="G482" s="81"/>
      <x:c r="H482" s="81"/>
      <x:c r="I482" s="81"/>
      <x:c r="J482" s="81"/>
      <x:c r="K482" s="81"/>
      <x:c r="L482" s="81"/>
      <x:c r="M482" s="81"/>
      <x:c r="N482" s="81"/>
      <x:c r="O482" s="81"/>
      <x:c r="P482" s="81"/>
      <x:c r="Q482" s="81"/>
      <x:c r="R482" s="81"/>
      <x:c r="S482" s="81"/>
      <x:c r="T482" s="81"/>
      <x:c r="U482" s="81"/>
      <x:c r="V482" s="81"/>
      <x:c r="W482" s="81"/>
      <x:c r="X482" s="81"/>
      <x:c r="Y482" s="81"/>
      <x:c r="Z482" s="81"/>
    </x:row>
    <x:row r="483">
      <x:c r="A483" s="81"/>
      <x:c r="B483" s="81"/>
      <x:c r="C483" s="81"/>
      <x:c r="D483" s="81"/>
      <x:c r="E483" s="81"/>
      <x:c r="F483" s="81"/>
      <x:c r="G483" s="81"/>
      <x:c r="H483" s="81"/>
      <x:c r="I483" s="81"/>
      <x:c r="J483" s="81"/>
      <x:c r="K483" s="81"/>
      <x:c r="L483" s="81"/>
      <x:c r="M483" s="81"/>
      <x:c r="N483" s="81"/>
      <x:c r="O483" s="81"/>
      <x:c r="P483" s="81"/>
      <x:c r="Q483" s="81"/>
      <x:c r="R483" s="81"/>
      <x:c r="S483" s="81"/>
      <x:c r="T483" s="81"/>
      <x:c r="U483" s="81"/>
      <x:c r="V483" s="81"/>
      <x:c r="W483" s="81"/>
      <x:c r="X483" s="81"/>
      <x:c r="Y483" s="81"/>
      <x:c r="Z483" s="81"/>
    </x:row>
    <x:row r="484">
      <x:c r="A484" s="81"/>
      <x:c r="B484" s="81"/>
      <x:c r="C484" s="81"/>
      <x:c r="D484" s="81"/>
      <x:c r="E484" s="81"/>
      <x:c r="F484" s="81"/>
      <x:c r="G484" s="81"/>
      <x:c r="H484" s="81"/>
      <x:c r="I484" s="81"/>
      <x:c r="J484" s="81"/>
      <x:c r="K484" s="81"/>
      <x:c r="L484" s="81"/>
      <x:c r="M484" s="81"/>
      <x:c r="N484" s="81"/>
      <x:c r="O484" s="81"/>
      <x:c r="P484" s="81"/>
      <x:c r="Q484" s="81"/>
      <x:c r="R484" s="81"/>
      <x:c r="S484" s="81"/>
      <x:c r="T484" s="81"/>
      <x:c r="U484" s="81"/>
      <x:c r="V484" s="81"/>
      <x:c r="W484" s="81"/>
      <x:c r="X484" s="81"/>
      <x:c r="Y484" s="81"/>
      <x:c r="Z484" s="81"/>
    </x:row>
    <x:row r="485">
      <x:c r="A485" s="81"/>
      <x:c r="B485" s="81"/>
      <x:c r="C485" s="81"/>
      <x:c r="D485" s="81"/>
      <x:c r="E485" s="81"/>
      <x:c r="F485" s="81"/>
      <x:c r="G485" s="81"/>
      <x:c r="H485" s="81"/>
      <x:c r="I485" s="81"/>
      <x:c r="J485" s="81"/>
      <x:c r="K485" s="81"/>
      <x:c r="L485" s="81"/>
      <x:c r="M485" s="81"/>
      <x:c r="N485" s="81"/>
      <x:c r="O485" s="81"/>
      <x:c r="P485" s="81"/>
      <x:c r="Q485" s="81"/>
      <x:c r="R485" s="81"/>
      <x:c r="S485" s="81"/>
      <x:c r="T485" s="81"/>
      <x:c r="U485" s="81"/>
      <x:c r="V485" s="81"/>
      <x:c r="W485" s="81"/>
      <x:c r="X485" s="81"/>
      <x:c r="Y485" s="81"/>
      <x:c r="Z485" s="81"/>
    </x:row>
    <x:row r="486">
      <x:c r="A486" s="81"/>
      <x:c r="B486" s="81"/>
      <x:c r="C486" s="81"/>
      <x:c r="D486" s="81"/>
      <x:c r="E486" s="81"/>
      <x:c r="F486" s="81"/>
      <x:c r="G486" s="81"/>
      <x:c r="H486" s="81"/>
      <x:c r="I486" s="81"/>
      <x:c r="J486" s="81"/>
      <x:c r="K486" s="81"/>
      <x:c r="L486" s="81"/>
      <x:c r="M486" s="81"/>
      <x:c r="N486" s="81"/>
      <x:c r="O486" s="81"/>
      <x:c r="P486" s="81"/>
      <x:c r="Q486" s="81"/>
      <x:c r="R486" s="81"/>
      <x:c r="S486" s="81"/>
      <x:c r="T486" s="81"/>
      <x:c r="U486" s="81"/>
      <x:c r="V486" s="81"/>
      <x:c r="W486" s="81"/>
      <x:c r="X486" s="81"/>
      <x:c r="Y486" s="81"/>
      <x:c r="Z486" s="81"/>
    </x:row>
    <x:row r="487">
      <x:c r="A487" s="81"/>
      <x:c r="B487" s="81"/>
      <x:c r="C487" s="81"/>
      <x:c r="D487" s="81"/>
      <x:c r="E487" s="81"/>
      <x:c r="F487" s="81"/>
      <x:c r="G487" s="81"/>
      <x:c r="H487" s="81"/>
      <x:c r="I487" s="81"/>
      <x:c r="J487" s="81"/>
      <x:c r="K487" s="81"/>
      <x:c r="L487" s="81"/>
      <x:c r="M487" s="81"/>
      <x:c r="N487" s="81"/>
      <x:c r="O487" s="81"/>
      <x:c r="P487" s="81"/>
      <x:c r="Q487" s="81"/>
      <x:c r="R487" s="81"/>
      <x:c r="S487" s="81"/>
      <x:c r="T487" s="81"/>
      <x:c r="U487" s="81"/>
      <x:c r="V487" s="81"/>
      <x:c r="W487" s="81"/>
      <x:c r="X487" s="81"/>
      <x:c r="Y487" s="81"/>
      <x:c r="Z487" s="81"/>
    </x:row>
    <x:row r="488">
      <x:c r="A488" s="81"/>
      <x:c r="B488" s="81"/>
      <x:c r="C488" s="81"/>
      <x:c r="D488" s="81"/>
      <x:c r="E488" s="81"/>
      <x:c r="F488" s="81"/>
      <x:c r="G488" s="81"/>
      <x:c r="H488" s="81"/>
      <x:c r="I488" s="81"/>
      <x:c r="J488" s="81"/>
      <x:c r="K488" s="81"/>
      <x:c r="L488" s="81"/>
      <x:c r="M488" s="81"/>
      <x:c r="N488" s="81"/>
      <x:c r="O488" s="81"/>
      <x:c r="P488" s="81"/>
      <x:c r="Q488" s="81"/>
      <x:c r="R488" s="81"/>
      <x:c r="S488" s="81"/>
      <x:c r="T488" s="81"/>
      <x:c r="U488" s="81"/>
      <x:c r="V488" s="81"/>
      <x:c r="W488" s="81"/>
      <x:c r="X488" s="81"/>
      <x:c r="Y488" s="81"/>
      <x:c r="Z488" s="81"/>
    </x:row>
    <x:row r="489">
      <x:c r="A489" s="81"/>
      <x:c r="B489" s="81"/>
      <x:c r="C489" s="81"/>
      <x:c r="D489" s="81"/>
      <x:c r="E489" s="81"/>
      <x:c r="F489" s="81"/>
      <x:c r="G489" s="81"/>
      <x:c r="H489" s="81"/>
      <x:c r="I489" s="81"/>
      <x:c r="J489" s="81"/>
      <x:c r="K489" s="81"/>
      <x:c r="L489" s="81"/>
      <x:c r="M489" s="81"/>
      <x:c r="N489" s="81"/>
      <x:c r="O489" s="81"/>
      <x:c r="P489" s="81"/>
      <x:c r="Q489" s="81"/>
      <x:c r="R489" s="81"/>
      <x:c r="S489" s="81"/>
      <x:c r="T489" s="81"/>
      <x:c r="U489" s="81"/>
      <x:c r="V489" s="81"/>
      <x:c r="W489" s="81"/>
      <x:c r="X489" s="81"/>
      <x:c r="Y489" s="81"/>
      <x:c r="Z489" s="81"/>
    </x:row>
    <x:row r="490">
      <x:c r="A490" s="81"/>
      <x:c r="B490" s="81"/>
      <x:c r="C490" s="81"/>
      <x:c r="D490" s="81"/>
      <x:c r="E490" s="81"/>
      <x:c r="F490" s="81"/>
      <x:c r="G490" s="81"/>
      <x:c r="H490" s="81"/>
      <x:c r="I490" s="81"/>
      <x:c r="J490" s="81"/>
      <x:c r="K490" s="81"/>
      <x:c r="L490" s="81"/>
      <x:c r="M490" s="81"/>
      <x:c r="N490" s="81"/>
      <x:c r="O490" s="81"/>
      <x:c r="P490" s="81"/>
      <x:c r="Q490" s="81"/>
      <x:c r="R490" s="81"/>
      <x:c r="S490" s="81"/>
      <x:c r="T490" s="81"/>
      <x:c r="U490" s="81"/>
      <x:c r="V490" s="81"/>
      <x:c r="W490" s="81"/>
      <x:c r="X490" s="81"/>
      <x:c r="Y490" s="81"/>
      <x:c r="Z490" s="81"/>
    </x:row>
    <x:row r="491">
      <x:c r="A491" s="81"/>
      <x:c r="B491" s="81"/>
      <x:c r="C491" s="81"/>
      <x:c r="D491" s="81"/>
      <x:c r="E491" s="81"/>
      <x:c r="F491" s="81"/>
      <x:c r="G491" s="81"/>
      <x:c r="H491" s="81"/>
      <x:c r="I491" s="81"/>
      <x:c r="J491" s="81"/>
      <x:c r="K491" s="81"/>
      <x:c r="L491" s="81"/>
      <x:c r="M491" s="81"/>
      <x:c r="N491" s="81"/>
      <x:c r="O491" s="81"/>
      <x:c r="P491" s="81"/>
      <x:c r="Q491" s="81"/>
      <x:c r="R491" s="81"/>
      <x:c r="S491" s="81"/>
      <x:c r="T491" s="81"/>
      <x:c r="U491" s="81"/>
      <x:c r="V491" s="81"/>
      <x:c r="W491" s="81"/>
      <x:c r="X491" s="81"/>
      <x:c r="Y491" s="81"/>
      <x:c r="Z491" s="81"/>
    </x:row>
    <x:row r="492">
      <x:c r="A492" s="81"/>
      <x:c r="B492" s="81"/>
      <x:c r="C492" s="81"/>
      <x:c r="D492" s="81"/>
      <x:c r="E492" s="81"/>
      <x:c r="F492" s="81"/>
      <x:c r="G492" s="81"/>
      <x:c r="H492" s="81"/>
      <x:c r="I492" s="81"/>
      <x:c r="J492" s="81"/>
      <x:c r="K492" s="81"/>
      <x:c r="L492" s="81"/>
      <x:c r="M492" s="81"/>
      <x:c r="N492" s="81"/>
      <x:c r="O492" s="81"/>
      <x:c r="P492" s="81"/>
      <x:c r="Q492" s="81"/>
      <x:c r="R492" s="81"/>
      <x:c r="S492" s="81"/>
      <x:c r="T492" s="81"/>
      <x:c r="U492" s="81"/>
      <x:c r="V492" s="81"/>
      <x:c r="W492" s="81"/>
      <x:c r="X492" s="81"/>
      <x:c r="Y492" s="81"/>
      <x:c r="Z492" s="81"/>
    </x:row>
    <x:row r="493">
      <x:c r="A493" s="81"/>
      <x:c r="B493" s="81"/>
      <x:c r="C493" s="81"/>
      <x:c r="D493" s="81"/>
      <x:c r="E493" s="81"/>
      <x:c r="F493" s="81"/>
      <x:c r="G493" s="81"/>
      <x:c r="H493" s="81"/>
      <x:c r="I493" s="81"/>
      <x:c r="J493" s="81"/>
      <x:c r="K493" s="81"/>
      <x:c r="L493" s="81"/>
      <x:c r="M493" s="81"/>
      <x:c r="N493" s="81"/>
      <x:c r="O493" s="81"/>
      <x:c r="P493" s="81"/>
      <x:c r="Q493" s="81"/>
      <x:c r="R493" s="81"/>
      <x:c r="S493" s="81"/>
      <x:c r="T493" s="81"/>
      <x:c r="U493" s="81"/>
      <x:c r="V493" s="81"/>
      <x:c r="W493" s="81"/>
      <x:c r="X493" s="81"/>
      <x:c r="Y493" s="81"/>
      <x:c r="Z493" s="81"/>
    </x:row>
    <x:row r="494">
      <x:c r="A494" s="81"/>
      <x:c r="B494" s="81"/>
      <x:c r="C494" s="81"/>
      <x:c r="D494" s="81"/>
      <x:c r="E494" s="81"/>
      <x:c r="F494" s="81"/>
      <x:c r="G494" s="81"/>
      <x:c r="H494" s="81"/>
      <x:c r="I494" s="81"/>
      <x:c r="J494" s="81"/>
      <x:c r="K494" s="81"/>
      <x:c r="L494" s="81"/>
      <x:c r="M494" s="81"/>
      <x:c r="N494" s="81"/>
      <x:c r="O494" s="81"/>
      <x:c r="P494" s="81"/>
      <x:c r="Q494" s="81"/>
      <x:c r="R494" s="81"/>
      <x:c r="S494" s="81"/>
      <x:c r="T494" s="81"/>
      <x:c r="U494" s="81"/>
      <x:c r="V494" s="81"/>
      <x:c r="W494" s="81"/>
      <x:c r="X494" s="81"/>
      <x:c r="Y494" s="81"/>
      <x:c r="Z494" s="81"/>
    </x:row>
    <x:row r="495">
      <x:c r="A495" s="81"/>
      <x:c r="B495" s="81"/>
      <x:c r="C495" s="81"/>
      <x:c r="D495" s="81"/>
      <x:c r="E495" s="81"/>
      <x:c r="F495" s="81"/>
      <x:c r="G495" s="81"/>
      <x:c r="H495" s="81"/>
      <x:c r="I495" s="81"/>
      <x:c r="J495" s="81"/>
      <x:c r="K495" s="81"/>
      <x:c r="L495" s="81"/>
      <x:c r="M495" s="81"/>
      <x:c r="N495" s="81"/>
      <x:c r="O495" s="81"/>
      <x:c r="P495" s="81"/>
      <x:c r="Q495" s="81"/>
      <x:c r="R495" s="81"/>
      <x:c r="S495" s="81"/>
      <x:c r="T495" s="81"/>
      <x:c r="U495" s="81"/>
      <x:c r="V495" s="81"/>
      <x:c r="W495" s="81"/>
      <x:c r="X495" s="81"/>
      <x:c r="Y495" s="81"/>
      <x:c r="Z495" s="81"/>
    </x:row>
    <x:row r="496">
      <x:c r="A496" s="81"/>
      <x:c r="B496" s="81"/>
      <x:c r="C496" s="81"/>
      <x:c r="D496" s="81"/>
      <x:c r="E496" s="81"/>
      <x:c r="F496" s="81"/>
      <x:c r="G496" s="81"/>
      <x:c r="H496" s="81"/>
      <x:c r="I496" s="81"/>
      <x:c r="J496" s="81"/>
      <x:c r="K496" s="81"/>
      <x:c r="L496" s="81"/>
      <x:c r="M496" s="81"/>
      <x:c r="N496" s="81"/>
      <x:c r="O496" s="81"/>
      <x:c r="P496" s="81"/>
      <x:c r="Q496" s="81"/>
      <x:c r="R496" s="81"/>
      <x:c r="S496" s="81"/>
      <x:c r="T496" s="81"/>
      <x:c r="U496" s="81"/>
      <x:c r="V496" s="81"/>
      <x:c r="W496" s="81"/>
      <x:c r="X496" s="81"/>
      <x:c r="Y496" s="81"/>
      <x:c r="Z496" s="81"/>
    </x:row>
    <x:row r="497">
      <x:c r="A497" s="81"/>
      <x:c r="B497" s="81"/>
      <x:c r="C497" s="81"/>
      <x:c r="D497" s="81"/>
      <x:c r="E497" s="81"/>
      <x:c r="F497" s="81"/>
      <x:c r="G497" s="81"/>
      <x:c r="H497" s="81"/>
      <x:c r="I497" s="81"/>
      <x:c r="J497" s="81"/>
      <x:c r="K497" s="81"/>
      <x:c r="L497" s="81"/>
      <x:c r="M497" s="81"/>
      <x:c r="N497" s="81"/>
      <x:c r="O497" s="81"/>
      <x:c r="P497" s="81"/>
      <x:c r="Q497" s="81"/>
      <x:c r="R497" s="81"/>
      <x:c r="S497" s="81"/>
      <x:c r="T497" s="81"/>
      <x:c r="U497" s="81"/>
      <x:c r="V497" s="81"/>
      <x:c r="W497" s="81"/>
      <x:c r="X497" s="81"/>
      <x:c r="Y497" s="81"/>
      <x:c r="Z497" s="81"/>
    </x:row>
    <x:row r="498">
      <x:c r="A498" s="81"/>
      <x:c r="B498" s="81"/>
      <x:c r="C498" s="81"/>
      <x:c r="D498" s="81"/>
      <x:c r="E498" s="81"/>
      <x:c r="F498" s="81"/>
      <x:c r="G498" s="81"/>
      <x:c r="H498" s="81"/>
      <x:c r="I498" s="81"/>
      <x:c r="J498" s="81"/>
      <x:c r="K498" s="81"/>
      <x:c r="L498" s="81"/>
      <x:c r="M498" s="81"/>
      <x:c r="N498" s="81"/>
      <x:c r="O498" s="81"/>
      <x:c r="P498" s="81"/>
      <x:c r="Q498" s="81"/>
      <x:c r="R498" s="81"/>
      <x:c r="S498" s="81"/>
      <x:c r="T498" s="81"/>
      <x:c r="U498" s="81"/>
      <x:c r="V498" s="81"/>
      <x:c r="W498" s="81"/>
      <x:c r="X498" s="81"/>
      <x:c r="Y498" s="81"/>
      <x:c r="Z498" s="81"/>
    </x:row>
    <x:row r="499">
      <x:c r="A499" s="81"/>
      <x:c r="B499" s="81"/>
      <x:c r="C499" s="81"/>
      <x:c r="D499" s="81"/>
      <x:c r="E499" s="81"/>
      <x:c r="F499" s="81"/>
      <x:c r="G499" s="81"/>
      <x:c r="H499" s="81"/>
      <x:c r="I499" s="81"/>
      <x:c r="J499" s="81"/>
      <x:c r="K499" s="81"/>
      <x:c r="L499" s="81"/>
      <x:c r="M499" s="81"/>
      <x:c r="N499" s="81"/>
      <x:c r="O499" s="81"/>
      <x:c r="P499" s="81"/>
      <x:c r="Q499" s="81"/>
      <x:c r="R499" s="81"/>
      <x:c r="S499" s="81"/>
      <x:c r="T499" s="81"/>
      <x:c r="U499" s="81"/>
      <x:c r="V499" s="81"/>
      <x:c r="W499" s="81"/>
      <x:c r="X499" s="81"/>
      <x:c r="Y499" s="81"/>
      <x:c r="Z499" s="81"/>
    </x:row>
    <x:row r="500">
      <x:c r="A500" s="81"/>
      <x:c r="B500" s="81"/>
      <x:c r="C500" s="81"/>
      <x:c r="D500" s="81"/>
      <x:c r="E500" s="81"/>
      <x:c r="F500" s="81"/>
      <x:c r="G500" s="81"/>
      <x:c r="H500" s="81"/>
      <x:c r="I500" s="81"/>
      <x:c r="J500" s="81"/>
      <x:c r="K500" s="81"/>
      <x:c r="L500" s="81"/>
      <x:c r="M500" s="81"/>
      <x:c r="N500" s="81"/>
      <x:c r="O500" s="81"/>
      <x:c r="P500" s="81"/>
      <x:c r="Q500" s="81"/>
      <x:c r="R500" s="81"/>
      <x:c r="S500" s="81"/>
      <x:c r="T500" s="81"/>
      <x:c r="U500" s="81"/>
      <x:c r="V500" s="81"/>
      <x:c r="W500" s="81"/>
      <x:c r="X500" s="81"/>
      <x:c r="Y500" s="81"/>
      <x:c r="Z500" s="81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21.110000610351562" hidden="0" customWidth="1"/>
    <x:col min="3" max="3" width="19.780000686645508" hidden="0" customWidth="1"/>
    <x:col min="4" max="4" width="18.780000686645508" hidden="0" customWidth="1"/>
    <x:col min="5" max="5" width="23.219999313354492" hidden="0" customWidth="1"/>
    <x:col min="6" max="6" width="20.110000610351562" hidden="0" customWidth="1"/>
    <x:col min="7" max="7" width="18.670000076293945" hidden="0" customWidth="1"/>
    <x:col min="8" max="8" width="12.670000076293945" hidden="0" customWidth="1"/>
    <x:col min="9" max="9" width="14.5600004196167" hidden="0" customWidth="1"/>
    <x:col min="10" max="10" width="17.110000610351562" hidden="0" customWidth="1"/>
  </x:cols>
  <x:sheetData>
    <x:row r="1">
      <x:c r="A1" s="305" t="str">
        <x:v>Scenario</x:v>
      </x:c>
      <x:c r="B1" s="306" t="str">
        <x:v>Market_Return_Shock_Pct</x:v>
      </x:c>
      <x:c r="C1" s="306" t="str">
        <x:v>Net_Flow_Pct_Beg_AUM</x:v>
      </x:c>
      <x:c r="D1" s="306" t="str">
        <x:v>Fee_Yield_Change_bps</x:v>
      </x:c>
      <x:c r="E1" s="306" t="str">
        <x:v>Personnel_Cost_Change_Pct</x:v>
      </x:c>
      <x:c r="F1" s="306" t="str">
        <x:v>Other_Opex_Change_Pct</x:v>
      </x:c>
      <x:c r="G1" s="306" t="str">
        <x:v>One_Off_Cost_VND_bn</x:v>
      </x:c>
      <x:c r="H1" s="306" t="str">
        <x:v>Capex_VND_bn</x:v>
      </x:c>
      <x:c r="I1" s="306" t="str">
        <x:v>AR_Days_Change</x:v>
      </x:c>
      <x:c r="J1" s="307" t="str">
        <x:v>Dividend_Payout_Pct</x:v>
      </x:c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</x:row>
    <x:row r="2">
      <x:c r="A2" s="184" t="str">
        <x:v>Base Plan</x:v>
      </x:c>
      <x:c r="B2" s="185" t="n">
        <x:v>0.06</x:v>
      </x:c>
      <x:c r="C2" s="185" t="n">
        <x:v>0.0214</x:v>
      </x:c>
      <x:c r="D2" s="186" t="n">
        <x:v>0</x:v>
      </x:c>
      <x:c r="E2" s="185" t="n">
        <x:v>0</x:v>
      </x:c>
      <x:c r="F2" s="185" t="n">
        <x:v>0</x:v>
      </x:c>
      <x:c r="G2" s="186" t="n">
        <x:v>0</x:v>
      </x:c>
      <x:c r="H2" s="186" t="n">
        <x:v>35</x:v>
      </x:c>
      <x:c r="I2" s="186" t="n">
        <x:v>0</x:v>
      </x:c>
      <x:c r="J2" s="187" t="n">
        <x:v>0.35</x:v>
      </x:c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</x:row>
    <x:row r="3">
      <x:c r="A3" s="184" t="str">
        <x:v>Market Downside</x:v>
      </x:c>
      <x:c r="B3" s="185" t="n">
        <x:v>-0.1</x:v>
      </x:c>
      <x:c r="C3" s="185" t="n">
        <x:v>-0.03</x:v>
      </x:c>
      <x:c r="D3" s="186" t="n">
        <x:v>-10</x:v>
      </x:c>
      <x:c r="E3" s="185" t="n">
        <x:v>-0.02</x:v>
      </x:c>
      <x:c r="F3" s="185" t="n">
        <x:v>-0.03</x:v>
      </x:c>
      <x:c r="G3" s="186" t="n">
        <x:v>15</x:v>
      </x:c>
      <x:c r="H3" s="186" t="n">
        <x:v>25</x:v>
      </x:c>
      <x:c r="I3" s="186" t="n">
        <x:v>5</x:v>
      </x:c>
      <x:c r="J3" s="187" t="n">
        <x:v>0.2</x:v>
      </x:c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</x:row>
    <x:row r="4">
      <x:c r="A4" s="184" t="str">
        <x:v>Risk-Off Severe</x:v>
      </x:c>
      <x:c r="B4" s="185" t="n">
        <x:v>-0.2</x:v>
      </x:c>
      <x:c r="C4" s="185" t="n">
        <x:v>-0.08</x:v>
      </x:c>
      <x:c r="D4" s="186" t="n">
        <x:v>-25</x:v>
      </x:c>
      <x:c r="E4" s="185" t="n">
        <x:v>-0.05</x:v>
      </x:c>
      <x:c r="F4" s="185" t="n">
        <x:v>-0.08</x:v>
      </x:c>
      <x:c r="G4" s="186" t="n">
        <x:v>35</x:v>
      </x:c>
      <x:c r="H4" s="186" t="n">
        <x:v>15</x:v>
      </x:c>
      <x:c r="I4" s="186" t="n">
        <x:v>12</x:v>
      </x:c>
      <x:c r="J4" s="187" t="n">
        <x:v>0.1</x:v>
      </x:c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</x:row>
    <x:row r="5">
      <x:c r="A5" s="184" t="str">
        <x:v>Growth Acceleration</x:v>
      </x:c>
      <x:c r="B5" s="185" t="n">
        <x:v>0.12</x:v>
      </x:c>
      <x:c r="C5" s="185" t="n">
        <x:v>0.06</x:v>
      </x:c>
      <x:c r="D5" s="186" t="n">
        <x:v>5</x:v>
      </x:c>
      <x:c r="E5" s="185" t="n">
        <x:v>0.08</x:v>
      </x:c>
      <x:c r="F5" s="185" t="n">
        <x:v>0.1</x:v>
      </x:c>
      <x:c r="G5" s="186" t="n">
        <x:v>20</x:v>
      </x:c>
      <x:c r="H5" s="186" t="n">
        <x:v>80</x:v>
      </x:c>
      <x:c r="I5" s="186" t="n">
        <x:v>-3</x:v>
      </x:c>
      <x:c r="J5" s="187" t="n">
        <x:v>0.4</x:v>
      </x:c>
      <x:c r="K5"/>
      <x:c r="L5"/>
      <x:c r="M5"/>
      <x:c r="N5"/>
      <x:c r="O5"/>
      <x:c r="P5"/>
      <x:c r="Q5"/>
      <x:c r="R5"/>
      <x:c r="S5"/>
      <x:c r="T5"/>
      <x:c r="U5"/>
      <x:c r="V5"/>
      <x:c r="W5"/>
      <x:c r="X5"/>
      <x:c r="Y5"/>
      <x:c r="Z5"/>
    </x:row>
    <x:row r="6">
      <x:c r="A6" s="184" t="str">
        <x:v>Fee Compression</x:v>
      </x:c>
      <x:c r="B6" s="185" t="n">
        <x:v>0.04</x:v>
      </x:c>
      <x:c r="C6" s="185" t="n">
        <x:v>0.01</x:v>
      </x:c>
      <x:c r="D6" s="186" t="n">
        <x:v>-35</x:v>
      </x:c>
      <x:c r="E6" s="185" t="n">
        <x:v>0</x:v>
      </x:c>
      <x:c r="F6" s="185" t="n">
        <x:v>-0.02</x:v>
      </x:c>
      <x:c r="G6" s="186" t="n">
        <x:v>5</x:v>
      </x:c>
      <x:c r="H6" s="186" t="n">
        <x:v>30</x:v>
      </x:c>
      <x:c r="I6" s="186" t="n">
        <x:v>4</x:v>
      </x:c>
      <x:c r="J6" s="187" t="n">
        <x:v>0.3</x:v>
      </x:c>
      <x:c r="K6"/>
      <x:c r="L6"/>
      <x:c r="M6"/>
      <x:c r="N6"/>
      <x:c r="O6"/>
      <x:c r="P6"/>
      <x:c r="Q6"/>
      <x:c r="R6"/>
      <x:c r="S6"/>
      <x:c r="T6"/>
      <x:c r="U6"/>
      <x:c r="V6"/>
      <x:c r="W6"/>
      <x:c r="X6"/>
      <x:c r="Y6"/>
      <x:c r="Z6"/>
    </x:row>
    <x:row r="7">
      <x:c r="A7" s="184" t="str">
        <x:v>Cost Transformation</x:v>
      </x:c>
      <x:c r="B7" s="185" t="n">
        <x:v>0.05</x:v>
      </x:c>
      <x:c r="C7" s="185" t="n">
        <x:v>0.02</x:v>
      </x:c>
      <x:c r="D7" s="186" t="n">
        <x:v>0</x:v>
      </x:c>
      <x:c r="E7" s="185" t="n">
        <x:v>-0.08</x:v>
      </x:c>
      <x:c r="F7" s="185" t="n">
        <x:v>-0.12</x:v>
      </x:c>
      <x:c r="G7" s="186" t="n">
        <x:v>45</x:v>
      </x:c>
      <x:c r="H7" s="186" t="n">
        <x:v>55</x:v>
      </x:c>
      <x:c r="I7" s="186" t="n">
        <x:v>0</x:v>
      </x:c>
      <x:c r="J7" s="187" t="n">
        <x:v>0.25</x:v>
      </x:c>
      <x:c r="K7"/>
      <x:c r="L7"/>
      <x:c r="M7"/>
      <x:c r="N7"/>
      <x:c r="O7"/>
      <x:c r="P7"/>
      <x:c r="Q7"/>
      <x:c r="R7"/>
      <x:c r="S7"/>
      <x:c r="T7"/>
      <x:c r="U7"/>
      <x:c r="V7"/>
      <x:c r="W7"/>
      <x:c r="X7"/>
      <x:c r="Y7"/>
      <x:c r="Z7"/>
    </x:row>
    <x:row r="8">
      <x:c r="A8" s="188" t="str">
        <x:v>Distribution Expansion</x:v>
      </x:c>
      <x:c r="B8" s="189" t="n">
        <x:v>0.07</x:v>
      </x:c>
      <x:c r="C8" s="189" t="n">
        <x:v>0.05</x:v>
      </x:c>
      <x:c r="D8" s="190" t="n">
        <x:v>-5</x:v>
      </x:c>
      <x:c r="E8" s="189" t="n">
        <x:v>0.06</x:v>
      </x:c>
      <x:c r="F8" s="189" t="n">
        <x:v>0.08</x:v>
      </x:c>
      <x:c r="G8" s="190" t="n">
        <x:v>25</x:v>
      </x:c>
      <x:c r="H8" s="190" t="n">
        <x:v>65</x:v>
      </x:c>
      <x:c r="I8" s="190" t="n">
        <x:v>-4</x:v>
      </x:c>
      <x:c r="J8" s="191" t="n">
        <x:v>0.3</x:v>
      </x:c>
      <x:c r="K8"/>
      <x:c r="L8"/>
      <x:c r="M8"/>
      <x:c r="N8"/>
      <x:c r="O8"/>
      <x:c r="P8"/>
      <x:c r="Q8"/>
      <x:c r="R8"/>
      <x:c r="S8"/>
      <x:c r="T8"/>
      <x:c r="U8"/>
      <x:c r="V8"/>
      <x:c r="W8"/>
      <x:c r="X8"/>
      <x:c r="Y8"/>
      <x:c r="Z8"/>
    </x:row>
    <x:row r="9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  <x:c r="O9"/>
      <x:c r="P9"/>
      <x:c r="Q9"/>
      <x:c r="R9"/>
      <x:c r="S9"/>
      <x:c r="T9"/>
      <x:c r="U9"/>
      <x:c r="V9"/>
      <x:c r="W9"/>
      <x:c r="X9"/>
      <x:c r="Y9"/>
      <x:c r="Z9"/>
    </x:row>
    <x:row r="10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</x:row>
    <x:row r="1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</x:row>
    <x:row r="12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</x:row>
    <x:row r="13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</x:row>
    <x:row r="15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</x:row>
    <x:row r="10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</x:row>
    <x:row r="102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</x:row>
    <x:row r="103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</x:row>
    <x:row r="104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</x:row>
    <x:row r="105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</x:row>
    <x:row r="106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</x:row>
    <x:row r="107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</x:row>
    <x:row r="108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</x:row>
    <x:row r="109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</x:row>
    <x:row r="110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</x:row>
    <x:row r="11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</x:row>
    <x:row r="119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</x:row>
    <x:row r="120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</x:row>
    <x:row r="12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</x:row>
    <x:row r="122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  <x:c r="V153"/>
      <x:c r="W153"/>
      <x:c r="X153"/>
      <x:c r="Y153"/>
      <x:c r="Z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  <x:c r="V154"/>
      <x:c r="W154"/>
      <x:c r="X154"/>
      <x:c r="Y154"/>
      <x:c r="Z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  <x:c r="W155"/>
      <x:c r="X155"/>
      <x:c r="Y155"/>
      <x:c r="Z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  <x:c r="V156"/>
      <x:c r="W156"/>
      <x:c r="X156"/>
      <x:c r="Y156"/>
      <x:c r="Z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  <x:c r="V159"/>
      <x:c r="W159"/>
      <x:c r="X159"/>
      <x:c r="Y159"/>
      <x:c r="Z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  <x:c r="V160"/>
      <x:c r="W160"/>
      <x:c r="X160"/>
      <x:c r="Y160"/>
      <x:c r="Z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  <x:c r="V161"/>
      <x:c r="W161"/>
      <x:c r="X161"/>
      <x:c r="Y161"/>
      <x:c r="Z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  <x:c r="V162"/>
      <x:c r="W162"/>
      <x:c r="X162"/>
      <x:c r="Y162"/>
      <x:c r="Z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  <x:c r="V163"/>
      <x:c r="W163"/>
      <x:c r="X163"/>
      <x:c r="Y163"/>
      <x:c r="Z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  <x:c r="V164"/>
      <x:c r="W164"/>
      <x:c r="X164"/>
      <x:c r="Y164"/>
      <x:c r="Z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  <x:c r="W165"/>
      <x:c r="X165"/>
      <x:c r="Y165"/>
      <x:c r="Z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  <x:c r="W166"/>
      <x:c r="X166"/>
      <x:c r="Y166"/>
      <x:c r="Z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  <x:c r="W167"/>
      <x:c r="X167"/>
      <x:c r="Y167"/>
      <x:c r="Z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  <x:c r="W168"/>
      <x:c r="X168"/>
      <x:c r="Y168"/>
      <x:c r="Z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/>
      <x:c r="Y169"/>
      <x:c r="Z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/>
      <x:c r="Y170"/>
      <x:c r="Z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  <x:c r="W171"/>
      <x:c r="X171"/>
      <x:c r="Y171"/>
      <x:c r="Z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  <x:c r="W172"/>
      <x:c r="X172"/>
      <x:c r="Y172"/>
      <x:c r="Z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  <x:c r="V205"/>
      <x:c r="W205"/>
      <x:c r="X205"/>
      <x:c r="Y205"/>
      <x:c r="Z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  <x:c r="V206"/>
      <x:c r="W206"/>
      <x:c r="X206"/>
      <x:c r="Y206"/>
      <x:c r="Z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  <x:c r="V207"/>
      <x:c r="W207"/>
      <x:c r="X207"/>
      <x:c r="Y207"/>
      <x:c r="Z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  <x:c r="V208"/>
      <x:c r="W208"/>
      <x:c r="X208"/>
      <x:c r="Y208"/>
      <x:c r="Z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  <x:c r="V209"/>
      <x:c r="W209"/>
      <x:c r="X209"/>
      <x:c r="Y209"/>
      <x:c r="Z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  <x:c r="V210"/>
      <x:c r="W210"/>
      <x:c r="X210"/>
      <x:c r="Y210"/>
      <x:c r="Z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  <x:c r="V211"/>
      <x:c r="W211"/>
      <x:c r="X211"/>
      <x:c r="Y211"/>
      <x:c r="Z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  <x:c r="V212"/>
      <x:c r="W212"/>
      <x:c r="X212"/>
      <x:c r="Y212"/>
      <x:c r="Z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  <x:c r="V213"/>
      <x:c r="W213"/>
      <x:c r="X213"/>
      <x:c r="Y213"/>
      <x:c r="Z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  <x:c r="V214"/>
      <x:c r="W214"/>
      <x:c r="X214"/>
      <x:c r="Y214"/>
      <x:c r="Z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  <x:c r="V215"/>
      <x:c r="W215"/>
      <x:c r="X215"/>
      <x:c r="Y215"/>
      <x:c r="Z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  <x:c r="V216"/>
      <x:c r="W216"/>
      <x:c r="X216"/>
      <x:c r="Y216"/>
      <x:c r="Z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  <x:c r="V217"/>
      <x:c r="W217"/>
      <x:c r="X217"/>
      <x:c r="Y217"/>
      <x:c r="Z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/>
      <x:c r="T218"/>
      <x:c r="U218"/>
      <x:c r="V218"/>
      <x:c r="W218"/>
      <x:c r="X218"/>
      <x:c r="Y218"/>
      <x:c r="Z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  <x:c r="V219"/>
      <x:c r="W219"/>
      <x:c r="X219"/>
      <x:c r="Y219"/>
      <x:c r="Z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  <x:c r="V220"/>
      <x:c r="W220"/>
      <x:c r="X220"/>
      <x:c r="Y220"/>
      <x:c r="Z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  <x:c r="V221"/>
      <x:c r="W221"/>
      <x:c r="X221"/>
      <x:c r="Y221"/>
      <x:c r="Z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  <x:c r="V222"/>
      <x:c r="W222"/>
      <x:c r="X222"/>
      <x:c r="Y222"/>
      <x:c r="Z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  <x:c r="V223"/>
      <x:c r="W223"/>
      <x:c r="X223"/>
      <x:c r="Y223"/>
      <x:c r="Z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  <x:c r="V224"/>
      <x:c r="W224"/>
      <x:c r="X224"/>
      <x:c r="Y224"/>
      <x:c r="Z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  <x:c r="V225"/>
      <x:c r="W225"/>
      <x:c r="X225"/>
      <x:c r="Y225"/>
      <x:c r="Z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  <x:c r="V226"/>
      <x:c r="W226"/>
      <x:c r="X226"/>
      <x:c r="Y226"/>
      <x:c r="Z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  <x:c r="V227"/>
      <x:c r="W227"/>
      <x:c r="X227"/>
      <x:c r="Y227"/>
      <x:c r="Z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  <x:c r="V228"/>
      <x:c r="W228"/>
      <x:c r="X228"/>
      <x:c r="Y228"/>
      <x:c r="Z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  <x:c r="V229"/>
      <x:c r="W229"/>
      <x:c r="X229"/>
      <x:c r="Y229"/>
      <x:c r="Z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  <x:c r="V230"/>
      <x:c r="W230"/>
      <x:c r="X230"/>
      <x:c r="Y230"/>
      <x:c r="Z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  <x:c r="V231"/>
      <x:c r="W231"/>
      <x:c r="X231"/>
      <x:c r="Y231"/>
      <x:c r="Z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  <x:c r="V232"/>
      <x:c r="W232"/>
      <x:c r="X232"/>
      <x:c r="Y232"/>
      <x:c r="Z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  <x:c r="V233"/>
      <x:c r="W233"/>
      <x:c r="X233"/>
      <x:c r="Y233"/>
      <x:c r="Z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  <x:c r="V234"/>
      <x:c r="W234"/>
      <x:c r="X234"/>
      <x:c r="Y234"/>
      <x:c r="Z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  <x:c r="V235"/>
      <x:c r="W235"/>
      <x:c r="X235"/>
      <x:c r="Y235"/>
      <x:c r="Z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  <x:c r="V236"/>
      <x:c r="W236"/>
      <x:c r="X236"/>
      <x:c r="Y236"/>
      <x:c r="Z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  <x:c r="V237"/>
      <x:c r="W237"/>
      <x:c r="X237"/>
      <x:c r="Y237"/>
      <x:c r="Z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  <x:c r="P238"/>
      <x:c r="Q238"/>
      <x:c r="R238"/>
      <x:c r="S238"/>
      <x:c r="T238"/>
      <x:c r="U238"/>
      <x:c r="V238"/>
      <x:c r="W238"/>
      <x:c r="X238"/>
      <x:c r="Y238"/>
      <x:c r="Z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  <x:c r="V239"/>
      <x:c r="W239"/>
      <x:c r="X239"/>
      <x:c r="Y239"/>
      <x:c r="Z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  <x:c r="V240"/>
      <x:c r="W240"/>
      <x:c r="X240"/>
      <x:c r="Y240"/>
      <x:c r="Z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  <x:c r="V241"/>
      <x:c r="W241"/>
      <x:c r="X241"/>
      <x:c r="Y241"/>
      <x:c r="Z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  <x:c r="V242"/>
      <x:c r="W242"/>
      <x:c r="X242"/>
      <x:c r="Y242"/>
      <x:c r="Z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  <x:c r="P243"/>
      <x:c r="Q243"/>
      <x:c r="R243"/>
      <x:c r="S243"/>
      <x:c r="T243"/>
      <x:c r="U243"/>
      <x:c r="V243"/>
      <x:c r="W243"/>
      <x:c r="X243"/>
      <x:c r="Y243"/>
      <x:c r="Z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  <x:c r="P244"/>
      <x:c r="Q244"/>
      <x:c r="R244"/>
      <x:c r="S244"/>
      <x:c r="T244"/>
      <x:c r="U244"/>
      <x:c r="V244"/>
      <x:c r="W244"/>
      <x:c r="X244"/>
      <x:c r="Y244"/>
      <x:c r="Z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  <x:c r="P245"/>
      <x:c r="Q245"/>
      <x:c r="R245"/>
      <x:c r="S245"/>
      <x:c r="T245"/>
      <x:c r="U245"/>
      <x:c r="V245"/>
      <x:c r="W245"/>
      <x:c r="X245"/>
      <x:c r="Y245"/>
      <x:c r="Z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  <x:c r="P246"/>
      <x:c r="Q246"/>
      <x:c r="R246"/>
      <x:c r="S246"/>
      <x:c r="T246"/>
      <x:c r="U246"/>
      <x:c r="V246"/>
      <x:c r="W246"/>
      <x:c r="X246"/>
      <x:c r="Y246"/>
      <x:c r="Z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  <x:c r="P247"/>
      <x:c r="Q247"/>
      <x:c r="R247"/>
      <x:c r="S247"/>
      <x:c r="T247"/>
      <x:c r="U247"/>
      <x:c r="V247"/>
      <x:c r="W247"/>
      <x:c r="X247"/>
      <x:c r="Y247"/>
      <x:c r="Z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  <x:c r="P248"/>
      <x:c r="Q248"/>
      <x:c r="R248"/>
      <x:c r="S248"/>
      <x:c r="T248"/>
      <x:c r="U248"/>
      <x:c r="V248"/>
      <x:c r="W248"/>
      <x:c r="X248"/>
      <x:c r="Y248"/>
      <x:c r="Z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  <x:c r="P249"/>
      <x:c r="Q249"/>
      <x:c r="R249"/>
      <x:c r="S249"/>
      <x:c r="T249"/>
      <x:c r="U249"/>
      <x:c r="V249"/>
      <x:c r="W249"/>
      <x:c r="X249"/>
      <x:c r="Y249"/>
      <x:c r="Z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  <x:c r="P250"/>
      <x:c r="Q250"/>
      <x:c r="R250"/>
      <x:c r="S250"/>
      <x:c r="T250"/>
      <x:c r="U250"/>
      <x:c r="V250"/>
      <x:c r="W250"/>
      <x:c r="X250"/>
      <x:c r="Y250"/>
      <x:c r="Z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  <x:c r="P251"/>
      <x:c r="Q251"/>
      <x:c r="R251"/>
      <x:c r="S251"/>
      <x:c r="T251"/>
      <x:c r="U251"/>
      <x:c r="V251"/>
      <x:c r="W251"/>
      <x:c r="X251"/>
      <x:c r="Y251"/>
      <x:c r="Z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  <x:c r="P252"/>
      <x:c r="Q252"/>
      <x:c r="R252"/>
      <x:c r="S252"/>
      <x:c r="T252"/>
      <x:c r="U252"/>
      <x:c r="V252"/>
      <x:c r="W252"/>
      <x:c r="X252"/>
      <x:c r="Y252"/>
      <x:c r="Z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  <x:c r="P253"/>
      <x:c r="Q253"/>
      <x:c r="R253"/>
      <x:c r="S253"/>
      <x:c r="T253"/>
      <x:c r="U253"/>
      <x:c r="V253"/>
      <x:c r="W253"/>
      <x:c r="X253"/>
      <x:c r="Y253"/>
      <x:c r="Z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  <x:c r="P254"/>
      <x:c r="Q254"/>
      <x:c r="R254"/>
      <x:c r="S254"/>
      <x:c r="T254"/>
      <x:c r="U254"/>
      <x:c r="V254"/>
      <x:c r="W254"/>
      <x:c r="X254"/>
      <x:c r="Y254"/>
      <x:c r="Z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  <x:c r="P255"/>
      <x:c r="Q255"/>
      <x:c r="R255"/>
      <x:c r="S255"/>
      <x:c r="T255"/>
      <x:c r="U255"/>
      <x:c r="V255"/>
      <x:c r="W255"/>
      <x:c r="X255"/>
      <x:c r="Y255"/>
      <x:c r="Z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  <x:c r="P256"/>
      <x:c r="Q256"/>
      <x:c r="R256"/>
      <x:c r="S256"/>
      <x:c r="T256"/>
      <x:c r="U256"/>
      <x:c r="V256"/>
      <x:c r="W256"/>
      <x:c r="X256"/>
      <x:c r="Y256"/>
      <x:c r="Z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/>
      <x:c r="U257"/>
      <x:c r="V257"/>
      <x:c r="W257"/>
      <x:c r="X257"/>
      <x:c r="Y257"/>
      <x:c r="Z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  <x:c r="P258"/>
      <x:c r="Q258"/>
      <x:c r="R258"/>
      <x:c r="S258"/>
      <x:c r="T258"/>
      <x:c r="U258"/>
      <x:c r="V258"/>
      <x:c r="W258"/>
      <x:c r="X258"/>
      <x:c r="Y258"/>
      <x:c r="Z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  <x:c r="P259"/>
      <x:c r="Q259"/>
      <x:c r="R259"/>
      <x:c r="S259"/>
      <x:c r="T259"/>
      <x:c r="U259"/>
      <x:c r="V259"/>
      <x:c r="W259"/>
      <x:c r="X259"/>
      <x:c r="Y259"/>
      <x:c r="Z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  <x:c r="P260"/>
      <x:c r="Q260"/>
      <x:c r="R260"/>
      <x:c r="S260"/>
      <x:c r="T260"/>
      <x:c r="U260"/>
      <x:c r="V260"/>
      <x:c r="W260"/>
      <x:c r="X260"/>
      <x:c r="Y260"/>
      <x:c r="Z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  <x:c r="P261"/>
      <x:c r="Q261"/>
      <x:c r="R261"/>
      <x:c r="S261"/>
      <x:c r="T261"/>
      <x:c r="U261"/>
      <x:c r="V261"/>
      <x:c r="W261"/>
      <x:c r="X261"/>
      <x:c r="Y261"/>
      <x:c r="Z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  <x:c r="S262"/>
      <x:c r="T262"/>
      <x:c r="U262"/>
      <x:c r="V262"/>
      <x:c r="W262"/>
      <x:c r="X262"/>
      <x:c r="Y262"/>
      <x:c r="Z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  <x:c r="S263"/>
      <x:c r="T263"/>
      <x:c r="U263"/>
      <x:c r="V263"/>
      <x:c r="W263"/>
      <x:c r="X263"/>
      <x:c r="Y263"/>
      <x:c r="Z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  <x:c r="S264"/>
      <x:c r="T264"/>
      <x:c r="U264"/>
      <x:c r="V264"/>
      <x:c r="W264"/>
      <x:c r="X264"/>
      <x:c r="Y264"/>
      <x:c r="Z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  <x:c r="S265"/>
      <x:c r="T265"/>
      <x:c r="U265"/>
      <x:c r="V265"/>
      <x:c r="W265"/>
      <x:c r="X265"/>
      <x:c r="Y265"/>
      <x:c r="Z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  <x:c r="P266"/>
      <x:c r="Q266"/>
      <x:c r="R266"/>
      <x:c r="S266"/>
      <x:c r="T266"/>
      <x:c r="U266"/>
      <x:c r="V266"/>
      <x:c r="W266"/>
      <x:c r="X266"/>
      <x:c r="Y266"/>
      <x:c r="Z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  <x:c r="S267"/>
      <x:c r="T267"/>
      <x:c r="U267"/>
      <x:c r="V267"/>
      <x:c r="W267"/>
      <x:c r="X267"/>
      <x:c r="Y267"/>
      <x:c r="Z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  <x:c r="S268"/>
      <x:c r="T268"/>
      <x:c r="U268"/>
      <x:c r="V268"/>
      <x:c r="W268"/>
      <x:c r="X268"/>
      <x:c r="Y268"/>
      <x:c r="Z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  <x:c r="S269"/>
      <x:c r="T269"/>
      <x:c r="U269"/>
      <x:c r="V269"/>
      <x:c r="W269"/>
      <x:c r="X269"/>
      <x:c r="Y269"/>
      <x:c r="Z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  <x:c r="S270"/>
      <x:c r="T270"/>
      <x:c r="U270"/>
      <x:c r="V270"/>
      <x:c r="W270"/>
      <x:c r="X270"/>
      <x:c r="Y270"/>
      <x:c r="Z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  <x:c r="P271"/>
      <x:c r="Q271"/>
      <x:c r="R271"/>
      <x:c r="S271"/>
      <x:c r="T271"/>
      <x:c r="U271"/>
      <x:c r="V271"/>
      <x:c r="W271"/>
      <x:c r="X271"/>
      <x:c r="Y271"/>
      <x:c r="Z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  <x:c r="P272"/>
      <x:c r="Q272"/>
      <x:c r="R272"/>
      <x:c r="S272"/>
      <x:c r="T272"/>
      <x:c r="U272"/>
      <x:c r="V272"/>
      <x:c r="W272"/>
      <x:c r="X272"/>
      <x:c r="Y272"/>
      <x:c r="Z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/>
      <x:c r="U273"/>
      <x:c r="V273"/>
      <x:c r="W273"/>
      <x:c r="X273"/>
      <x:c r="Y273"/>
      <x:c r="Z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  <x:c r="P274"/>
      <x:c r="Q274"/>
      <x:c r="R274"/>
      <x:c r="S274"/>
      <x:c r="T274"/>
      <x:c r="U274"/>
      <x:c r="V274"/>
      <x:c r="W274"/>
      <x:c r="X274"/>
      <x:c r="Y274"/>
      <x:c r="Z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  <x:c r="P275"/>
      <x:c r="Q275"/>
      <x:c r="R275"/>
      <x:c r="S275"/>
      <x:c r="T275"/>
      <x:c r="U275"/>
      <x:c r="V275"/>
      <x:c r="W275"/>
      <x:c r="X275"/>
      <x:c r="Y275"/>
      <x:c r="Z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  <x:c r="P276"/>
      <x:c r="Q276"/>
      <x:c r="R276"/>
      <x:c r="S276"/>
      <x:c r="T276"/>
      <x:c r="U276"/>
      <x:c r="V276"/>
      <x:c r="W276"/>
      <x:c r="X276"/>
      <x:c r="Y276"/>
      <x:c r="Z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  <x:c r="P277"/>
      <x:c r="Q277"/>
      <x:c r="R277"/>
      <x:c r="S277"/>
      <x:c r="T277"/>
      <x:c r="U277"/>
      <x:c r="V277"/>
      <x:c r="W277"/>
      <x:c r="X277"/>
      <x:c r="Y277"/>
      <x:c r="Z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/>
      <x:c r="U278"/>
      <x:c r="V278"/>
      <x:c r="W278"/>
      <x:c r="X278"/>
      <x:c r="Y278"/>
      <x:c r="Z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/>
      <x:c r="U279"/>
      <x:c r="V279"/>
      <x:c r="W279"/>
      <x:c r="X279"/>
      <x:c r="Y279"/>
      <x:c r="Z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  <x:c r="U280"/>
      <x:c r="V280"/>
      <x:c r="W280"/>
      <x:c r="X280"/>
      <x:c r="Y280"/>
      <x:c r="Z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/>
      <x:c r="U281"/>
      <x:c r="V281"/>
      <x:c r="W281"/>
      <x:c r="X281"/>
      <x:c r="Y281"/>
      <x:c r="Z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/>
      <x:c r="U282"/>
      <x:c r="V282"/>
      <x:c r="W282"/>
      <x:c r="X282"/>
      <x:c r="Y282"/>
      <x:c r="Z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/>
      <x:c r="U283"/>
      <x:c r="V283"/>
      <x:c r="W283"/>
      <x:c r="X283"/>
      <x:c r="Y283"/>
      <x:c r="Z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  <x:c r="U284"/>
      <x:c r="V284"/>
      <x:c r="W284"/>
      <x:c r="X284"/>
      <x:c r="Y284"/>
      <x:c r="Z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  <x:c r="S285"/>
      <x:c r="T285"/>
      <x:c r="U285"/>
      <x:c r="V285"/>
      <x:c r="W285"/>
      <x:c r="X285"/>
      <x:c r="Y285"/>
      <x:c r="Z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  <x:c r="S286"/>
      <x:c r="T286"/>
      <x:c r="U286"/>
      <x:c r="V286"/>
      <x:c r="W286"/>
      <x:c r="X286"/>
      <x:c r="Y286"/>
      <x:c r="Z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  <x:c r="S287"/>
      <x:c r="T287"/>
      <x:c r="U287"/>
      <x:c r="V287"/>
      <x:c r="W287"/>
      <x:c r="X287"/>
      <x:c r="Y287"/>
      <x:c r="Z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  <x:c r="S288"/>
      <x:c r="T288"/>
      <x:c r="U288"/>
      <x:c r="V288"/>
      <x:c r="W288"/>
      <x:c r="X288"/>
      <x:c r="Y288"/>
      <x:c r="Z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  <x:c r="S289"/>
      <x:c r="T289"/>
      <x:c r="U289"/>
      <x:c r="V289"/>
      <x:c r="W289"/>
      <x:c r="X289"/>
      <x:c r="Y289"/>
      <x:c r="Z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  <x:c r="S290"/>
      <x:c r="T290"/>
      <x:c r="U290"/>
      <x:c r="V290"/>
      <x:c r="W290"/>
      <x:c r="X290"/>
      <x:c r="Y290"/>
      <x:c r="Z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  <x:c r="S291"/>
      <x:c r="T291"/>
      <x:c r="U291"/>
      <x:c r="V291"/>
      <x:c r="W291"/>
      <x:c r="X291"/>
      <x:c r="Y291"/>
      <x:c r="Z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  <x:c r="S292"/>
      <x:c r="T292"/>
      <x:c r="U292"/>
      <x:c r="V292"/>
      <x:c r="W292"/>
      <x:c r="X292"/>
      <x:c r="Y292"/>
      <x:c r="Z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  <x:c r="S293"/>
      <x:c r="T293"/>
      <x:c r="U293"/>
      <x:c r="V293"/>
      <x:c r="W293"/>
      <x:c r="X293"/>
      <x:c r="Y293"/>
      <x:c r="Z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  <x:c r="P294"/>
      <x:c r="Q294"/>
      <x:c r="R294"/>
      <x:c r="S294"/>
      <x:c r="T294"/>
      <x:c r="U294"/>
      <x:c r="V294"/>
      <x:c r="W294"/>
      <x:c r="X294"/>
      <x:c r="Y294"/>
      <x:c r="Z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  <x:c r="S295"/>
      <x:c r="T295"/>
      <x:c r="U295"/>
      <x:c r="V295"/>
      <x:c r="W295"/>
      <x:c r="X295"/>
      <x:c r="Y295"/>
      <x:c r="Z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  <x:c r="S296"/>
      <x:c r="T296"/>
      <x:c r="U296"/>
      <x:c r="V296"/>
      <x:c r="W296"/>
      <x:c r="X296"/>
      <x:c r="Y296"/>
      <x:c r="Z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  <x:c r="P297"/>
      <x:c r="Q297"/>
      <x:c r="R297"/>
      <x:c r="S297"/>
      <x:c r="T297"/>
      <x:c r="U297"/>
      <x:c r="V297"/>
      <x:c r="W297"/>
      <x:c r="X297"/>
      <x:c r="Y297"/>
      <x:c r="Z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  <x:c r="P298"/>
      <x:c r="Q298"/>
      <x:c r="R298"/>
      <x:c r="S298"/>
      <x:c r="T298"/>
      <x:c r="U298"/>
      <x:c r="V298"/>
      <x:c r="W298"/>
      <x:c r="X298"/>
      <x:c r="Y298"/>
      <x:c r="Z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  <x:c r="P299"/>
      <x:c r="Q299"/>
      <x:c r="R299"/>
      <x:c r="S299"/>
      <x:c r="T299"/>
      <x:c r="U299"/>
      <x:c r="V299"/>
      <x:c r="W299"/>
      <x:c r="X299"/>
      <x:c r="Y299"/>
      <x:c r="Z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  <x:c r="P300"/>
      <x:c r="Q300"/>
      <x:c r="R300"/>
      <x:c r="S300"/>
      <x:c r="T300"/>
      <x:c r="U300"/>
      <x:c r="V300"/>
      <x:c r="W300"/>
      <x:c r="X300"/>
      <x:c r="Y300"/>
      <x:c r="Z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  <x:c r="P301"/>
      <x:c r="Q301"/>
      <x:c r="R301"/>
      <x:c r="S301"/>
      <x:c r="T301"/>
      <x:c r="U301"/>
      <x:c r="V301"/>
      <x:c r="W301"/>
      <x:c r="X301"/>
      <x:c r="Y301"/>
      <x:c r="Z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  <x:c r="P302"/>
      <x:c r="Q302"/>
      <x:c r="R302"/>
      <x:c r="S302"/>
      <x:c r="T302"/>
      <x:c r="U302"/>
      <x:c r="V302"/>
      <x:c r="W302"/>
      <x:c r="X302"/>
      <x:c r="Y302"/>
      <x:c r="Z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  <x:c r="P303"/>
      <x:c r="Q303"/>
      <x:c r="R303"/>
      <x:c r="S303"/>
      <x:c r="T303"/>
      <x:c r="U303"/>
      <x:c r="V303"/>
      <x:c r="W303"/>
      <x:c r="X303"/>
      <x:c r="Y303"/>
      <x:c r="Z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  <x:c r="P304"/>
      <x:c r="Q304"/>
      <x:c r="R304"/>
      <x:c r="S304"/>
      <x:c r="T304"/>
      <x:c r="U304"/>
      <x:c r="V304"/>
      <x:c r="W304"/>
      <x:c r="X304"/>
      <x:c r="Y304"/>
      <x:c r="Z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  <x:c r="P305"/>
      <x:c r="Q305"/>
      <x:c r="R305"/>
      <x:c r="S305"/>
      <x:c r="T305"/>
      <x:c r="U305"/>
      <x:c r="V305"/>
      <x:c r="W305"/>
      <x:c r="X305"/>
      <x:c r="Y305"/>
      <x:c r="Z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  <x:c r="P306"/>
      <x:c r="Q306"/>
      <x:c r="R306"/>
      <x:c r="S306"/>
      <x:c r="T306"/>
      <x:c r="U306"/>
      <x:c r="V306"/>
      <x:c r="W306"/>
      <x:c r="X306"/>
      <x:c r="Y306"/>
      <x:c r="Z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  <x:c r="P307"/>
      <x:c r="Q307"/>
      <x:c r="R307"/>
      <x:c r="S307"/>
      <x:c r="T307"/>
      <x:c r="U307"/>
      <x:c r="V307"/>
      <x:c r="W307"/>
      <x:c r="X307"/>
      <x:c r="Y307"/>
      <x:c r="Z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  <x:c r="P308"/>
      <x:c r="Q308"/>
      <x:c r="R308"/>
      <x:c r="S308"/>
      <x:c r="T308"/>
      <x:c r="U308"/>
      <x:c r="V308"/>
      <x:c r="W308"/>
      <x:c r="X308"/>
      <x:c r="Y308"/>
      <x:c r="Z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  <x:c r="P309"/>
      <x:c r="Q309"/>
      <x:c r="R309"/>
      <x:c r="S309"/>
      <x:c r="T309"/>
      <x:c r="U309"/>
      <x:c r="V309"/>
      <x:c r="W309"/>
      <x:c r="X309"/>
      <x:c r="Y309"/>
      <x:c r="Z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  <x:c r="P310"/>
      <x:c r="Q310"/>
      <x:c r="R310"/>
      <x:c r="S310"/>
      <x:c r="T310"/>
      <x:c r="U310"/>
      <x:c r="V310"/>
      <x:c r="W310"/>
      <x:c r="X310"/>
      <x:c r="Y310"/>
      <x:c r="Z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  <x:c r="P311"/>
      <x:c r="Q311"/>
      <x:c r="R311"/>
      <x:c r="S311"/>
      <x:c r="T311"/>
      <x:c r="U311"/>
      <x:c r="V311"/>
      <x:c r="W311"/>
      <x:c r="X311"/>
      <x:c r="Y311"/>
      <x:c r="Z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  <x:c r="P312"/>
      <x:c r="Q312"/>
      <x:c r="R312"/>
      <x:c r="S312"/>
      <x:c r="T312"/>
      <x:c r="U312"/>
      <x:c r="V312"/>
      <x:c r="W312"/>
      <x:c r="X312"/>
      <x:c r="Y312"/>
      <x:c r="Z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  <x:c r="P313"/>
      <x:c r="Q313"/>
      <x:c r="R313"/>
      <x:c r="S313"/>
      <x:c r="T313"/>
      <x:c r="U313"/>
      <x:c r="V313"/>
      <x:c r="W313"/>
      <x:c r="X313"/>
      <x:c r="Y313"/>
      <x:c r="Z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  <x:c r="P314"/>
      <x:c r="Q314"/>
      <x:c r="R314"/>
      <x:c r="S314"/>
      <x:c r="T314"/>
      <x:c r="U314"/>
      <x:c r="V314"/>
      <x:c r="W314"/>
      <x:c r="X314"/>
      <x:c r="Y314"/>
      <x:c r="Z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  <x:c r="P315"/>
      <x:c r="Q315"/>
      <x:c r="R315"/>
      <x:c r="S315"/>
      <x:c r="T315"/>
      <x:c r="U315"/>
      <x:c r="V315"/>
      <x:c r="W315"/>
      <x:c r="X315"/>
      <x:c r="Y315"/>
      <x:c r="Z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  <x:c r="P316"/>
      <x:c r="Q316"/>
      <x:c r="R316"/>
      <x:c r="S316"/>
      <x:c r="T316"/>
      <x:c r="U316"/>
      <x:c r="V316"/>
      <x:c r="W316"/>
      <x:c r="X316"/>
      <x:c r="Y316"/>
      <x:c r="Z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  <x:c r="P317"/>
      <x:c r="Q317"/>
      <x:c r="R317"/>
      <x:c r="S317"/>
      <x:c r="T317"/>
      <x:c r="U317"/>
      <x:c r="V317"/>
      <x:c r="W317"/>
      <x:c r="X317"/>
      <x:c r="Y317"/>
      <x:c r="Z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  <x:c r="P318"/>
      <x:c r="Q318"/>
      <x:c r="R318"/>
      <x:c r="S318"/>
      <x:c r="T318"/>
      <x:c r="U318"/>
      <x:c r="V318"/>
      <x:c r="W318"/>
      <x:c r="X318"/>
      <x:c r="Y318"/>
      <x:c r="Z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  <x:c r="P319"/>
      <x:c r="Q319"/>
      <x:c r="R319"/>
      <x:c r="S319"/>
      <x:c r="T319"/>
      <x:c r="U319"/>
      <x:c r="V319"/>
      <x:c r="W319"/>
      <x:c r="X319"/>
      <x:c r="Y319"/>
      <x:c r="Z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  <x:c r="P320"/>
      <x:c r="Q320"/>
      <x:c r="R320"/>
      <x:c r="S320"/>
      <x:c r="T320"/>
      <x:c r="U320"/>
      <x:c r="V320"/>
      <x:c r="W320"/>
      <x:c r="X320"/>
      <x:c r="Y320"/>
      <x:c r="Z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  <x:c r="P321"/>
      <x:c r="Q321"/>
      <x:c r="R321"/>
      <x:c r="S321"/>
      <x:c r="T321"/>
      <x:c r="U321"/>
      <x:c r="V321"/>
      <x:c r="W321"/>
      <x:c r="X321"/>
      <x:c r="Y321"/>
      <x:c r="Z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  <x:c r="P322"/>
      <x:c r="Q322"/>
      <x:c r="R322"/>
      <x:c r="S322"/>
      <x:c r="T322"/>
      <x:c r="U322"/>
      <x:c r="V322"/>
      <x:c r="W322"/>
      <x:c r="X322"/>
      <x:c r="Y322"/>
      <x:c r="Z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  <x:c r="P323"/>
      <x:c r="Q323"/>
      <x:c r="R323"/>
      <x:c r="S323"/>
      <x:c r="T323"/>
      <x:c r="U323"/>
      <x:c r="V323"/>
      <x:c r="W323"/>
      <x:c r="X323"/>
      <x:c r="Y323"/>
      <x:c r="Z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  <x:c r="P324"/>
      <x:c r="Q324"/>
      <x:c r="R324"/>
      <x:c r="S324"/>
      <x:c r="T324"/>
      <x:c r="U324"/>
      <x:c r="V324"/>
      <x:c r="W324"/>
      <x:c r="X324"/>
      <x:c r="Y324"/>
      <x:c r="Z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  <x:c r="P325"/>
      <x:c r="Q325"/>
      <x:c r="R325"/>
      <x:c r="S325"/>
      <x:c r="T325"/>
      <x:c r="U325"/>
      <x:c r="V325"/>
      <x:c r="W325"/>
      <x:c r="X325"/>
      <x:c r="Y325"/>
      <x:c r="Z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  <x:c r="P326"/>
      <x:c r="Q326"/>
      <x:c r="R326"/>
      <x:c r="S326"/>
      <x:c r="T326"/>
      <x:c r="U326"/>
      <x:c r="V326"/>
      <x:c r="W326"/>
      <x:c r="X326"/>
      <x:c r="Y326"/>
      <x:c r="Z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  <x:c r="P327"/>
      <x:c r="Q327"/>
      <x:c r="R327"/>
      <x:c r="S327"/>
      <x:c r="T327"/>
      <x:c r="U327"/>
      <x:c r="V327"/>
      <x:c r="W327"/>
      <x:c r="X327"/>
      <x:c r="Y327"/>
      <x:c r="Z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  <x:c r="P328"/>
      <x:c r="Q328"/>
      <x:c r="R328"/>
      <x:c r="S328"/>
      <x:c r="T328"/>
      <x:c r="U328"/>
      <x:c r="V328"/>
      <x:c r="W328"/>
      <x:c r="X328"/>
      <x:c r="Y328"/>
      <x:c r="Z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  <x:c r="P329"/>
      <x:c r="Q329"/>
      <x:c r="R329"/>
      <x:c r="S329"/>
      <x:c r="T329"/>
      <x:c r="U329"/>
      <x:c r="V329"/>
      <x:c r="W329"/>
      <x:c r="X329"/>
      <x:c r="Y329"/>
      <x:c r="Z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  <x:c r="P330"/>
      <x:c r="Q330"/>
      <x:c r="R330"/>
      <x:c r="S330"/>
      <x:c r="T330"/>
      <x:c r="U330"/>
      <x:c r="V330"/>
      <x:c r="W330"/>
      <x:c r="X330"/>
      <x:c r="Y330"/>
      <x:c r="Z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  <x:c r="P331"/>
      <x:c r="Q331"/>
      <x:c r="R331"/>
      <x:c r="S331"/>
      <x:c r="T331"/>
      <x:c r="U331"/>
      <x:c r="V331"/>
      <x:c r="W331"/>
      <x:c r="X331"/>
      <x:c r="Y331"/>
      <x:c r="Z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  <x:c r="P332"/>
      <x:c r="Q332"/>
      <x:c r="R332"/>
      <x:c r="S332"/>
      <x:c r="T332"/>
      <x:c r="U332"/>
      <x:c r="V332"/>
      <x:c r="W332"/>
      <x:c r="X332"/>
      <x:c r="Y332"/>
      <x:c r="Z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  <x:c r="P333"/>
      <x:c r="Q333"/>
      <x:c r="R333"/>
      <x:c r="S333"/>
      <x:c r="T333"/>
      <x:c r="U333"/>
      <x:c r="V333"/>
      <x:c r="W333"/>
      <x:c r="X333"/>
      <x:c r="Y333"/>
      <x:c r="Z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  <x:c r="P334"/>
      <x:c r="Q334"/>
      <x:c r="R334"/>
      <x:c r="S334"/>
      <x:c r="T334"/>
      <x:c r="U334"/>
      <x:c r="V334"/>
      <x:c r="W334"/>
      <x:c r="X334"/>
      <x:c r="Y334"/>
      <x:c r="Z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  <x:c r="P335"/>
      <x:c r="Q335"/>
      <x:c r="R335"/>
      <x:c r="S335"/>
      <x:c r="T335"/>
      <x:c r="U335"/>
      <x:c r="V335"/>
      <x:c r="W335"/>
      <x:c r="X335"/>
      <x:c r="Y335"/>
      <x:c r="Z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  <x:c r="P336"/>
      <x:c r="Q336"/>
      <x:c r="R336"/>
      <x:c r="S336"/>
      <x:c r="T336"/>
      <x:c r="U336"/>
      <x:c r="V336"/>
      <x:c r="W336"/>
      <x:c r="X336"/>
      <x:c r="Y336"/>
      <x:c r="Z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  <x:c r="P337"/>
      <x:c r="Q337"/>
      <x:c r="R337"/>
      <x:c r="S337"/>
      <x:c r="T337"/>
      <x:c r="U337"/>
      <x:c r="V337"/>
      <x:c r="W337"/>
      <x:c r="X337"/>
      <x:c r="Y337"/>
      <x:c r="Z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  <x:c r="P338"/>
      <x:c r="Q338"/>
      <x:c r="R338"/>
      <x:c r="S338"/>
      <x:c r="T338"/>
      <x:c r="U338"/>
      <x:c r="V338"/>
      <x:c r="W338"/>
      <x:c r="X338"/>
      <x:c r="Y338"/>
      <x:c r="Z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  <x:c r="P339"/>
      <x:c r="Q339"/>
      <x:c r="R339"/>
      <x:c r="S339"/>
      <x:c r="T339"/>
      <x:c r="U339"/>
      <x:c r="V339"/>
      <x:c r="W339"/>
      <x:c r="X339"/>
      <x:c r="Y339"/>
      <x:c r="Z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  <x:c r="P340"/>
      <x:c r="Q340"/>
      <x:c r="R340"/>
      <x:c r="S340"/>
      <x:c r="T340"/>
      <x:c r="U340"/>
      <x:c r="V340"/>
      <x:c r="W340"/>
      <x:c r="X340"/>
      <x:c r="Y340"/>
      <x:c r="Z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  <x:c r="P341"/>
      <x:c r="Q341"/>
      <x:c r="R341"/>
      <x:c r="S341"/>
      <x:c r="T341"/>
      <x:c r="U341"/>
      <x:c r="V341"/>
      <x:c r="W341"/>
      <x:c r="X341"/>
      <x:c r="Y341"/>
      <x:c r="Z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  <x:c r="P342"/>
      <x:c r="Q342"/>
      <x:c r="R342"/>
      <x:c r="S342"/>
      <x:c r="T342"/>
      <x:c r="U342"/>
      <x:c r="V342"/>
      <x:c r="W342"/>
      <x:c r="X342"/>
      <x:c r="Y342"/>
      <x:c r="Z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  <x:c r="P343"/>
      <x:c r="Q343"/>
      <x:c r="R343"/>
      <x:c r="S343"/>
      <x:c r="T343"/>
      <x:c r="U343"/>
      <x:c r="V343"/>
      <x:c r="W343"/>
      <x:c r="X343"/>
      <x:c r="Y343"/>
      <x:c r="Z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  <x:c r="P344"/>
      <x:c r="Q344"/>
      <x:c r="R344"/>
      <x:c r="S344"/>
      <x:c r="T344"/>
      <x:c r="U344"/>
      <x:c r="V344"/>
      <x:c r="W344"/>
      <x:c r="X344"/>
      <x:c r="Y344"/>
      <x:c r="Z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  <x:c r="P345"/>
      <x:c r="Q345"/>
      <x:c r="R345"/>
      <x:c r="S345"/>
      <x:c r="T345"/>
      <x:c r="U345"/>
      <x:c r="V345"/>
      <x:c r="W345"/>
      <x:c r="X345"/>
      <x:c r="Y345"/>
      <x:c r="Z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  <x:c r="P346"/>
      <x:c r="Q346"/>
      <x:c r="R346"/>
      <x:c r="S346"/>
      <x:c r="T346"/>
      <x:c r="U346"/>
      <x:c r="V346"/>
      <x:c r="W346"/>
      <x:c r="X346"/>
      <x:c r="Y346"/>
      <x:c r="Z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  <x:c r="P347"/>
      <x:c r="Q347"/>
      <x:c r="R347"/>
      <x:c r="S347"/>
      <x:c r="T347"/>
      <x:c r="U347"/>
      <x:c r="V347"/>
      <x:c r="W347"/>
      <x:c r="X347"/>
      <x:c r="Y347"/>
      <x:c r="Z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  <x:c r="P348"/>
      <x:c r="Q348"/>
      <x:c r="R348"/>
      <x:c r="S348"/>
      <x:c r="T348"/>
      <x:c r="U348"/>
      <x:c r="V348"/>
      <x:c r="W348"/>
      <x:c r="X348"/>
      <x:c r="Y348"/>
      <x:c r="Z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  <x:c r="P349"/>
      <x:c r="Q349"/>
      <x:c r="R349"/>
      <x:c r="S349"/>
      <x:c r="T349"/>
      <x:c r="U349"/>
      <x:c r="V349"/>
      <x:c r="W349"/>
      <x:c r="X349"/>
      <x:c r="Y349"/>
      <x:c r="Z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  <x:c r="P350"/>
      <x:c r="Q350"/>
      <x:c r="R350"/>
      <x:c r="S350"/>
      <x:c r="T350"/>
      <x:c r="U350"/>
      <x:c r="V350"/>
      <x:c r="W350"/>
      <x:c r="X350"/>
      <x:c r="Y350"/>
      <x:c r="Z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  <x:c r="P351"/>
      <x:c r="Q351"/>
      <x:c r="R351"/>
      <x:c r="S351"/>
      <x:c r="T351"/>
      <x:c r="U351"/>
      <x:c r="V351"/>
      <x:c r="W351"/>
      <x:c r="X351"/>
      <x:c r="Y351"/>
      <x:c r="Z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  <x:c r="P352"/>
      <x:c r="Q352"/>
      <x:c r="R352"/>
      <x:c r="S352"/>
      <x:c r="T352"/>
      <x:c r="U352"/>
      <x:c r="V352"/>
      <x:c r="W352"/>
      <x:c r="X352"/>
      <x:c r="Y352"/>
      <x:c r="Z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  <x:c r="P353"/>
      <x:c r="Q353"/>
      <x:c r="R353"/>
      <x:c r="S353"/>
      <x:c r="T353"/>
      <x:c r="U353"/>
      <x:c r="V353"/>
      <x:c r="W353"/>
      <x:c r="X353"/>
      <x:c r="Y353"/>
      <x:c r="Z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  <x:c r="P354"/>
      <x:c r="Q354"/>
      <x:c r="R354"/>
      <x:c r="S354"/>
      <x:c r="T354"/>
      <x:c r="U354"/>
      <x:c r="V354"/>
      <x:c r="W354"/>
      <x:c r="X354"/>
      <x:c r="Y354"/>
      <x:c r="Z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  <x:c r="P355"/>
      <x:c r="Q355"/>
      <x:c r="R355"/>
      <x:c r="S355"/>
      <x:c r="T355"/>
      <x:c r="U355"/>
      <x:c r="V355"/>
      <x:c r="W355"/>
      <x:c r="X355"/>
      <x:c r="Y355"/>
      <x:c r="Z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  <x:c r="P356"/>
      <x:c r="Q356"/>
      <x:c r="R356"/>
      <x:c r="S356"/>
      <x:c r="T356"/>
      <x:c r="U356"/>
      <x:c r="V356"/>
      <x:c r="W356"/>
      <x:c r="X356"/>
      <x:c r="Y356"/>
      <x:c r="Z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  <x:c r="P357"/>
      <x:c r="Q357"/>
      <x:c r="R357"/>
      <x:c r="S357"/>
      <x:c r="T357"/>
      <x:c r="U357"/>
      <x:c r="V357"/>
      <x:c r="W357"/>
      <x:c r="X357"/>
      <x:c r="Y357"/>
      <x:c r="Z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  <x:c r="P358"/>
      <x:c r="Q358"/>
      <x:c r="R358"/>
      <x:c r="S358"/>
      <x:c r="T358"/>
      <x:c r="U358"/>
      <x:c r="V358"/>
      <x:c r="W358"/>
      <x:c r="X358"/>
      <x:c r="Y358"/>
      <x:c r="Z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  <x:c r="P359"/>
      <x:c r="Q359"/>
      <x:c r="R359"/>
      <x:c r="S359"/>
      <x:c r="T359"/>
      <x:c r="U359"/>
      <x:c r="V359"/>
      <x:c r="W359"/>
      <x:c r="X359"/>
      <x:c r="Y359"/>
      <x:c r="Z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  <x:c r="P360"/>
      <x:c r="Q360"/>
      <x:c r="R360"/>
      <x:c r="S360"/>
      <x:c r="T360"/>
      <x:c r="U360"/>
      <x:c r="V360"/>
      <x:c r="W360"/>
      <x:c r="X360"/>
      <x:c r="Y360"/>
      <x:c r="Z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  <x:c r="P361"/>
      <x:c r="Q361"/>
      <x:c r="R361"/>
      <x:c r="S361"/>
      <x:c r="T361"/>
      <x:c r="U361"/>
      <x:c r="V361"/>
      <x:c r="W361"/>
      <x:c r="X361"/>
      <x:c r="Y361"/>
      <x:c r="Z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  <x:c r="P362"/>
      <x:c r="Q362"/>
      <x:c r="R362"/>
      <x:c r="S362"/>
      <x:c r="T362"/>
      <x:c r="U362"/>
      <x:c r="V362"/>
      <x:c r="W362"/>
      <x:c r="X362"/>
      <x:c r="Y362"/>
      <x:c r="Z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  <x:c r="P363"/>
      <x:c r="Q363"/>
      <x:c r="R363"/>
      <x:c r="S363"/>
      <x:c r="T363"/>
      <x:c r="U363"/>
      <x:c r="V363"/>
      <x:c r="W363"/>
      <x:c r="X363"/>
      <x:c r="Y363"/>
      <x:c r="Z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  <x:c r="P364"/>
      <x:c r="Q364"/>
      <x:c r="R364"/>
      <x:c r="S364"/>
      <x:c r="T364"/>
      <x:c r="U364"/>
      <x:c r="V364"/>
      <x:c r="W364"/>
      <x:c r="X364"/>
      <x:c r="Y364"/>
      <x:c r="Z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  <x:c r="P365"/>
      <x:c r="Q365"/>
      <x:c r="R365"/>
      <x:c r="S365"/>
      <x:c r="T365"/>
      <x:c r="U365"/>
      <x:c r="V365"/>
      <x:c r="W365"/>
      <x:c r="X365"/>
      <x:c r="Y365"/>
      <x:c r="Z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  <x:c r="P366"/>
      <x:c r="Q366"/>
      <x:c r="R366"/>
      <x:c r="S366"/>
      <x:c r="T366"/>
      <x:c r="U366"/>
      <x:c r="V366"/>
      <x:c r="W366"/>
      <x:c r="X366"/>
      <x:c r="Y366"/>
      <x:c r="Z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  <x:c r="P367"/>
      <x:c r="Q367"/>
      <x:c r="R367"/>
      <x:c r="S367"/>
      <x:c r="T367"/>
      <x:c r="U367"/>
      <x:c r="V367"/>
      <x:c r="W367"/>
      <x:c r="X367"/>
      <x:c r="Y367"/>
      <x:c r="Z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  <x:c r="P368"/>
      <x:c r="Q368"/>
      <x:c r="R368"/>
      <x:c r="S368"/>
      <x:c r="T368"/>
      <x:c r="U368"/>
      <x:c r="V368"/>
      <x:c r="W368"/>
      <x:c r="X368"/>
      <x:c r="Y368"/>
      <x:c r="Z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  <x:c r="P369"/>
      <x:c r="Q369"/>
      <x:c r="R369"/>
      <x:c r="S369"/>
      <x:c r="T369"/>
      <x:c r="U369"/>
      <x:c r="V369"/>
      <x:c r="W369"/>
      <x:c r="X369"/>
      <x:c r="Y369"/>
      <x:c r="Z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  <x:c r="P370"/>
      <x:c r="Q370"/>
      <x:c r="R370"/>
      <x:c r="S370"/>
      <x:c r="T370"/>
      <x:c r="U370"/>
      <x:c r="V370"/>
      <x:c r="W370"/>
      <x:c r="X370"/>
      <x:c r="Y370"/>
      <x:c r="Z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  <x:c r="P371"/>
      <x:c r="Q371"/>
      <x:c r="R371"/>
      <x:c r="S371"/>
      <x:c r="T371"/>
      <x:c r="U371"/>
      <x:c r="V371"/>
      <x:c r="W371"/>
      <x:c r="X371"/>
      <x:c r="Y371"/>
      <x:c r="Z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  <x:c r="P372"/>
      <x:c r="Q372"/>
      <x:c r="R372"/>
      <x:c r="S372"/>
      <x:c r="T372"/>
      <x:c r="U372"/>
      <x:c r="V372"/>
      <x:c r="W372"/>
      <x:c r="X372"/>
      <x:c r="Y372"/>
      <x:c r="Z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  <x:c r="P373"/>
      <x:c r="Q373"/>
      <x:c r="R373"/>
      <x:c r="S373"/>
      <x:c r="T373"/>
      <x:c r="U373"/>
      <x:c r="V373"/>
      <x:c r="W373"/>
      <x:c r="X373"/>
      <x:c r="Y373"/>
      <x:c r="Z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  <x:c r="P374"/>
      <x:c r="Q374"/>
      <x:c r="R374"/>
      <x:c r="S374"/>
      <x:c r="T374"/>
      <x:c r="U374"/>
      <x:c r="V374"/>
      <x:c r="W374"/>
      <x:c r="X374"/>
      <x:c r="Y374"/>
      <x:c r="Z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  <x:c r="P375"/>
      <x:c r="Q375"/>
      <x:c r="R375"/>
      <x:c r="S375"/>
      <x:c r="T375"/>
      <x:c r="U375"/>
      <x:c r="V375"/>
      <x:c r="W375"/>
      <x:c r="X375"/>
      <x:c r="Y375"/>
      <x:c r="Z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  <x:c r="P376"/>
      <x:c r="Q376"/>
      <x:c r="R376"/>
      <x:c r="S376"/>
      <x:c r="T376"/>
      <x:c r="U376"/>
      <x:c r="V376"/>
      <x:c r="W376"/>
      <x:c r="X376"/>
      <x:c r="Y376"/>
      <x:c r="Z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  <x:c r="P377"/>
      <x:c r="Q377"/>
      <x:c r="R377"/>
      <x:c r="S377"/>
      <x:c r="T377"/>
      <x:c r="U377"/>
      <x:c r="V377"/>
      <x:c r="W377"/>
      <x:c r="X377"/>
      <x:c r="Y377"/>
      <x:c r="Z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  <x:c r="P378"/>
      <x:c r="Q378"/>
      <x:c r="R378"/>
      <x:c r="S378"/>
      <x:c r="T378"/>
      <x:c r="U378"/>
      <x:c r="V378"/>
      <x:c r="W378"/>
      <x:c r="X378"/>
      <x:c r="Y378"/>
      <x:c r="Z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  <x:c r="P379"/>
      <x:c r="Q379"/>
      <x:c r="R379"/>
      <x:c r="S379"/>
      <x:c r="T379"/>
      <x:c r="U379"/>
      <x:c r="V379"/>
      <x:c r="W379"/>
      <x:c r="X379"/>
      <x:c r="Y379"/>
      <x:c r="Z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  <x:c r="P380"/>
      <x:c r="Q380"/>
      <x:c r="R380"/>
      <x:c r="S380"/>
      <x:c r="T380"/>
      <x:c r="U380"/>
      <x:c r="V380"/>
      <x:c r="W380"/>
      <x:c r="X380"/>
      <x:c r="Y380"/>
      <x:c r="Z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  <x:c r="P381"/>
      <x:c r="Q381"/>
      <x:c r="R381"/>
      <x:c r="S381"/>
      <x:c r="T381"/>
      <x:c r="U381"/>
      <x:c r="V381"/>
      <x:c r="W381"/>
      <x:c r="X381"/>
      <x:c r="Y381"/>
      <x:c r="Z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  <x:c r="P382"/>
      <x:c r="Q382"/>
      <x:c r="R382"/>
      <x:c r="S382"/>
      <x:c r="T382"/>
      <x:c r="U382"/>
      <x:c r="V382"/>
      <x:c r="W382"/>
      <x:c r="X382"/>
      <x:c r="Y382"/>
      <x:c r="Z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  <x:c r="P383"/>
      <x:c r="Q383"/>
      <x:c r="R383"/>
      <x:c r="S383"/>
      <x:c r="T383"/>
      <x:c r="U383"/>
      <x:c r="V383"/>
      <x:c r="W383"/>
      <x:c r="X383"/>
      <x:c r="Y383"/>
      <x:c r="Z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  <x:c r="P384"/>
      <x:c r="Q384"/>
      <x:c r="R384"/>
      <x:c r="S384"/>
      <x:c r="T384"/>
      <x:c r="U384"/>
      <x:c r="V384"/>
      <x:c r="W384"/>
      <x:c r="X384"/>
      <x:c r="Y384"/>
      <x:c r="Z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  <x:c r="P385"/>
      <x:c r="Q385"/>
      <x:c r="R385"/>
      <x:c r="S385"/>
      <x:c r="T385"/>
      <x:c r="U385"/>
      <x:c r="V385"/>
      <x:c r="W385"/>
      <x:c r="X385"/>
      <x:c r="Y385"/>
      <x:c r="Z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  <x:c r="P386"/>
      <x:c r="Q386"/>
      <x:c r="R386"/>
      <x:c r="S386"/>
      <x:c r="T386"/>
      <x:c r="U386"/>
      <x:c r="V386"/>
      <x:c r="W386"/>
      <x:c r="X386"/>
      <x:c r="Y386"/>
      <x:c r="Z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  <x:c r="P387"/>
      <x:c r="Q387"/>
      <x:c r="R387"/>
      <x:c r="S387"/>
      <x:c r="T387"/>
      <x:c r="U387"/>
      <x:c r="V387"/>
      <x:c r="W387"/>
      <x:c r="X387"/>
      <x:c r="Y387"/>
      <x:c r="Z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  <x:c r="P388"/>
      <x:c r="Q388"/>
      <x:c r="R388"/>
      <x:c r="S388"/>
      <x:c r="T388"/>
      <x:c r="U388"/>
      <x:c r="V388"/>
      <x:c r="W388"/>
      <x:c r="X388"/>
      <x:c r="Y388"/>
      <x:c r="Z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  <x:c r="P389"/>
      <x:c r="Q389"/>
      <x:c r="R389"/>
      <x:c r="S389"/>
      <x:c r="T389"/>
      <x:c r="U389"/>
      <x:c r="V389"/>
      <x:c r="W389"/>
      <x:c r="X389"/>
      <x:c r="Y389"/>
      <x:c r="Z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  <x:c r="P390"/>
      <x:c r="Q390"/>
      <x:c r="R390"/>
      <x:c r="S390"/>
      <x:c r="T390"/>
      <x:c r="U390"/>
      <x:c r="V390"/>
      <x:c r="W390"/>
      <x:c r="X390"/>
      <x:c r="Y390"/>
      <x:c r="Z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  <x:c r="P391"/>
      <x:c r="Q391"/>
      <x:c r="R391"/>
      <x:c r="S391"/>
      <x:c r="T391"/>
      <x:c r="U391"/>
      <x:c r="V391"/>
      <x:c r="W391"/>
      <x:c r="X391"/>
      <x:c r="Y391"/>
      <x:c r="Z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  <x:c r="P392"/>
      <x:c r="Q392"/>
      <x:c r="R392"/>
      <x:c r="S392"/>
      <x:c r="T392"/>
      <x:c r="U392"/>
      <x:c r="V392"/>
      <x:c r="W392"/>
      <x:c r="X392"/>
      <x:c r="Y392"/>
      <x:c r="Z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  <x:c r="M393"/>
      <x:c r="N393"/>
      <x:c r="O393"/>
      <x:c r="P393"/>
      <x:c r="Q393"/>
      <x:c r="R393"/>
      <x:c r="S393"/>
      <x:c r="T393"/>
      <x:c r="U393"/>
      <x:c r="V393"/>
      <x:c r="W393"/>
      <x:c r="X393"/>
      <x:c r="Y393"/>
      <x:c r="Z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  <x:c r="M394"/>
      <x:c r="N394"/>
      <x:c r="O394"/>
      <x:c r="P394"/>
      <x:c r="Q394"/>
      <x:c r="R394"/>
      <x:c r="S394"/>
      <x:c r="T394"/>
      <x:c r="U394"/>
      <x:c r="V394"/>
      <x:c r="W394"/>
      <x:c r="X394"/>
      <x:c r="Y394"/>
      <x:c r="Z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  <x:c r="M395"/>
      <x:c r="N395"/>
      <x:c r="O395"/>
      <x:c r="P395"/>
      <x:c r="Q395"/>
      <x:c r="R395"/>
      <x:c r="S395"/>
      <x:c r="T395"/>
      <x:c r="U395"/>
      <x:c r="V395"/>
      <x:c r="W395"/>
      <x:c r="X395"/>
      <x:c r="Y395"/>
      <x:c r="Z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  <x:c r="M396"/>
      <x:c r="N396"/>
      <x:c r="O396"/>
      <x:c r="P396"/>
      <x:c r="Q396"/>
      <x:c r="R396"/>
      <x:c r="S396"/>
      <x:c r="T396"/>
      <x:c r="U396"/>
      <x:c r="V396"/>
      <x:c r="W396"/>
      <x:c r="X396"/>
      <x:c r="Y396"/>
      <x:c r="Z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  <x:c r="M397"/>
      <x:c r="N397"/>
      <x:c r="O397"/>
      <x:c r="P397"/>
      <x:c r="Q397"/>
      <x:c r="R397"/>
      <x:c r="S397"/>
      <x:c r="T397"/>
      <x:c r="U397"/>
      <x:c r="V397"/>
      <x:c r="W397"/>
      <x:c r="X397"/>
      <x:c r="Y397"/>
      <x:c r="Z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  <x:c r="M398"/>
      <x:c r="N398"/>
      <x:c r="O398"/>
      <x:c r="P398"/>
      <x:c r="Q398"/>
      <x:c r="R398"/>
      <x:c r="S398"/>
      <x:c r="T398"/>
      <x:c r="U398"/>
      <x:c r="V398"/>
      <x:c r="W398"/>
      <x:c r="X398"/>
      <x:c r="Y398"/>
      <x:c r="Z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  <x:c r="M399"/>
      <x:c r="N399"/>
      <x:c r="O399"/>
      <x:c r="P399"/>
      <x:c r="Q399"/>
      <x:c r="R399"/>
      <x:c r="S399"/>
      <x:c r="T399"/>
      <x:c r="U399"/>
      <x:c r="V399"/>
      <x:c r="W399"/>
      <x:c r="X399"/>
      <x:c r="Y399"/>
      <x:c r="Z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  <x:c r="M400"/>
      <x:c r="N400"/>
      <x:c r="O400"/>
      <x:c r="P400"/>
      <x:c r="Q400"/>
      <x:c r="R400"/>
      <x:c r="S400"/>
      <x:c r="T400"/>
      <x:c r="U400"/>
      <x:c r="V400"/>
      <x:c r="W400"/>
      <x:c r="X400"/>
      <x:c r="Y400"/>
      <x:c r="Z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  <x:c r="M401"/>
      <x:c r="N401"/>
      <x:c r="O401"/>
      <x:c r="P401"/>
      <x:c r="Q401"/>
      <x:c r="R401"/>
      <x:c r="S401"/>
      <x:c r="T401"/>
      <x:c r="U401"/>
      <x:c r="V401"/>
      <x:c r="W401"/>
      <x:c r="X401"/>
      <x:c r="Y401"/>
      <x:c r="Z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  <x:c r="M402"/>
      <x:c r="N402"/>
      <x:c r="O402"/>
      <x:c r="P402"/>
      <x:c r="Q402"/>
      <x:c r="R402"/>
      <x:c r="S402"/>
      <x:c r="T402"/>
      <x:c r="U402"/>
      <x:c r="V402"/>
      <x:c r="W402"/>
      <x:c r="X402"/>
      <x:c r="Y402"/>
      <x:c r="Z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  <x:c r="M403"/>
      <x:c r="N403"/>
      <x:c r="O403"/>
      <x:c r="P403"/>
      <x:c r="Q403"/>
      <x:c r="R403"/>
      <x:c r="S403"/>
      <x:c r="T403"/>
      <x:c r="U403"/>
      <x:c r="V403"/>
      <x:c r="W403"/>
      <x:c r="X403"/>
      <x:c r="Y403"/>
      <x:c r="Z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  <x:c r="M404"/>
      <x:c r="N404"/>
      <x:c r="O404"/>
      <x:c r="P404"/>
      <x:c r="Q404"/>
      <x:c r="R404"/>
      <x:c r="S404"/>
      <x:c r="T404"/>
      <x:c r="U404"/>
      <x:c r="V404"/>
      <x:c r="W404"/>
      <x:c r="X404"/>
      <x:c r="Y404"/>
      <x:c r="Z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  <x:c r="M405"/>
      <x:c r="N405"/>
      <x:c r="O405"/>
      <x:c r="P405"/>
      <x:c r="Q405"/>
      <x:c r="R405"/>
      <x:c r="S405"/>
      <x:c r="T405"/>
      <x:c r="U405"/>
      <x:c r="V405"/>
      <x:c r="W405"/>
      <x:c r="X405"/>
      <x:c r="Y405"/>
      <x:c r="Z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  <x:c r="M406"/>
      <x:c r="N406"/>
      <x:c r="O406"/>
      <x:c r="P406"/>
      <x:c r="Q406"/>
      <x:c r="R406"/>
      <x:c r="S406"/>
      <x:c r="T406"/>
      <x:c r="U406"/>
      <x:c r="V406"/>
      <x:c r="W406"/>
      <x:c r="X406"/>
      <x:c r="Y406"/>
      <x:c r="Z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  <x:c r="M407"/>
      <x:c r="N407"/>
      <x:c r="O407"/>
      <x:c r="P407"/>
      <x:c r="Q407"/>
      <x:c r="R407"/>
      <x:c r="S407"/>
      <x:c r="T407"/>
      <x:c r="U407"/>
      <x:c r="V407"/>
      <x:c r="W407"/>
      <x:c r="X407"/>
      <x:c r="Y407"/>
      <x:c r="Z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  <x:c r="M408"/>
      <x:c r="N408"/>
      <x:c r="O408"/>
      <x:c r="P408"/>
      <x:c r="Q408"/>
      <x:c r="R408"/>
      <x:c r="S408"/>
      <x:c r="T408"/>
      <x:c r="U408"/>
      <x:c r="V408"/>
      <x:c r="W408"/>
      <x:c r="X408"/>
      <x:c r="Y408"/>
      <x:c r="Z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  <x:c r="M409"/>
      <x:c r="N409"/>
      <x:c r="O409"/>
      <x:c r="P409"/>
      <x:c r="Q409"/>
      <x:c r="R409"/>
      <x:c r="S409"/>
      <x:c r="T409"/>
      <x:c r="U409"/>
      <x:c r="V409"/>
      <x:c r="W409"/>
      <x:c r="X409"/>
      <x:c r="Y409"/>
      <x:c r="Z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  <x:c r="M410"/>
      <x:c r="N410"/>
      <x:c r="O410"/>
      <x:c r="P410"/>
      <x:c r="Q410"/>
      <x:c r="R410"/>
      <x:c r="S410"/>
      <x:c r="T410"/>
      <x:c r="U410"/>
      <x:c r="V410"/>
      <x:c r="W410"/>
      <x:c r="X410"/>
      <x:c r="Y410"/>
      <x:c r="Z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  <x:c r="M411"/>
      <x:c r="N411"/>
      <x:c r="O411"/>
      <x:c r="P411"/>
      <x:c r="Q411"/>
      <x:c r="R411"/>
      <x:c r="S411"/>
      <x:c r="T411"/>
      <x:c r="U411"/>
      <x:c r="V411"/>
      <x:c r="W411"/>
      <x:c r="X411"/>
      <x:c r="Y411"/>
      <x:c r="Z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  <x:c r="M412"/>
      <x:c r="N412"/>
      <x:c r="O412"/>
      <x:c r="P412"/>
      <x:c r="Q412"/>
      <x:c r="R412"/>
      <x:c r="S412"/>
      <x:c r="T412"/>
      <x:c r="U412"/>
      <x:c r="V412"/>
      <x:c r="W412"/>
      <x:c r="X412"/>
      <x:c r="Y412"/>
      <x:c r="Z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  <x:c r="M413"/>
      <x:c r="N413"/>
      <x:c r="O413"/>
      <x:c r="P413"/>
      <x:c r="Q413"/>
      <x:c r="R413"/>
      <x:c r="S413"/>
      <x:c r="T413"/>
      <x:c r="U413"/>
      <x:c r="V413"/>
      <x:c r="W413"/>
      <x:c r="X413"/>
      <x:c r="Y413"/>
      <x:c r="Z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  <x:c r="M414"/>
      <x:c r="N414"/>
      <x:c r="O414"/>
      <x:c r="P414"/>
      <x:c r="Q414"/>
      <x:c r="R414"/>
      <x:c r="S414"/>
      <x:c r="T414"/>
      <x:c r="U414"/>
      <x:c r="V414"/>
      <x:c r="W414"/>
      <x:c r="X414"/>
      <x:c r="Y414"/>
      <x:c r="Z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  <x:c r="M415"/>
      <x:c r="N415"/>
      <x:c r="O415"/>
      <x:c r="P415"/>
      <x:c r="Q415"/>
      <x:c r="R415"/>
      <x:c r="S415"/>
      <x:c r="T415"/>
      <x:c r="U415"/>
      <x:c r="V415"/>
      <x:c r="W415"/>
      <x:c r="X415"/>
      <x:c r="Y415"/>
      <x:c r="Z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  <x:c r="M416"/>
      <x:c r="N416"/>
      <x:c r="O416"/>
      <x:c r="P416"/>
      <x:c r="Q416"/>
      <x:c r="R416"/>
      <x:c r="S416"/>
      <x:c r="T416"/>
      <x:c r="U416"/>
      <x:c r="V416"/>
      <x:c r="W416"/>
      <x:c r="X416"/>
      <x:c r="Y416"/>
      <x:c r="Z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  <x:c r="M417"/>
      <x:c r="N417"/>
      <x:c r="O417"/>
      <x:c r="P417"/>
      <x:c r="Q417"/>
      <x:c r="R417"/>
      <x:c r="S417"/>
      <x:c r="T417"/>
      <x:c r="U417"/>
      <x:c r="V417"/>
      <x:c r="W417"/>
      <x:c r="X417"/>
      <x:c r="Y417"/>
      <x:c r="Z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  <x:c r="M418"/>
      <x:c r="N418"/>
      <x:c r="O418"/>
      <x:c r="P418"/>
      <x:c r="Q418"/>
      <x:c r="R418"/>
      <x:c r="S418"/>
      <x:c r="T418"/>
      <x:c r="U418"/>
      <x:c r="V418"/>
      <x:c r="W418"/>
      <x:c r="X418"/>
      <x:c r="Y418"/>
      <x:c r="Z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  <x:c r="M419"/>
      <x:c r="N419"/>
      <x:c r="O419"/>
      <x:c r="P419"/>
      <x:c r="Q419"/>
      <x:c r="R419"/>
      <x:c r="S419"/>
      <x:c r="T419"/>
      <x:c r="U419"/>
      <x:c r="V419"/>
      <x:c r="W419"/>
      <x:c r="X419"/>
      <x:c r="Y419"/>
      <x:c r="Z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  <x:c r="M420"/>
      <x:c r="N420"/>
      <x:c r="O420"/>
      <x:c r="P420"/>
      <x:c r="Q420"/>
      <x:c r="R420"/>
      <x:c r="S420"/>
      <x:c r="T420"/>
      <x:c r="U420"/>
      <x:c r="V420"/>
      <x:c r="W420"/>
      <x:c r="X420"/>
      <x:c r="Y420"/>
      <x:c r="Z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  <x:c r="M421"/>
      <x:c r="N421"/>
      <x:c r="O421"/>
      <x:c r="P421"/>
      <x:c r="Q421"/>
      <x:c r="R421"/>
      <x:c r="S421"/>
      <x:c r="T421"/>
      <x:c r="U421"/>
      <x:c r="V421"/>
      <x:c r="W421"/>
      <x:c r="X421"/>
      <x:c r="Y421"/>
      <x:c r="Z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  <x:c r="M422"/>
      <x:c r="N422"/>
      <x:c r="O422"/>
      <x:c r="P422"/>
      <x:c r="Q422"/>
      <x:c r="R422"/>
      <x:c r="S422"/>
      <x:c r="T422"/>
      <x:c r="U422"/>
      <x:c r="V422"/>
      <x:c r="W422"/>
      <x:c r="X422"/>
      <x:c r="Y422"/>
      <x:c r="Z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  <x:c r="M423"/>
      <x:c r="N423"/>
      <x:c r="O423"/>
      <x:c r="P423"/>
      <x:c r="Q423"/>
      <x:c r="R423"/>
      <x:c r="S423"/>
      <x:c r="T423"/>
      <x:c r="U423"/>
      <x:c r="V423"/>
      <x:c r="W423"/>
      <x:c r="X423"/>
      <x:c r="Y423"/>
      <x:c r="Z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  <x:c r="M424"/>
      <x:c r="N424"/>
      <x:c r="O424"/>
      <x:c r="P424"/>
      <x:c r="Q424"/>
      <x:c r="R424"/>
      <x:c r="S424"/>
      <x:c r="T424"/>
      <x:c r="U424"/>
      <x:c r="V424"/>
      <x:c r="W424"/>
      <x:c r="X424"/>
      <x:c r="Y424"/>
      <x:c r="Z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  <x:c r="M425"/>
      <x:c r="N425"/>
      <x:c r="O425"/>
      <x:c r="P425"/>
      <x:c r="Q425"/>
      <x:c r="R425"/>
      <x:c r="S425"/>
      <x:c r="T425"/>
      <x:c r="U425"/>
      <x:c r="V425"/>
      <x:c r="W425"/>
      <x:c r="X425"/>
      <x:c r="Y425"/>
      <x:c r="Z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  <x:c r="M426"/>
      <x:c r="N426"/>
      <x:c r="O426"/>
      <x:c r="P426"/>
      <x:c r="Q426"/>
      <x:c r="R426"/>
      <x:c r="S426"/>
      <x:c r="T426"/>
      <x:c r="U426"/>
      <x:c r="V426"/>
      <x:c r="W426"/>
      <x:c r="X426"/>
      <x:c r="Y426"/>
      <x:c r="Z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  <x:c r="M427"/>
      <x:c r="N427"/>
      <x:c r="O427"/>
      <x:c r="P427"/>
      <x:c r="Q427"/>
      <x:c r="R427"/>
      <x:c r="S427"/>
      <x:c r="T427"/>
      <x:c r="U427"/>
      <x:c r="V427"/>
      <x:c r="W427"/>
      <x:c r="X427"/>
      <x:c r="Y427"/>
      <x:c r="Z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  <x:c r="M428"/>
      <x:c r="N428"/>
      <x:c r="O428"/>
      <x:c r="P428"/>
      <x:c r="Q428"/>
      <x:c r="R428"/>
      <x:c r="S428"/>
      <x:c r="T428"/>
      <x:c r="U428"/>
      <x:c r="V428"/>
      <x:c r="W428"/>
      <x:c r="X428"/>
      <x:c r="Y428"/>
      <x:c r="Z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  <x:c r="M429"/>
      <x:c r="N429"/>
      <x:c r="O429"/>
      <x:c r="P429"/>
      <x:c r="Q429"/>
      <x:c r="R429"/>
      <x:c r="S429"/>
      <x:c r="T429"/>
      <x:c r="U429"/>
      <x:c r="V429"/>
      <x:c r="W429"/>
      <x:c r="X429"/>
      <x:c r="Y429"/>
      <x:c r="Z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  <x:c r="M430"/>
      <x:c r="N430"/>
      <x:c r="O430"/>
      <x:c r="P430"/>
      <x:c r="Q430"/>
      <x:c r="R430"/>
      <x:c r="S430"/>
      <x:c r="T430"/>
      <x:c r="U430"/>
      <x:c r="V430"/>
      <x:c r="W430"/>
      <x:c r="X430"/>
      <x:c r="Y430"/>
      <x:c r="Z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  <x:c r="M431"/>
      <x:c r="N431"/>
      <x:c r="O431"/>
      <x:c r="P431"/>
      <x:c r="Q431"/>
      <x:c r="R431"/>
      <x:c r="S431"/>
      <x:c r="T431"/>
      <x:c r="U431"/>
      <x:c r="V431"/>
      <x:c r="W431"/>
      <x:c r="X431"/>
      <x:c r="Y431"/>
      <x:c r="Z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  <x:c r="M432"/>
      <x:c r="N432"/>
      <x:c r="O432"/>
      <x:c r="P432"/>
      <x:c r="Q432"/>
      <x:c r="R432"/>
      <x:c r="S432"/>
      <x:c r="T432"/>
      <x:c r="U432"/>
      <x:c r="V432"/>
      <x:c r="W432"/>
      <x:c r="X432"/>
      <x:c r="Y432"/>
      <x:c r="Z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  <x:c r="M433"/>
      <x:c r="N433"/>
      <x:c r="O433"/>
      <x:c r="P433"/>
      <x:c r="Q433"/>
      <x:c r="R433"/>
      <x:c r="S433"/>
      <x:c r="T433"/>
      <x:c r="U433"/>
      <x:c r="V433"/>
      <x:c r="W433"/>
      <x:c r="X433"/>
      <x:c r="Y433"/>
      <x:c r="Z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  <x:c r="M434"/>
      <x:c r="N434"/>
      <x:c r="O434"/>
      <x:c r="P434"/>
      <x:c r="Q434"/>
      <x:c r="R434"/>
      <x:c r="S434"/>
      <x:c r="T434"/>
      <x:c r="U434"/>
      <x:c r="V434"/>
      <x:c r="W434"/>
      <x:c r="X434"/>
      <x:c r="Y434"/>
      <x:c r="Z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  <x:c r="M435"/>
      <x:c r="N435"/>
      <x:c r="O435"/>
      <x:c r="P435"/>
      <x:c r="Q435"/>
      <x:c r="R435"/>
      <x:c r="S435"/>
      <x:c r="T435"/>
      <x:c r="U435"/>
      <x:c r="V435"/>
      <x:c r="W435"/>
      <x:c r="X435"/>
      <x:c r="Y435"/>
      <x:c r="Z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  <x:c r="M436"/>
      <x:c r="N436"/>
      <x:c r="O436"/>
      <x:c r="P436"/>
      <x:c r="Q436"/>
      <x:c r="R436"/>
      <x:c r="S436"/>
      <x:c r="T436"/>
      <x:c r="U436"/>
      <x:c r="V436"/>
      <x:c r="W436"/>
      <x:c r="X436"/>
      <x:c r="Y436"/>
      <x:c r="Z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  <x:c r="M437"/>
      <x:c r="N437"/>
      <x:c r="O437"/>
      <x:c r="P437"/>
      <x:c r="Q437"/>
      <x:c r="R437"/>
      <x:c r="S437"/>
      <x:c r="T437"/>
      <x:c r="U437"/>
      <x:c r="V437"/>
      <x:c r="W437"/>
      <x:c r="X437"/>
      <x:c r="Y437"/>
      <x:c r="Z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  <x:c r="M438"/>
      <x:c r="N438"/>
      <x:c r="O438"/>
      <x:c r="P438"/>
      <x:c r="Q438"/>
      <x:c r="R438"/>
      <x:c r="S438"/>
      <x:c r="T438"/>
      <x:c r="U438"/>
      <x:c r="V438"/>
      <x:c r="W438"/>
      <x:c r="X438"/>
      <x:c r="Y438"/>
      <x:c r="Z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  <x:c r="M439"/>
      <x:c r="N439"/>
      <x:c r="O439"/>
      <x:c r="P439"/>
      <x:c r="Q439"/>
      <x:c r="R439"/>
      <x:c r="S439"/>
      <x:c r="T439"/>
      <x:c r="U439"/>
      <x:c r="V439"/>
      <x:c r="W439"/>
      <x:c r="X439"/>
      <x:c r="Y439"/>
      <x:c r="Z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  <x:c r="M440"/>
      <x:c r="N440"/>
      <x:c r="O440"/>
      <x:c r="P440"/>
      <x:c r="Q440"/>
      <x:c r="R440"/>
      <x:c r="S440"/>
      <x:c r="T440"/>
      <x:c r="U440"/>
      <x:c r="V440"/>
      <x:c r="W440"/>
      <x:c r="X440"/>
      <x:c r="Y440"/>
      <x:c r="Z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  <x:c r="M441"/>
      <x:c r="N441"/>
      <x:c r="O441"/>
      <x:c r="P441"/>
      <x:c r="Q441"/>
      <x:c r="R441"/>
      <x:c r="S441"/>
      <x:c r="T441"/>
      <x:c r="U441"/>
      <x:c r="V441"/>
      <x:c r="W441"/>
      <x:c r="X441"/>
      <x:c r="Y441"/>
      <x:c r="Z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  <x:c r="M442"/>
      <x:c r="N442"/>
      <x:c r="O442"/>
      <x:c r="P442"/>
      <x:c r="Q442"/>
      <x:c r="R442"/>
      <x:c r="S442"/>
      <x:c r="T442"/>
      <x:c r="U442"/>
      <x:c r="V442"/>
      <x:c r="W442"/>
      <x:c r="X442"/>
      <x:c r="Y442"/>
      <x:c r="Z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  <x:c r="M443"/>
      <x:c r="N443"/>
      <x:c r="O443"/>
      <x:c r="P443"/>
      <x:c r="Q443"/>
      <x:c r="R443"/>
      <x:c r="S443"/>
      <x:c r="T443"/>
      <x:c r="U443"/>
      <x:c r="V443"/>
      <x:c r="W443"/>
      <x:c r="X443"/>
      <x:c r="Y443"/>
      <x:c r="Z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  <x:c r="M444"/>
      <x:c r="N444"/>
      <x:c r="O444"/>
      <x:c r="P444"/>
      <x:c r="Q444"/>
      <x:c r="R444"/>
      <x:c r="S444"/>
      <x:c r="T444"/>
      <x:c r="U444"/>
      <x:c r="V444"/>
      <x:c r="W444"/>
      <x:c r="X444"/>
      <x:c r="Y444"/>
      <x:c r="Z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  <x:c r="M445"/>
      <x:c r="N445"/>
      <x:c r="O445"/>
      <x:c r="P445"/>
      <x:c r="Q445"/>
      <x:c r="R445"/>
      <x:c r="S445"/>
      <x:c r="T445"/>
      <x:c r="U445"/>
      <x:c r="V445"/>
      <x:c r="W445"/>
      <x:c r="X445"/>
      <x:c r="Y445"/>
      <x:c r="Z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  <x:c r="M446"/>
      <x:c r="N446"/>
      <x:c r="O446"/>
      <x:c r="P446"/>
      <x:c r="Q446"/>
      <x:c r="R446"/>
      <x:c r="S446"/>
      <x:c r="T446"/>
      <x:c r="U446"/>
      <x:c r="V446"/>
      <x:c r="W446"/>
      <x:c r="X446"/>
      <x:c r="Y446"/>
      <x:c r="Z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  <x:c r="M447"/>
      <x:c r="N447"/>
      <x:c r="O447"/>
      <x:c r="P447"/>
      <x:c r="Q447"/>
      <x:c r="R447"/>
      <x:c r="S447"/>
      <x:c r="T447"/>
      <x:c r="U447"/>
      <x:c r="V447"/>
      <x:c r="W447"/>
      <x:c r="X447"/>
      <x:c r="Y447"/>
      <x:c r="Z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  <x:c r="M448"/>
      <x:c r="N448"/>
      <x:c r="O448"/>
      <x:c r="P448"/>
      <x:c r="Q448"/>
      <x:c r="R448"/>
      <x:c r="S448"/>
      <x:c r="T448"/>
      <x:c r="U448"/>
      <x:c r="V448"/>
      <x:c r="W448"/>
      <x:c r="X448"/>
      <x:c r="Y448"/>
      <x:c r="Z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  <x:c r="M449"/>
      <x:c r="N449"/>
      <x:c r="O449"/>
      <x:c r="P449"/>
      <x:c r="Q449"/>
      <x:c r="R449"/>
      <x:c r="S449"/>
      <x:c r="T449"/>
      <x:c r="U449"/>
      <x:c r="V449"/>
      <x:c r="W449"/>
      <x:c r="X449"/>
      <x:c r="Y449"/>
      <x:c r="Z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  <x:c r="M450"/>
      <x:c r="N450"/>
      <x:c r="O450"/>
      <x:c r="P450"/>
      <x:c r="Q450"/>
      <x:c r="R450"/>
      <x:c r="S450"/>
      <x:c r="T450"/>
      <x:c r="U450"/>
      <x:c r="V450"/>
      <x:c r="W450"/>
      <x:c r="X450"/>
      <x:c r="Y450"/>
      <x:c r="Z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  <x:c r="M451"/>
      <x:c r="N451"/>
      <x:c r="O451"/>
      <x:c r="P451"/>
      <x:c r="Q451"/>
      <x:c r="R451"/>
      <x:c r="S451"/>
      <x:c r="T451"/>
      <x:c r="U451"/>
      <x:c r="V451"/>
      <x:c r="W451"/>
      <x:c r="X451"/>
      <x:c r="Y451"/>
      <x:c r="Z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  <x:c r="M452"/>
      <x:c r="N452"/>
      <x:c r="O452"/>
      <x:c r="P452"/>
      <x:c r="Q452"/>
      <x:c r="R452"/>
      <x:c r="S452"/>
      <x:c r="T452"/>
      <x:c r="U452"/>
      <x:c r="V452"/>
      <x:c r="W452"/>
      <x:c r="X452"/>
      <x:c r="Y452"/>
      <x:c r="Z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  <x:c r="M453"/>
      <x:c r="N453"/>
      <x:c r="O453"/>
      <x:c r="P453"/>
      <x:c r="Q453"/>
      <x:c r="R453"/>
      <x:c r="S453"/>
      <x:c r="T453"/>
      <x:c r="U453"/>
      <x:c r="V453"/>
      <x:c r="W453"/>
      <x:c r="X453"/>
      <x:c r="Y453"/>
      <x:c r="Z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  <x:c r="M454"/>
      <x:c r="N454"/>
      <x:c r="O454"/>
      <x:c r="P454"/>
      <x:c r="Q454"/>
      <x:c r="R454"/>
      <x:c r="S454"/>
      <x:c r="T454"/>
      <x:c r="U454"/>
      <x:c r="V454"/>
      <x:c r="W454"/>
      <x:c r="X454"/>
      <x:c r="Y454"/>
      <x:c r="Z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  <x:c r="M455"/>
      <x:c r="N455"/>
      <x:c r="O455"/>
      <x:c r="P455"/>
      <x:c r="Q455"/>
      <x:c r="R455"/>
      <x:c r="S455"/>
      <x:c r="T455"/>
      <x:c r="U455"/>
      <x:c r="V455"/>
      <x:c r="W455"/>
      <x:c r="X455"/>
      <x:c r="Y455"/>
      <x:c r="Z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  <x:c r="M456"/>
      <x:c r="N456"/>
      <x:c r="O456"/>
      <x:c r="P456"/>
      <x:c r="Q456"/>
      <x:c r="R456"/>
      <x:c r="S456"/>
      <x:c r="T456"/>
      <x:c r="U456"/>
      <x:c r="V456"/>
      <x:c r="W456"/>
      <x:c r="X456"/>
      <x:c r="Y456"/>
      <x:c r="Z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  <x:c r="M457"/>
      <x:c r="N457"/>
      <x:c r="O457"/>
      <x:c r="P457"/>
      <x:c r="Q457"/>
      <x:c r="R457"/>
      <x:c r="S457"/>
      <x:c r="T457"/>
      <x:c r="U457"/>
      <x:c r="V457"/>
      <x:c r="W457"/>
      <x:c r="X457"/>
      <x:c r="Y457"/>
      <x:c r="Z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  <x:c r="M458"/>
      <x:c r="N458"/>
      <x:c r="O458"/>
      <x:c r="P458"/>
      <x:c r="Q458"/>
      <x:c r="R458"/>
      <x:c r="S458"/>
      <x:c r="T458"/>
      <x:c r="U458"/>
      <x:c r="V458"/>
      <x:c r="W458"/>
      <x:c r="X458"/>
      <x:c r="Y458"/>
      <x:c r="Z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  <x:c r="M459"/>
      <x:c r="N459"/>
      <x:c r="O459"/>
      <x:c r="P459"/>
      <x:c r="Q459"/>
      <x:c r="R459"/>
      <x:c r="S459"/>
      <x:c r="T459"/>
      <x:c r="U459"/>
      <x:c r="V459"/>
      <x:c r="W459"/>
      <x:c r="X459"/>
      <x:c r="Y459"/>
      <x:c r="Z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  <x:c r="M460"/>
      <x:c r="N460"/>
      <x:c r="O460"/>
      <x:c r="P460"/>
      <x:c r="Q460"/>
      <x:c r="R460"/>
      <x:c r="S460"/>
      <x:c r="T460"/>
      <x:c r="U460"/>
      <x:c r="V460"/>
      <x:c r="W460"/>
      <x:c r="X460"/>
      <x:c r="Y460"/>
      <x:c r="Z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  <x:c r="M461"/>
      <x:c r="N461"/>
      <x:c r="O461"/>
      <x:c r="P461"/>
      <x:c r="Q461"/>
      <x:c r="R461"/>
      <x:c r="S461"/>
      <x:c r="T461"/>
      <x:c r="U461"/>
      <x:c r="V461"/>
      <x:c r="W461"/>
      <x:c r="X461"/>
      <x:c r="Y461"/>
      <x:c r="Z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  <x:c r="M462"/>
      <x:c r="N462"/>
      <x:c r="O462"/>
      <x:c r="P462"/>
      <x:c r="Q462"/>
      <x:c r="R462"/>
      <x:c r="S462"/>
      <x:c r="T462"/>
      <x:c r="U462"/>
      <x:c r="V462"/>
      <x:c r="W462"/>
      <x:c r="X462"/>
      <x:c r="Y462"/>
      <x:c r="Z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  <x:c r="M463"/>
      <x:c r="N463"/>
      <x:c r="O463"/>
      <x:c r="P463"/>
      <x:c r="Q463"/>
      <x:c r="R463"/>
      <x:c r="S463"/>
      <x:c r="T463"/>
      <x:c r="U463"/>
      <x:c r="V463"/>
      <x:c r="W463"/>
      <x:c r="X463"/>
      <x:c r="Y463"/>
      <x:c r="Z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  <x:c r="M464"/>
      <x:c r="N464"/>
      <x:c r="O464"/>
      <x:c r="P464"/>
      <x:c r="Q464"/>
      <x:c r="R464"/>
      <x:c r="S464"/>
      <x:c r="T464"/>
      <x:c r="U464"/>
      <x:c r="V464"/>
      <x:c r="W464"/>
      <x:c r="X464"/>
      <x:c r="Y464"/>
      <x:c r="Z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  <x:c r="M465"/>
      <x:c r="N465"/>
      <x:c r="O465"/>
      <x:c r="P465"/>
      <x:c r="Q465"/>
      <x:c r="R465"/>
      <x:c r="S465"/>
      <x:c r="T465"/>
      <x:c r="U465"/>
      <x:c r="V465"/>
      <x:c r="W465"/>
      <x:c r="X465"/>
      <x:c r="Y465"/>
      <x:c r="Z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  <x:c r="M466"/>
      <x:c r="N466"/>
      <x:c r="O466"/>
      <x:c r="P466"/>
      <x:c r="Q466"/>
      <x:c r="R466"/>
      <x:c r="S466"/>
      <x:c r="T466"/>
      <x:c r="U466"/>
      <x:c r="V466"/>
      <x:c r="W466"/>
      <x:c r="X466"/>
      <x:c r="Y466"/>
      <x:c r="Z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  <x:c r="M467"/>
      <x:c r="N467"/>
      <x:c r="O467"/>
      <x:c r="P467"/>
      <x:c r="Q467"/>
      <x:c r="R467"/>
      <x:c r="S467"/>
      <x:c r="T467"/>
      <x:c r="U467"/>
      <x:c r="V467"/>
      <x:c r="W467"/>
      <x:c r="X467"/>
      <x:c r="Y467"/>
      <x:c r="Z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  <x:c r="M468"/>
      <x:c r="N468"/>
      <x:c r="O468"/>
      <x:c r="P468"/>
      <x:c r="Q468"/>
      <x:c r="R468"/>
      <x:c r="S468"/>
      <x:c r="T468"/>
      <x:c r="U468"/>
      <x:c r="V468"/>
      <x:c r="W468"/>
      <x:c r="X468"/>
      <x:c r="Y468"/>
      <x:c r="Z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  <x:c r="M469"/>
      <x:c r="N469"/>
      <x:c r="O469"/>
      <x:c r="P469"/>
      <x:c r="Q469"/>
      <x:c r="R469"/>
      <x:c r="S469"/>
      <x:c r="T469"/>
      <x:c r="U469"/>
      <x:c r="V469"/>
      <x:c r="W469"/>
      <x:c r="X469"/>
      <x:c r="Y469"/>
      <x:c r="Z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  <x:c r="M470"/>
      <x:c r="N470"/>
      <x:c r="O470"/>
      <x:c r="P470"/>
      <x:c r="Q470"/>
      <x:c r="R470"/>
      <x:c r="S470"/>
      <x:c r="T470"/>
      <x:c r="U470"/>
      <x:c r="V470"/>
      <x:c r="W470"/>
      <x:c r="X470"/>
      <x:c r="Y470"/>
      <x:c r="Z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  <x:c r="M471"/>
      <x:c r="N471"/>
      <x:c r="O471"/>
      <x:c r="P471"/>
      <x:c r="Q471"/>
      <x:c r="R471"/>
      <x:c r="S471"/>
      <x:c r="T471"/>
      <x:c r="U471"/>
      <x:c r="V471"/>
      <x:c r="W471"/>
      <x:c r="X471"/>
      <x:c r="Y471"/>
      <x:c r="Z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  <x:c r="M472"/>
      <x:c r="N472"/>
      <x:c r="O472"/>
      <x:c r="P472"/>
      <x:c r="Q472"/>
      <x:c r="R472"/>
      <x:c r="S472"/>
      <x:c r="T472"/>
      <x:c r="U472"/>
      <x:c r="V472"/>
      <x:c r="W472"/>
      <x:c r="X472"/>
      <x:c r="Y472"/>
      <x:c r="Z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  <x:c r="M473"/>
      <x:c r="N473"/>
      <x:c r="O473"/>
      <x:c r="P473"/>
      <x:c r="Q473"/>
      <x:c r="R473"/>
      <x:c r="S473"/>
      <x:c r="T473"/>
      <x:c r="U473"/>
      <x:c r="V473"/>
      <x:c r="W473"/>
      <x:c r="X473"/>
      <x:c r="Y473"/>
      <x:c r="Z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  <x:c r="M474"/>
      <x:c r="N474"/>
      <x:c r="O474"/>
      <x:c r="P474"/>
      <x:c r="Q474"/>
      <x:c r="R474"/>
      <x:c r="S474"/>
      <x:c r="T474"/>
      <x:c r="U474"/>
      <x:c r="V474"/>
      <x:c r="W474"/>
      <x:c r="X474"/>
      <x:c r="Y474"/>
      <x:c r="Z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  <x:c r="M475"/>
      <x:c r="N475"/>
      <x:c r="O475"/>
      <x:c r="P475"/>
      <x:c r="Q475"/>
      <x:c r="R475"/>
      <x:c r="S475"/>
      <x:c r="T475"/>
      <x:c r="U475"/>
      <x:c r="V475"/>
      <x:c r="W475"/>
      <x:c r="X475"/>
      <x:c r="Y475"/>
      <x:c r="Z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  <x:c r="M476"/>
      <x:c r="N476"/>
      <x:c r="O476"/>
      <x:c r="P476"/>
      <x:c r="Q476"/>
      <x:c r="R476"/>
      <x:c r="S476"/>
      <x:c r="T476"/>
      <x:c r="U476"/>
      <x:c r="V476"/>
      <x:c r="W476"/>
      <x:c r="X476"/>
      <x:c r="Y476"/>
      <x:c r="Z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  <x:c r="M477"/>
      <x:c r="N477"/>
      <x:c r="O477"/>
      <x:c r="P477"/>
      <x:c r="Q477"/>
      <x:c r="R477"/>
      <x:c r="S477"/>
      <x:c r="T477"/>
      <x:c r="U477"/>
      <x:c r="V477"/>
      <x:c r="W477"/>
      <x:c r="X477"/>
      <x:c r="Y477"/>
      <x:c r="Z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  <x:c r="M478"/>
      <x:c r="N478"/>
      <x:c r="O478"/>
      <x:c r="P478"/>
      <x:c r="Q478"/>
      <x:c r="R478"/>
      <x:c r="S478"/>
      <x:c r="T478"/>
      <x:c r="U478"/>
      <x:c r="V478"/>
      <x:c r="W478"/>
      <x:c r="X478"/>
      <x:c r="Y478"/>
      <x:c r="Z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  <x:c r="M479"/>
      <x:c r="N479"/>
      <x:c r="O479"/>
      <x:c r="P479"/>
      <x:c r="Q479"/>
      <x:c r="R479"/>
      <x:c r="S479"/>
      <x:c r="T479"/>
      <x:c r="U479"/>
      <x:c r="V479"/>
      <x:c r="W479"/>
      <x:c r="X479"/>
      <x:c r="Y479"/>
      <x:c r="Z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  <x:c r="M480"/>
      <x:c r="N480"/>
      <x:c r="O480"/>
      <x:c r="P480"/>
      <x:c r="Q480"/>
      <x:c r="R480"/>
      <x:c r="S480"/>
      <x:c r="T480"/>
      <x:c r="U480"/>
      <x:c r="V480"/>
      <x:c r="W480"/>
      <x:c r="X480"/>
      <x:c r="Y480"/>
      <x:c r="Z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  <x:c r="M481"/>
      <x:c r="N481"/>
      <x:c r="O481"/>
      <x:c r="P481"/>
      <x:c r="Q481"/>
      <x:c r="R481"/>
      <x:c r="S481"/>
      <x:c r="T481"/>
      <x:c r="U481"/>
      <x:c r="V481"/>
      <x:c r="W481"/>
      <x:c r="X481"/>
      <x:c r="Y481"/>
      <x:c r="Z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  <x:c r="M482"/>
      <x:c r="N482"/>
      <x:c r="O482"/>
      <x:c r="P482"/>
      <x:c r="Q482"/>
      <x:c r="R482"/>
      <x:c r="S482"/>
      <x:c r="T482"/>
      <x:c r="U482"/>
      <x:c r="V482"/>
      <x:c r="W482"/>
      <x:c r="X482"/>
      <x:c r="Y482"/>
      <x:c r="Z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  <x:c r="M483"/>
      <x:c r="N483"/>
      <x:c r="O483"/>
      <x:c r="P483"/>
      <x:c r="Q483"/>
      <x:c r="R483"/>
      <x:c r="S483"/>
      <x:c r="T483"/>
      <x:c r="U483"/>
      <x:c r="V483"/>
      <x:c r="W483"/>
      <x:c r="X483"/>
      <x:c r="Y483"/>
      <x:c r="Z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  <x:c r="M484"/>
      <x:c r="N484"/>
      <x:c r="O484"/>
      <x:c r="P484"/>
      <x:c r="Q484"/>
      <x:c r="R484"/>
      <x:c r="S484"/>
      <x:c r="T484"/>
      <x:c r="U484"/>
      <x:c r="V484"/>
      <x:c r="W484"/>
      <x:c r="X484"/>
      <x:c r="Y484"/>
      <x:c r="Z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  <x:c r="M485"/>
      <x:c r="N485"/>
      <x:c r="O485"/>
      <x:c r="P485"/>
      <x:c r="Q485"/>
      <x:c r="R485"/>
      <x:c r="S485"/>
      <x:c r="T485"/>
      <x:c r="U485"/>
      <x:c r="V485"/>
      <x:c r="W485"/>
      <x:c r="X485"/>
      <x:c r="Y485"/>
      <x:c r="Z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  <x:c r="M486"/>
      <x:c r="N486"/>
      <x:c r="O486"/>
      <x:c r="P486"/>
      <x:c r="Q486"/>
      <x:c r="R486"/>
      <x:c r="S486"/>
      <x:c r="T486"/>
      <x:c r="U486"/>
      <x:c r="V486"/>
      <x:c r="W486"/>
      <x:c r="X486"/>
      <x:c r="Y486"/>
      <x:c r="Z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  <x:c r="M487"/>
      <x:c r="N487"/>
      <x:c r="O487"/>
      <x:c r="P487"/>
      <x:c r="Q487"/>
      <x:c r="R487"/>
      <x:c r="S487"/>
      <x:c r="T487"/>
      <x:c r="U487"/>
      <x:c r="V487"/>
      <x:c r="W487"/>
      <x:c r="X487"/>
      <x:c r="Y487"/>
      <x:c r="Z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  <x:c r="M488"/>
      <x:c r="N488"/>
      <x:c r="O488"/>
      <x:c r="P488"/>
      <x:c r="Q488"/>
      <x:c r="R488"/>
      <x:c r="S488"/>
      <x:c r="T488"/>
      <x:c r="U488"/>
      <x:c r="V488"/>
      <x:c r="W488"/>
      <x:c r="X488"/>
      <x:c r="Y488"/>
      <x:c r="Z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  <x:c r="M489"/>
      <x:c r="N489"/>
      <x:c r="O489"/>
      <x:c r="P489"/>
      <x:c r="Q489"/>
      <x:c r="R489"/>
      <x:c r="S489"/>
      <x:c r="T489"/>
      <x:c r="U489"/>
      <x:c r="V489"/>
      <x:c r="W489"/>
      <x:c r="X489"/>
      <x:c r="Y489"/>
      <x:c r="Z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  <x:c r="M490"/>
      <x:c r="N490"/>
      <x:c r="O490"/>
      <x:c r="P490"/>
      <x:c r="Q490"/>
      <x:c r="R490"/>
      <x:c r="S490"/>
      <x:c r="T490"/>
      <x:c r="U490"/>
      <x:c r="V490"/>
      <x:c r="W490"/>
      <x:c r="X490"/>
      <x:c r="Y490"/>
      <x:c r="Z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  <x:c r="M491"/>
      <x:c r="N491"/>
      <x:c r="O491"/>
      <x:c r="P491"/>
      <x:c r="Q491"/>
      <x:c r="R491"/>
      <x:c r="S491"/>
      <x:c r="T491"/>
      <x:c r="U491"/>
      <x:c r="V491"/>
      <x:c r="W491"/>
      <x:c r="X491"/>
      <x:c r="Y491"/>
      <x:c r="Z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  <x:c r="M492"/>
      <x:c r="N492"/>
      <x:c r="O492"/>
      <x:c r="P492"/>
      <x:c r="Q492"/>
      <x:c r="R492"/>
      <x:c r="S492"/>
      <x:c r="T492"/>
      <x:c r="U492"/>
      <x:c r="V492"/>
      <x:c r="W492"/>
      <x:c r="X492"/>
      <x:c r="Y492"/>
      <x:c r="Z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  <x:c r="M493"/>
      <x:c r="N493"/>
      <x:c r="O493"/>
      <x:c r="P493"/>
      <x:c r="Q493"/>
      <x:c r="R493"/>
      <x:c r="S493"/>
      <x:c r="T493"/>
      <x:c r="U493"/>
      <x:c r="V493"/>
      <x:c r="W493"/>
      <x:c r="X493"/>
      <x:c r="Y493"/>
      <x:c r="Z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  <x:c r="M494"/>
      <x:c r="N494"/>
      <x:c r="O494"/>
      <x:c r="P494"/>
      <x:c r="Q494"/>
      <x:c r="R494"/>
      <x:c r="S494"/>
      <x:c r="T494"/>
      <x:c r="U494"/>
      <x:c r="V494"/>
      <x:c r="W494"/>
      <x:c r="X494"/>
      <x:c r="Y494"/>
      <x:c r="Z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  <x:c r="M495"/>
      <x:c r="N495"/>
      <x:c r="O495"/>
      <x:c r="P495"/>
      <x:c r="Q495"/>
      <x:c r="R495"/>
      <x:c r="S495"/>
      <x:c r="T495"/>
      <x:c r="U495"/>
      <x:c r="V495"/>
      <x:c r="W495"/>
      <x:c r="X495"/>
      <x:c r="Y495"/>
      <x:c r="Z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  <x:c r="M496"/>
      <x:c r="N496"/>
      <x:c r="O496"/>
      <x:c r="P496"/>
      <x:c r="Q496"/>
      <x:c r="R496"/>
      <x:c r="S496"/>
      <x:c r="T496"/>
      <x:c r="U496"/>
      <x:c r="V496"/>
      <x:c r="W496"/>
      <x:c r="X496"/>
      <x:c r="Y496"/>
      <x:c r="Z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  <x:c r="M497"/>
      <x:c r="N497"/>
      <x:c r="O497"/>
      <x:c r="P497"/>
      <x:c r="Q497"/>
      <x:c r="R497"/>
      <x:c r="S497"/>
      <x:c r="T497"/>
      <x:c r="U497"/>
      <x:c r="V497"/>
      <x:c r="W497"/>
      <x:c r="X497"/>
      <x:c r="Y497"/>
      <x:c r="Z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  <x:c r="M498"/>
      <x:c r="N498"/>
      <x:c r="O498"/>
      <x:c r="P498"/>
      <x:c r="Q498"/>
      <x:c r="R498"/>
      <x:c r="S498"/>
      <x:c r="T498"/>
      <x:c r="U498"/>
      <x:c r="V498"/>
      <x:c r="W498"/>
      <x:c r="X498"/>
      <x:c r="Y498"/>
      <x:c r="Z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  <x:c r="M499"/>
      <x:c r="N499"/>
      <x:c r="O499"/>
      <x:c r="P499"/>
      <x:c r="Q499"/>
      <x:c r="R499"/>
      <x:c r="S499"/>
      <x:c r="T499"/>
      <x:c r="U499"/>
      <x:c r="V499"/>
      <x:c r="W499"/>
      <x:c r="X499"/>
      <x:c r="Y499"/>
      <x:c r="Z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  <x:c r="M500"/>
      <x:c r="N500"/>
      <x:c r="O500"/>
      <x:c r="P500"/>
      <x:c r="Q500"/>
      <x:c r="R500"/>
      <x:c r="S500"/>
      <x:c r="T500"/>
      <x:c r="U500"/>
      <x:c r="V500"/>
      <x:c r="W500"/>
      <x:c r="X500"/>
      <x:c r="Y500"/>
      <x:c r="Z500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90000343322754" hidden="0" customWidth="1"/>
    <x:col min="2" max="2" width="23.889999389648438" hidden="0" customWidth="1"/>
    <x:col min="3" max="3" width="5.78000020980835" hidden="0" customWidth="1"/>
    <x:col min="4" max="4" width="45.439998626708984" hidden="0" customWidth="1"/>
    <x:col min="5" max="5" width="8.5600004196167" hidden="0" customWidth="1"/>
  </x:cols>
  <x:sheetData>
    <x:row r="1">
      <x:c r="A1" s="86" t="str">
        <x:v>Rule_ID</x:v>
      </x:c>
      <x:c r="B1" s="86" t="str">
        <x:v>Condition</x:v>
      </x:c>
      <x:c r="C1" s="86" t="str">
        <x:v>Priority</x:v>
      </x:c>
      <x:c r="D1" s="86" t="str">
        <x:v>Recommendation</x:v>
      </x:c>
      <x:c r="E1" s="86" t="str">
        <x:v>Domain</x:v>
      </x:c>
    </x:row>
    <x:row r="2">
      <x:c r="A2" s="44" t="str">
        <x:v>AUM_MOMENTUM</x:v>
      </x:c>
      <x:c r="B2" s="44" t="str">
        <x:v>AUM growth &lt; 0 for 2 months</x:v>
      </x:c>
      <x:c r="C2" s="44" t="str">
        <x:v>High</x:v>
      </x:c>
      <x:c r="D2" s="44" t="str">
        <x:v>Review redemption drivers, sales pipeline and channel performance.</x:v>
      </x:c>
      <x:c r="E2" s="44" t="str">
        <x:v>Growth</x:v>
      </x:c>
    </x:row>
    <x:row r="3">
      <x:c r="A3" s="44" t="str">
        <x:v>FLOW_STRESS</x:v>
      </x:c>
      <x:c r="B3" s="44" t="str">
        <x:v>3m net flows &lt; -5% beginning AUM</x:v>
      </x:c>
      <x:c r="C3" s="44" t="str">
        <x:v>High</x:v>
      </x:c>
      <x:c r="D3" s="44" t="str">
        <x:v>Raise liquidity buffer and initiate top-client retention actions.</x:v>
      </x:c>
      <x:c r="E3" s="44" t="str">
        <x:v>Liquidity</x:v>
      </x:c>
    </x:row>
    <x:row r="4">
      <x:c r="A4" s="44" t="str">
        <x:v>ALPHA_WEAK</x:v>
      </x:c>
      <x:c r="B4" s="44" t="str">
        <x:v>3m alpha &lt; -3%</x:v>
      </x:c>
      <x:c r="C4" s="44" t="str">
        <x:v>High</x:v>
      </x:c>
      <x:c r="D4" s="44" t="str">
        <x:v>Run sector/stock attribution and challenge active weights.</x:v>
      </x:c>
      <x:c r="E4" s="44" t="str">
        <x:v>Investment</x:v>
      </x:c>
    </x:row>
    <x:row r="5">
      <x:c r="A5" s="44" t="str">
        <x:v>MNA_HIGH</x:v>
      </x:c>
      <x:c r="B5" s="44" t="str">
        <x:v>M&amp;A signal &gt; 50</x:v>
      </x:c>
      <x:c r="C5" s="44" t="str">
        <x:v>High</x:v>
      </x:c>
      <x:c r="D5" s="44" t="str">
        <x:v>Prepare ownership scenario memo and regulatory/action checklist.</x:v>
      </x:c>
      <x:c r="E5" s="44" t="str">
        <x:v>Governance</x:v>
      </x:c>
    </x:row>
    <x:row r="6">
      <x:c r="A6" s="44" t="str">
        <x:v>MARKET_RISKOFF</x:v>
      </x:c>
      <x:c r="B6" s="44" t="str">
        <x:v>Market regime = Risk-Off</x:v>
      </x:c>
      <x:c r="C6" s="44" t="str">
        <x:v>Medium</x:v>
      </x:c>
      <x:c r="D6" s="44" t="str">
        <x:v>Lower portfolio beta and review high-liquidity hedging options.</x:v>
      </x:c>
      <x:c r="E6" s="44" t="str">
        <x:v>Risk</x:v>
      </x:c>
    </x:row>
    <x:row r="7">
      <x:c r="A7" s="44" t="str">
        <x:v>FEE_PRESSURE</x:v>
      </x:c>
      <x:c r="B7" s="44" t="str">
        <x:v>Revenue/AUM declines &gt; 10% YoY</x:v>
      </x:c>
      <x:c r="C7" s="44" t="str">
        <x:v>Medium</x:v>
      </x:c>
      <x:c r="D7" s="44" t="str">
        <x:v>Review fee architecture and higher-margin product opportunities.</x:v>
      </x:c>
      <x:c r="E7" s="44" t="str">
        <x:v>Finance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64" hidden="0" customWidth="1"/>
    <x:col min="5" max="5" width="12" hidden="0" customWidth="1"/>
  </x:cols>
  <x:sheetData>
    <x:row r="1" ht="15" hidden="0" customHeight="1">
      <x:c r="A1" s="53" t="str">
        <x:v>Parameter</x:v>
      </x:c>
      <x:c r="B1" s="62" t="str">
        <x:v>Value</x:v>
      </x:c>
      <x:c r="C1" s="62" t="str">
        <x:v>Data_Type</x:v>
      </x:c>
      <x:c r="D1" s="62" t="str">
        <x:v>Description</x:v>
      </x:c>
      <x:c r="E1" s="54" t="str">
        <x:v>Editable</x:v>
      </x:c>
    </x:row>
    <x:row r="2" ht="15" hidden="0" customHeight="1">
      <x:c r="A2" s="44" t="str">
        <x:v>Index_Symbol</x:v>
      </x:c>
      <x:c r="B2" s="74" t="str">
        <x:v>VNINDEX</x:v>
      </x:c>
      <x:c r="C2" s="44" t="str">
        <x:v>Text</x:v>
      </x:c>
      <x:c r="D2" s="44" t="str">
        <x:v>Primary market benchmark requested from vnstock</x:v>
      </x:c>
      <x:c r="E2" s="44" t="str">
        <x:v>Yes</x:v>
      </x:c>
    </x:row>
    <x:row r="3" ht="15" hidden="0" customHeight="1">
      <x:c r="A3" s="44" t="str">
        <x:v>Start_Date</x:v>
      </x:c>
      <x:c r="B3" s="74" t="str">
        <x:v>2025-01-01</x:v>
      </x:c>
      <x:c r="C3" s="44" t="str">
        <x:v>Date</x:v>
      </x:c>
      <x:c r="D3" s="44" t="str">
        <x:v>Earliest market date requested</x:v>
      </x:c>
      <x:c r="E3" s="44" t="str">
        <x:v>Yes</x:v>
      </x:c>
    </x:row>
    <x:row r="4" ht="15" hidden="0" customHeight="1">
      <x:c r="A4" s="44" t="str">
        <x:v>Cache_TTL_Minutes</x:v>
      </x:c>
      <x:c r="B4" s="74" t="n">
        <x:v>60</x:v>
      </x:c>
      <x:c r="C4" s="44" t="str">
        <x:v>Integer</x:v>
      </x:c>
      <x:c r="D4" s="44" t="str">
        <x:v>Market-data cache lifetime</x:v>
      </x:c>
      <x:c r="E4" s="44" t="str">
        <x:v>Yes</x:v>
      </x:c>
    </x:row>
    <x:row r="5" ht="15" hidden="0" customHeight="1">
      <x:c r="A5" s="44" t="str">
        <x:v>Preferred_Source</x:v>
      </x:c>
      <x:c r="B5" s="74" t="str">
        <x:v>VCI</x:v>
      </x:c>
      <x:c r="C5" s="44" t="str">
        <x:v>Text</x:v>
      </x:c>
      <x:c r="D5" s="44" t="str">
        <x:v>Preferred vnstock source when supported</x:v>
      </x:c>
      <x:c r="E5" s="44" t="str">
        <x:v>Yes</x:v>
      </x:c>
    </x:row>
    <x:row r="6" ht="15" hidden="0" customHeight="1">
      <x:c r="A6" s="44" t="str">
        <x:v>Fallback_Enabled</x:v>
      </x:c>
      <x:c r="B6" s="74" t="str">
        <x:v>Yes</x:v>
      </x:c>
      <x:c r="C6" s="44" t="str">
        <x:v>Boolean</x:v>
      </x:c>
      <x:c r="D6" s="44" t="str">
        <x:v>Use deterministic synthetic series if runtime/API fails</x:v>
      </x:c>
      <x:c r="E6" s="44" t="str">
        <x:v>Yes</x:v>
      </x:c>
    </x:row>
    <x:row r="7" ht="15" hidden="0" customHeight="1">
      <x:c r="A7" s="44" t="str">
        <x:v>Offline_Base_Index</x:v>
      </x:c>
      <x:c r="B7" s="74" t="n">
        <x:v>1265</x:v>
      </x:c>
      <x:c r="C7" s="44" t="str">
        <x:v>Number</x:v>
      </x:c>
      <x:c r="D7" s="44" t="str">
        <x:v>Seed value only for offline fallback</x:v>
      </x:c>
      <x:c r="E7" s="44" t="str">
        <x:v>Yes</x:v>
      </x:c>
    </x:row>
    <x:row r="8" ht="15" hidden="0" customHeight="1">
      <x:c r="A8" s="44" t="str">
        <x:v>Risk_Off_Drawdown_Pct</x:v>
      </x:c>
      <x:c r="B8" s="75" t="n">
        <x:v>-0.12</x:v>
      </x:c>
      <x:c r="C8" s="44" t="str">
        <x:v>Percent</x:v>
      </x:c>
      <x:c r="D8" s="44" t="str">
        <x:v>3-month drawdown trigger</x:v>
      </x:c>
      <x:c r="E8" s="44" t="str">
        <x:v>Yes</x:v>
      </x:c>
    </x:row>
    <x:row r="9" ht="15" hidden="0" customHeight="1">
      <x:c r="A9" s="44" t="str">
        <x:v>Risk_On_3M_Return_Pct</x:v>
      </x:c>
      <x:c r="B9" s="75" t="n">
        <x:v>0.08</x:v>
      </x:c>
      <x:c r="C9" s="44" t="str">
        <x:v>Percent</x:v>
      </x:c>
      <x:c r="D9" s="44" t="str">
        <x:v>3-month return threshold for Risk-On</x:v>
      </x:c>
      <x:c r="E9" s="44" t="str">
        <x:v>Yes</x:v>
      </x:c>
    </x:row>
  </x:sheetData>
  <x:pageMargins left="0.7" right="0.7" top="0.75" bottom="0.75" header="0.3" footer="0.3"/>
  <x:tableParts count="1">
    <x:tablePart xmlns:r="http://schemas.openxmlformats.org/officeDocument/2006/relationships" r:id="R33426dc7ef204d5a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2" hidden="0" customWidth="1"/>
    <x:col min="5" max="5" width="18" hidden="0" customWidth="1"/>
    <x:col min="6" max="6" width="22" hidden="0" customWidth="1"/>
    <x:col min="7" max="7" width="20" hidden="0" customWidth="1"/>
    <x:col min="8" max="8" width="22" hidden="0" customWidth="1"/>
    <x:col min="9" max="9" width="18" hidden="0" customWidth="1"/>
    <x:col min="10" max="10" width="12" hidden="0" customWidth="1"/>
    <x:col min="11" max="11" width="18" hidden="0" customWidth="1"/>
  </x:cols>
  <x:sheetData>
    <x:row r="1" ht="15" hidden="0" customHeight="1">
      <x:c r="A1" s="53" t="str">
        <x:v>Date</x:v>
      </x:c>
      <x:c r="B1" s="62" t="str">
        <x:v>Fund_Code</x:v>
      </x:c>
      <x:c r="C1" s="62" t="str">
        <x:v>Sector</x:v>
      </x:c>
      <x:c r="D1" s="62" t="str">
        <x:v>Ticker</x:v>
      </x:c>
      <x:c r="E1" s="62" t="str">
        <x:v>Fund_Weight_Pct</x:v>
      </x:c>
      <x:c r="F1" s="62" t="str">
        <x:v>Benchmark_Weight_Pct</x:v>
      </x:c>
      <x:c r="G1" s="62" t="str">
        <x:v>Security_Return_Pct</x:v>
      </x:c>
      <x:c r="H1" s="62" t="str">
        <x:v>Benchmark_Return_Pct</x:v>
      </x:c>
      <x:c r="I1" s="62" t="str">
        <x:v>Contribution_Pct</x:v>
      </x:c>
      <x:c r="J1" s="62" t="str">
        <x:v>Source_ID</x:v>
      </x:c>
      <x:c r="K1" s="54" t="str">
        <x:v>Status</x:v>
      </x:c>
    </x:row>
    <x:row r="2" ht="15" hidden="0" customHeight="1">
      <x:c r="A2" s="44" t="str">
        <x:v>2026-07-31</x:v>
      </x:c>
      <x:c r="B2" s="44" t="str">
        <x:v>DCDS</x:v>
      </x:c>
      <x:c r="C2" s="44" t="str">
        <x:v>Banks</x:v>
      </x:c>
      <x:c r="D2" s="44" t="str">
        <x:v>MBB</x:v>
      </x:c>
      <x:c r="E2" s="76" t="n">
        <x:v>0.1182</x:v>
      </x:c>
      <x:c r="F2" s="76" t="n">
        <x:v>0.1112</x:v>
      </x:c>
      <x:c r="G2" s="76" t="n">
        <x:v>0.032</x:v>
      </x:c>
      <x:c r="H2" s="76" t="n">
        <x:v>0.028</x:v>
      </x:c>
      <x:c r="I2" s="76" t="n">
        <x:f>E2*(G2-H2)</x:f>
        <x:v>0.0004728</x:v>
      </x:c>
      <x:c r="J2" s="44" t="str">
        <x:v>S004</x:v>
      </x:c>
      <x:c r="K2" s="44" t="str">
        <x:v>Assumption</x:v>
      </x:c>
    </x:row>
    <x:row r="3" ht="15" hidden="0" customHeight="1">
      <x:c r="A3" s="44" t="str">
        <x:v>2026-07-31</x:v>
      </x:c>
      <x:c r="B3" s="44" t="str">
        <x:v>DCDS</x:v>
      </x:c>
      <x:c r="C3" s="44" t="str">
        <x:v>Banks</x:v>
      </x:c>
      <x:c r="D3" s="44" t="str">
        <x:v>VCB</x:v>
      </x:c>
      <x:c r="E3" s="76" t="n">
        <x:v>0.0419</x:v>
      </x:c>
      <x:c r="F3" s="76" t="n">
        <x:v>0.0441</x:v>
      </x:c>
      <x:c r="G3" s="76" t="n">
        <x:v>-0.014</x:v>
      </x:c>
      <x:c r="H3" s="76" t="n">
        <x:v>-0.01</x:v>
      </x:c>
      <x:c r="I3" s="76" t="n">
        <x:f>E3*(G3-H3)</x:f>
        <x:v>-0.0001676</x:v>
      </x:c>
      <x:c r="J3" s="44" t="str">
        <x:v>S004</x:v>
      </x:c>
      <x:c r="K3" s="44" t="str">
        <x:v>Assumption</x:v>
      </x:c>
    </x:row>
    <x:row r="4" ht="15" hidden="0" customHeight="1">
      <x:c r="A4" s="44" t="str">
        <x:v>2026-07-31</x:v>
      </x:c>
      <x:c r="B4" s="44" t="str">
        <x:v>DCDS</x:v>
      </x:c>
      <x:c r="C4" s="44" t="str">
        <x:v>Securities</x:v>
      </x:c>
      <x:c r="D4" s="44" t="str">
        <x:v>VND</x:v>
      </x:c>
      <x:c r="E4" s="76" t="n">
        <x:v>0.0684</x:v>
      </x:c>
      <x:c r="F4" s="76" t="n">
        <x:v>0.0733</x:v>
      </x:c>
      <x:c r="G4" s="76" t="n">
        <x:v>-0.042</x:v>
      </x:c>
      <x:c r="H4" s="76" t="n">
        <x:v>-0.035</x:v>
      </x:c>
      <x:c r="I4" s="76" t="n">
        <x:f>E4*(G4-H4)</x:f>
        <x:v>-0.0004788</x:v>
      </x:c>
      <x:c r="J4" s="44" t="str">
        <x:v>S004</x:v>
      </x:c>
      <x:c r="K4" s="44" t="str">
        <x:v>Assumption</x:v>
      </x:c>
    </x:row>
    <x:row r="5" ht="15" hidden="0" customHeight="1">
      <x:c r="A5" s="44" t="str">
        <x:v>2026-07-31</x:v>
      </x:c>
      <x:c r="B5" s="44" t="str">
        <x:v>DCDS</x:v>
      </x:c>
      <x:c r="C5" s="44" t="str">
        <x:v>Consumer</x:v>
      </x:c>
      <x:c r="D5" s="44" t="str">
        <x:v>MSN</x:v>
      </x:c>
      <x:c r="E5" s="76" t="n">
        <x:v>0.0856</x:v>
      </x:c>
      <x:c r="F5" s="76" t="n">
        <x:v>0.0931</x:v>
      </x:c>
      <x:c r="G5" s="76" t="n">
        <x:v>0.051</x:v>
      </x:c>
      <x:c r="H5" s="76" t="n">
        <x:v>0.046</x:v>
      </x:c>
      <x:c r="I5" s="76" t="n">
        <x:f>E5*(G5-H5)</x:f>
        <x:v>0.0004279999999999998</x:v>
      </x:c>
      <x:c r="J5" s="44" t="str">
        <x:v>S004</x:v>
      </x:c>
      <x:c r="K5" s="44" t="str">
        <x:v>Assumption</x:v>
      </x:c>
    </x:row>
    <x:row r="6" ht="15" hidden="0" customHeight="1">
      <x:c r="A6" s="44" t="str">
        <x:v>2026-07-31</x:v>
      </x:c>
      <x:c r="B6" s="44" t="str">
        <x:v>DCDS</x:v>
      </x:c>
      <x:c r="C6" s="44" t="str">
        <x:v>Real Estate</x:v>
      </x:c>
      <x:c r="D6" s="44" t="str">
        <x:v>VIC</x:v>
      </x:c>
      <x:c r="E6" s="76" t="n">
        <x:v>0.1273</x:v>
      </x:c>
      <x:c r="F6" s="76" t="n">
        <x:v>0.136</x:v>
      </x:c>
      <x:c r="G6" s="76" t="n">
        <x:v>-0.018</x:v>
      </x:c>
      <x:c r="H6" s="76" t="n">
        <x:v>-0.025</x:v>
      </x:c>
      <x:c r="I6" s="76" t="n">
        <x:f>E6*(G6-H6)</x:f>
        <x:v>0.0008911000000000004</x:v>
      </x:c>
      <x:c r="J6" s="44" t="str">
        <x:v>S004</x:v>
      </x:c>
      <x:c r="K6" s="44" t="str">
        <x:v>Assumption</x:v>
      </x:c>
    </x:row>
    <x:row r="7" ht="15" hidden="0" customHeight="1">
      <x:c r="A7" s="44" t="str">
        <x:v>2026-07-31</x:v>
      </x:c>
      <x:c r="B7" s="44" t="str">
        <x:v>DCDE</x:v>
      </x:c>
      <x:c r="C7" s="44" t="str">
        <x:v>Banks</x:v>
      </x:c>
      <x:c r="D7" s="44" t="str">
        <x:v>STB</x:v>
      </x:c>
      <x:c r="E7" s="76" t="n">
        <x:v>0.0494</x:v>
      </x:c>
      <x:c r="F7" s="76" t="n">
        <x:v>0.0314</x:v>
      </x:c>
      <x:c r="G7" s="76" t="n">
        <x:v>0.061</x:v>
      </x:c>
      <x:c r="H7" s="76" t="n">
        <x:v>0.047</x:v>
      </x:c>
      <x:c r="I7" s="76" t="n">
        <x:f>E7*(G7-H7)</x:f>
        <x:v>0.0006915999999999999</x:v>
      </x:c>
      <x:c r="J7" s="44" t="str">
        <x:v>S004</x:v>
      </x:c>
      <x:c r="K7" s="44" t="str">
        <x:v>Assumption</x:v>
      </x:c>
    </x:row>
    <x:row r="8" ht="15" hidden="0" customHeight="1">
      <x:c r="A8" s="44" t="str">
        <x:v>2026-07-31</x:v>
      </x:c>
      <x:c r="B8" s="44" t="str">
        <x:v>DCDE</x:v>
      </x:c>
      <x:c r="C8" s="44" t="str">
        <x:v>Industrials</x:v>
      </x:c>
      <x:c r="D8" s="44" t="str">
        <x:v>REE</x:v>
      </x:c>
      <x:c r="E8" s="76" t="n">
        <x:v>0.1122</x:v>
      </x:c>
      <x:c r="F8" s="76" t="n">
        <x:v>0.102</x:v>
      </x:c>
      <x:c r="G8" s="76" t="n">
        <x:v>0.027</x:v>
      </x:c>
      <x:c r="H8" s="76" t="n">
        <x:v>0.018</x:v>
      </x:c>
      <x:c r="I8" s="76" t="n">
        <x:f>E8*(G8-H8)</x:f>
        <x:v>0.0010098000000000002</x:v>
      </x:c>
      <x:c r="J8" s="44" t="str">
        <x:v>S004</x:v>
      </x:c>
      <x:c r="K8" s="44" t="str">
        <x:v>Assumption</x:v>
      </x:c>
    </x:row>
    <x:row r="9" ht="15" hidden="0" customHeight="1">
      <x:c r="A9" s="44" t="str">
        <x:v>2026-07-31</x:v>
      </x:c>
      <x:c r="B9" s="44" t="str">
        <x:v>FUEVFVND</x:v>
      </x:c>
      <x:c r="C9" s="44" t="str">
        <x:v>Technology</x:v>
      </x:c>
      <x:c r="D9" s="44" t="str">
        <x:v>FPT</x:v>
      </x:c>
      <x:c r="E9" s="76" t="n">
        <x:v>0.0549</x:v>
      </x:c>
      <x:c r="F9" s="76" t="n">
        <x:v>0.0428</x:v>
      </x:c>
      <x:c r="G9" s="76" t="n">
        <x:v>0.044</x:v>
      </x:c>
      <x:c r="H9" s="76" t="n">
        <x:v>0.041</x:v>
      </x:c>
      <x:c r="I9" s="76" t="n">
        <x:f>E9*(G9-H9)</x:f>
        <x:v>0.00016469999999999975</x:v>
      </x:c>
      <x:c r="J9" s="44" t="str">
        <x:v>S004</x:v>
      </x:c>
      <x:c r="K9" s="44" t="str">
        <x:v>Assumption</x:v>
      </x:c>
    </x:row>
  </x:sheetData>
  <x:pageMargins left="0.7" right="0.7" top="0.75" bottom="0.75" header="0.3" footer="0.3"/>
  <x:tableParts count="1">
    <x:tablePart xmlns:r="http://schemas.openxmlformats.org/officeDocument/2006/relationships" r:id="Rc36bb922f4f74b88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16" hidden="0" customWidth="1"/>
    <x:col min="4" max="4" width="16" hidden="0" customWidth="1"/>
    <x:col min="5" max="5" width="16" hidden="0" customWidth="1"/>
    <x:col min="6" max="6" width="14" hidden="0" customWidth="1"/>
    <x:col min="7" max="7" width="14" hidden="0" customWidth="1"/>
    <x:col min="8" max="8" width="56" hidden="0" customWidth="1"/>
  </x:cols>
  <x:sheetData>
    <x:row r="1" ht="15" hidden="0" customHeight="1">
      <x:c r="A1" s="102" t="str">
        <x:v>Check_ID</x:v>
      </x:c>
      <x:c r="B1" s="103" t="str">
        <x:v>Check</x:v>
      </x:c>
      <x:c r="C1" s="103" t="str">
        <x:v>Actual</x:v>
      </x:c>
      <x:c r="D1" s="103" t="str">
        <x:v>Expected</x:v>
      </x:c>
      <x:c r="E1" s="103" t="str">
        <x:v>Difference</x:v>
      </x:c>
      <x:c r="F1" s="103" t="str">
        <x:v>Tolerance</x:v>
      </x:c>
      <x:c r="G1" s="103" t="str">
        <x:v>Status</x:v>
      </x:c>
      <x:c r="H1" s="104" t="str">
        <x:v>Fix_Hint</x:v>
      </x:c>
    </x:row>
    <x:row r="2" ht="15" hidden="0" customHeight="1">
      <x:c r="A2" s="44" t="str">
        <x:v>C001</x:v>
      </x:c>
      <x:c r="B2" s="44" t="str">
        <x:v>Company profile rows</x:v>
      </x:c>
      <x:c r="C2" s="44" t="n">
        <x:f>COUNTA('Company_Profile'!A2:A9)</x:f>
        <x:v>8</x:v>
      </x:c>
      <x:c r="D2" s="44" t="n">
        <x:v>8</x:v>
      </x:c>
      <x:c r="E2" s="44" t="n">
        <x:f>C2-D2</x:f>
        <x:v>0</x:v>
      </x:c>
      <x:c r="F2" s="44" t="n">
        <x:v>0</x:v>
      </x:c>
      <x:c r="G2" s="44" t="str">
        <x:f>IF(ABS(E2)&lt;=F2,"OK","REVIEW")</x:f>
        <x:v>OK</x:v>
      </x:c>
      <x:c r="H2" s="44" t="str">
        <x:v>Populate all mandatory company fields</x:v>
      </x:c>
    </x:row>
    <x:row r="3" ht="15" hidden="0" customHeight="1">
      <x:c r="A3" s="44" t="str">
        <x:v>C002</x:v>
      </x:c>
      <x:c r="B3" s="44" t="str">
        <x:v>Fund master rows</x:v>
      </x:c>
      <x:c r="C3" s="44" t="n">
        <x:f>COUNTA('Fund_Master'!A2:A100)</x:f>
        <x:v>6</x:v>
      </x:c>
      <x:c r="D3" s="44" t="n">
        <x:v>6</x:v>
      </x:c>
      <x:c r="E3" s="44" t="n">
        <x:f>C3-D3</x:f>
        <x:v>0</x:v>
      </x:c>
      <x:c r="F3" s="44" t="n">
        <x:v>0</x:v>
      </x:c>
      <x:c r="G3" s="44" t="str">
        <x:f>IF(ABS(E3)&lt;=F3,"OK","REVIEW")</x:f>
        <x:v>OK</x:v>
      </x:c>
      <x:c r="H3" s="44" t="str">
        <x:v>Keep at least six tracked strategies</x:v>
      </x:c>
    </x:row>
    <x:row r="4" ht="15" hidden="0" customHeight="1">
      <x:c r="A4" s="44" t="str">
        <x:v>C003</x:v>
      </x:c>
      <x:c r="B4" s="44" t="str">
        <x:v>Latest portfolio weight by DCDS</x:v>
      </x:c>
      <x:c r="C4" s="78" t="n">
        <x:f>SUMIFS('Portfolio'!E2:E500,'Portfolio'!B2:B500,"DCDS")/100</x:f>
        <x:v>1.0001</x:v>
      </x:c>
      <x:c r="D4" s="78" t="n">
        <x:v>1</x:v>
      </x:c>
      <x:c r="E4" s="78" t="n">
        <x:f>C4-D4</x:f>
        <x:v>0.00009999999999998899</x:v>
      </x:c>
      <x:c r="F4" s="78" t="n">
        <x:v>0.05</x:v>
      </x:c>
      <x:c r="G4" s="44" t="str">
        <x:f>IF(ABS(E4)&lt;=F4,"OK","REVIEW")</x:f>
        <x:v>OK</x:v>
      </x:c>
      <x:c r="H4" s="44" t="str">
        <x:v>Weights should total approximately 100%</x:v>
      </x:c>
    </x:row>
    <x:row r="5" ht="15" hidden="0" customHeight="1">
      <x:c r="A5" s="44" t="str">
        <x:v>C004</x:v>
      </x:c>
      <x:c r="B5" s="44" t="str">
        <x:v>Shareholder ownership total (%)</x:v>
      </x:c>
      <x:c r="C5" s="79" t="n">
        <x:f>SUM('Shareholders'!C2:C100)</x:f>
        <x:v>100.00000000000001</x:v>
      </x:c>
      <x:c r="D5" s="79" t="n">
        <x:v>100</x:v>
      </x:c>
      <x:c r="E5" s="79" t="n">
        <x:f>C5-D5</x:f>
        <x:v>1.4210854715202004e-14</x:v>
      </x:c>
      <x:c r="F5" s="79" t="n">
        <x:v>0.01</x:v>
      </x:c>
      <x:c r="G5" s="44" t="str">
        <x:f>IF(ABS(E5)&lt;=F5,"OK","REVIEW")</x:f>
        <x:v>OK</x:v>
      </x:c>
      <x:c r="H5" s="44" t="str">
        <x:v>Reconcile shareholder percentages</x:v>
      </x:c>
    </x:row>
    <x:row r="6" ht="15" hidden="0" customHeight="1">
      <x:c r="A6" s="44" t="str">
        <x:v>C005</x:v>
      </x:c>
      <x:c r="B6" s="44" t="str">
        <x:v>M&amp;A evidence rows</x:v>
      </x:c>
      <x:c r="C6" s="44" t="n">
        <x:f>COUNTA('M&amp;A_Evidence'!A2:A100)</x:f>
        <x:v>99</x:v>
      </x:c>
      <x:c r="D6" s="44" t="n">
        <x:v>6</x:v>
      </x:c>
      <x:c r="E6" s="44" t="n">
        <x:f>C6-D6</x:f>
        <x:v>93</x:v>
      </x:c>
      <x:c r="F6" s="44" t="n">
        <x:v>0</x:v>
      </x:c>
      <x:c r="G6" s="44" t="str">
        <x:f>IF(ABS(E6)&lt;=F6,"OK","REVIEW")</x:f>
        <x:v>REVIEW</x:v>
      </x:c>
      <x:c r="H6" s="44" t="str">
        <x:v>Maintain evidence registry</x:v>
      </x:c>
    </x:row>
    <x:row r="7" ht="15" hidden="0" customHeight="1">
      <x:c r="A7" s="44" t="str">
        <x:v>C006</x:v>
      </x:c>
      <x:c r="B7" s="44" t="str">
        <x:v>Source IDs present for evidence</x:v>
      </x:c>
      <x:c r="C7" s="44" t="n">
        <x:f>COUNTIF('M&amp;A_Evidence'!K2:K100,"&lt;&gt;")</x:f>
        <x:v>99</x:v>
      </x:c>
      <x:c r="D7" s="44" t="n">
        <x:v>6</x:v>
      </x:c>
      <x:c r="E7" s="44" t="n">
        <x:f>C7-D7</x:f>
        <x:v>93</x:v>
      </x:c>
      <x:c r="F7" s="44" t="n">
        <x:v>0</x:v>
      </x:c>
      <x:c r="G7" s="44" t="str">
        <x:f>IF(ABS(E7)&lt;=F7,"OK","REVIEW")</x:f>
        <x:v>REVIEW</x:v>
      </x:c>
      <x:c r="H7" s="44" t="str">
        <x:v>Fill missing Source_ID</x:v>
      </x:c>
    </x:row>
    <x:row r="8" ht="15" hidden="0" customHeight="1">
      <x:c r="A8" s="44" t="str">
        <x:v>C007</x:v>
      </x:c>
      <x:c r="B8" s="44" t="str">
        <x:v>Data quality domains</x:v>
      </x:c>
      <x:c r="C8" s="44" t="n">
        <x:f>COUNTA('Data_Quality'!A2:A100)</x:f>
        <x:v>8</x:v>
      </x:c>
      <x:c r="D8" s="44" t="n">
        <x:v>8</x:v>
      </x:c>
      <x:c r="E8" s="44" t="n">
        <x:f>C8-D8</x:f>
        <x:v>0</x:v>
      </x:c>
      <x:c r="F8" s="44" t="n">
        <x:v>0</x:v>
      </x:c>
      <x:c r="G8" s="44" t="str">
        <x:f>IF(ABS(E8)&lt;=F8,"OK","REVIEW")</x:f>
        <x:v>OK</x:v>
      </x:c>
      <x:c r="H8" s="44" t="str">
        <x:v>Maintain all V3 lineage domains</x:v>
      </x:c>
    </x:row>
    <x:row r="9" ht="15" hidden="0" customHeight="1">
      <x:c r="A9" s="44" t="str">
        <x:v>C008</x:v>
      </x:c>
      <x:c r="B9" s="44" t="str">
        <x:v>Financial forecast periods</x:v>
      </x:c>
      <x:c r="C9" s="44" t="n">
        <x:f>COUNTA('Financial_Drivers'!A2:A100)</x:f>
        <x:v>5</x:v>
      </x:c>
      <x:c r="D9" s="44" t="n">
        <x:v>5</x:v>
      </x:c>
      <x:c r="E9" s="44" t="n">
        <x:f>C9-D9</x:f>
        <x:v>0</x:v>
      </x:c>
      <x:c r="F9" s="44" t="n">
        <x:v>0</x:v>
      </x:c>
      <x:c r="G9" s="44" t="str">
        <x:f>IF(ABS(E9)&lt;=F9,"OK","REVIEW")</x:f>
        <x:v>OK</x:v>
      </x:c>
      <x:c r="H9" s="44" t="str">
        <x:v>Maintain 2025A–2029E model</x:v>
      </x:c>
    </x:row>
    <x:row r="10" ht="15" hidden="0" customHeight="1">
      <x:c r="A10" s="44" t="str">
        <x:v>C009</x:v>
      </x:c>
      <x:c r="B10" s="44" t="str">
        <x:v>Action tracker rows</x:v>
      </x:c>
      <x:c r="C10" s="44" t="n">
        <x:f>COUNTA('Action_Tracker'!A2:A100)</x:f>
        <x:v>5</x:v>
      </x:c>
      <x:c r="D10" s="44" t="n">
        <x:v>5</x:v>
      </x:c>
      <x:c r="E10" s="44" t="n">
        <x:f>C10-D10</x:f>
        <x:v>0</x:v>
      </x:c>
      <x:c r="F10" s="44" t="n">
        <x:v>0</x:v>
      </x:c>
      <x:c r="G10" s="44" t="str">
        <x:f>IF(ABS(E10)&lt;=F10,"OK","REVIEW")</x:f>
        <x:v>OK</x:v>
      </x:c>
      <x:c r="H10" s="44" t="str">
        <x:v>Maintain accountable actions</x:v>
      </x:c>
    </x:row>
    <x:row r="11" ht="15" hidden="0" customHeight="1">
      <x:c r="A11" s="44" t="str">
        <x:v>C010</x:v>
      </x:c>
      <x:c r="B11" s="44" t="str">
        <x:v>Network evidence rows</x:v>
      </x:c>
      <x:c r="C11" s="44" t="n">
        <x:f>COUNTA('Entity_Network'!A2:A100)</x:f>
        <x:v>99</x:v>
      </x:c>
      <x:c r="D11" s="44" t="n">
        <x:v>7</x:v>
      </x:c>
      <x:c r="E11" s="44" t="n">
        <x:f>C11-D11</x:f>
        <x:v>92</x:v>
      </x:c>
      <x:c r="F11" s="44" t="n">
        <x:v>0</x:v>
      </x:c>
      <x:c r="G11" s="44" t="str">
        <x:f>IF(ABS(E11)&lt;=F11,"OK","REVIEW")</x:f>
        <x:v>REVIEW</x:v>
      </x:c>
      <x:c r="H11" s="44" t="str">
        <x:v>Maintain entity relationship registry</x:v>
      </x:c>
    </x:row>
  </x:sheetData>
  <x:conditionalFormatting sqref="G2:G7">
    <x:cfRule type="containsText" dxfId="0" priority="1" operator="containsText" text="OK"/>
    <x:cfRule type="containsText" dxfId="1" priority="2" operator="containsText" text="REVIEW"/>
  </x:conditionalFormatting>
  <x:conditionalFormatting sqref="G2:G11">
    <x:cfRule type="containsText" dxfId="4" priority="3" operator="containsText" text="OK"/>
    <x:cfRule type="containsText" dxfId="5" priority="4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2f158b1c800c4212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12" hidden="0" customWidth="1"/>
    <x:col min="5" max="5" width="18" hidden="0" customWidth="1"/>
  </x:cols>
  <x:sheetData>
    <x:row r="1" ht="15" hidden="0" customHeight="1">
      <x:c r="A1" s="109" t="str">
        <x:v>Date</x:v>
      </x:c>
      <x:c r="B1" s="109" t="str">
        <x:v>Benchmark</x:v>
      </x:c>
      <x:c r="C1" s="109" t="str">
        <x:v>Index_Level</x:v>
      </x:c>
      <x:c r="D1" s="109" t="str">
        <x:v>Source_ID</x:v>
      </x:c>
      <x:c r="E1" s="109" t="str">
        <x:v>Status</x:v>
      </x:c>
    </x:row>
    <x:row r="2" ht="15" hidden="0" customHeight="1">
      <x:c r="A2" s="44" t="str">
        <x:v>2025-01-31</x:v>
      </x:c>
      <x:c r="B2" s="44" t="str">
        <x:v>VNINDEX</x:v>
      </x:c>
      <x:c r="C2" s="110" t="n">
        <x:v>1265</x:v>
      </x:c>
      <x:c r="D2" s="44" t="str">
        <x:v>S009</x:v>
      </x:c>
      <x:c r="E2" s="44" t="str">
        <x:v>Assumption</x:v>
      </x:c>
    </x:row>
    <x:row r="3" ht="15" hidden="0" customHeight="1">
      <x:c r="A3" s="44" t="str">
        <x:v>2025-01-31</x:v>
      </x:c>
      <x:c r="B3" s="44" t="str">
        <x:v>VN30</x:v>
      </x:c>
      <x:c r="C3" s="110" t="n">
        <x:v>1246.025</x:v>
      </x:c>
      <x:c r="D3" s="44" t="str">
        <x:v>S009</x:v>
      </x:c>
      <x:c r="E3" s="44" t="str">
        <x:v>Assumption</x:v>
      </x:c>
    </x:row>
    <x:row r="4" ht="15" hidden="0" customHeight="1">
      <x:c r="A4" s="44" t="str">
        <x:v>2025-01-31</x:v>
      </x:c>
      <x:c r="B4" s="44" t="str">
        <x:v>VN Diamond</x:v>
      </x:c>
      <x:c r="C4" s="110" t="n">
        <x:v>1227.05</x:v>
      </x:c>
      <x:c r="D4" s="44" t="str">
        <x:v>S009</x:v>
      </x:c>
      <x:c r="E4" s="44" t="str">
        <x:v>Assumption</x:v>
      </x:c>
    </x:row>
    <x:row r="5" ht="15" hidden="0" customHeight="1">
      <x:c r="A5" s="44" t="str">
        <x:v>2025-01-31</x:v>
      </x:c>
      <x:c r="B5" s="44" t="str">
        <x:v>Deposit/Bond</x:v>
      </x:c>
      <x:c r="C5" s="110" t="n">
        <x:v>1000</x:v>
      </x:c>
      <x:c r="D5" s="44" t="str">
        <x:v>S009</x:v>
      </x:c>
      <x:c r="E5" s="44" t="str">
        <x:v>Assumption</x:v>
      </x:c>
    </x:row>
    <x:row r="6" ht="15" hidden="0" customHeight="1">
      <x:c r="A6" s="44" t="str">
        <x:v>2025-02-28</x:v>
      </x:c>
      <x:c r="B6" s="44" t="str">
        <x:v>VNINDEX</x:v>
      </x:c>
      <x:c r="C6" s="110" t="n">
        <x:v>1284</x:v>
      </x:c>
      <x:c r="D6" s="44" t="str">
        <x:v>S009</x:v>
      </x:c>
      <x:c r="E6" s="44" t="str">
        <x:v>Assumption</x:v>
      </x:c>
    </x:row>
    <x:row r="7" ht="15" hidden="0" customHeight="1">
      <x:c r="A7" s="44" t="str">
        <x:v>2025-02-28</x:v>
      </x:c>
      <x:c r="B7" s="44" t="str">
        <x:v>VN30</x:v>
      </x:c>
      <x:c r="C7" s="110" t="n">
        <x:v>1266.024</x:v>
      </x:c>
      <x:c r="D7" s="44" t="str">
        <x:v>S009</x:v>
      </x:c>
      <x:c r="E7" s="44" t="str">
        <x:v>Assumption</x:v>
      </x:c>
    </x:row>
    <x:row r="8" ht="15" hidden="0" customHeight="1">
      <x:c r="A8" s="44" t="str">
        <x:v>2025-02-28</x:v>
      </x:c>
      <x:c r="B8" s="44" t="str">
        <x:v>VN Diamond</x:v>
      </x:c>
      <x:c r="C8" s="110" t="n">
        <x:v>1247.406</x:v>
      </x:c>
      <x:c r="D8" s="44" t="str">
        <x:v>S009</x:v>
      </x:c>
      <x:c r="E8" s="44" t="str">
        <x:v>Assumption</x:v>
      </x:c>
    </x:row>
    <x:row r="9" ht="15" hidden="0" customHeight="1">
      <x:c r="A9" s="44" t="str">
        <x:v>2025-02-28</x:v>
      </x:c>
      <x:c r="B9" s="44" t="str">
        <x:v>Deposit/Bond</x:v>
      </x:c>
      <x:c r="C9" s="110" t="n">
        <x:v>1005.5000000000001</x:v>
      </x:c>
      <x:c r="D9" s="44" t="str">
        <x:v>S009</x:v>
      </x:c>
      <x:c r="E9" s="44" t="str">
        <x:v>Assumption</x:v>
      </x:c>
    </x:row>
    <x:row r="10" ht="15" hidden="0" customHeight="1">
      <x:c r="A10" s="44" t="str">
        <x:v>2025-03-31</x:v>
      </x:c>
      <x:c r="B10" s="44" t="str">
        <x:v>VNINDEX</x:v>
      </x:c>
      <x:c r="C10" s="110" t="n">
        <x:v>1301</x:v>
      </x:c>
      <x:c r="D10" s="44" t="str">
        <x:v>S009</x:v>
      </x:c>
      <x:c r="E10" s="44" t="str">
        <x:v>Assumption</x:v>
      </x:c>
    </x:row>
    <x:row r="11" ht="15" hidden="0" customHeight="1">
      <x:c r="A11" s="44" t="str">
        <x:v>2025-03-31</x:v>
      </x:c>
      <x:c r="B11" s="44" t="str">
        <x:v>VN30</x:v>
      </x:c>
      <x:c r="C11" s="110" t="n">
        <x:v>1284.087</x:v>
      </x:c>
      <x:c r="D11" s="44" t="str">
        <x:v>S009</x:v>
      </x:c>
      <x:c r="E11" s="44" t="str">
        <x:v>Assumption</x:v>
      </x:c>
    </x:row>
    <x:row r="12" ht="15" hidden="0" customHeight="1">
      <x:c r="A12" s="44" t="str">
        <x:v>2025-03-31</x:v>
      </x:c>
      <x:c r="B12" s="44" t="str">
        <x:v>VN Diamond</x:v>
      </x:c>
      <x:c r="C12" s="110" t="n">
        <x:v>1265.873</x:v>
      </x:c>
      <x:c r="D12" s="44" t="str">
        <x:v>S009</x:v>
      </x:c>
      <x:c r="E12" s="44" t="str">
        <x:v>Assumption</x:v>
      </x:c>
    </x:row>
    <x:row r="13" ht="15" hidden="0" customHeight="1">
      <x:c r="A13" s="44" t="str">
        <x:v>2025-03-31</x:v>
      </x:c>
      <x:c r="B13" s="44" t="str">
        <x:v>Deposit/Bond</x:v>
      </x:c>
      <x:c r="C13" s="110" t="n">
        <x:v>1011.0302500000001</x:v>
      </x:c>
      <x:c r="D13" s="44" t="str">
        <x:v>S009</x:v>
      </x:c>
      <x:c r="E13" s="44" t="str">
        <x:v>Assumption</x:v>
      </x:c>
    </x:row>
    <x:row r="14" ht="15" hidden="0" customHeight="1">
      <x:c r="A14" s="44" t="str">
        <x:v>2025-04-30</x:v>
      </x:c>
      <x:c r="B14" s="44" t="str">
        <x:v>VNINDEX</x:v>
      </x:c>
      <x:c r="C14" s="110" t="n">
        <x:v>1288</x:v>
      </x:c>
      <x:c r="D14" s="44" t="str">
        <x:v>S009</x:v>
      </x:c>
      <x:c r="E14" s="44" t="str">
        <x:v>Assumption</x:v>
      </x:c>
    </x:row>
    <x:row r="15" ht="15" hidden="0" customHeight="1">
      <x:c r="A15" s="44" t="str">
        <x:v>2025-04-30</x:v>
      </x:c>
      <x:c r="B15" s="44" t="str">
        <x:v>VN30</x:v>
      </x:c>
      <x:c r="C15" s="110" t="n">
        <x:v>1272.544</x:v>
      </x:c>
      <x:c r="D15" s="44" t="str">
        <x:v>S009</x:v>
      </x:c>
      <x:c r="E15" s="44" t="str">
        <x:v>Assumption</x:v>
      </x:c>
    </x:row>
    <x:row r="16" ht="15" hidden="0" customHeight="1">
      <x:c r="A16" s="44" t="str">
        <x:v>2025-04-30</x:v>
      </x:c>
      <x:c r="B16" s="44" t="str">
        <x:v>VN Diamond</x:v>
      </x:c>
      <x:c r="C16" s="110" t="n">
        <x:v>1255.156</x:v>
      </x:c>
      <x:c r="D16" s="44" t="str">
        <x:v>S009</x:v>
      </x:c>
      <x:c r="E16" s="44" t="str">
        <x:v>Assumption</x:v>
      </x:c>
    </x:row>
    <x:row r="17" ht="15" hidden="0" customHeight="1">
      <x:c r="A17" s="44" t="str">
        <x:v>2025-04-30</x:v>
      </x:c>
      <x:c r="B17" s="44" t="str">
        <x:v>Deposit/Bond</x:v>
      </x:c>
      <x:c r="C17" s="110" t="n">
        <x:v>1016.5909163750002</x:v>
      </x:c>
      <x:c r="D17" s="44" t="str">
        <x:v>S009</x:v>
      </x:c>
      <x:c r="E17" s="44" t="str">
        <x:v>Assumption</x:v>
      </x:c>
    </x:row>
    <x:row r="18" ht="15" hidden="0" customHeight="1">
      <x:c r="A18" s="44" t="str">
        <x:v>2025-05-31</x:v>
      </x:c>
      <x:c r="B18" s="44" t="str">
        <x:v>VNINDEX</x:v>
      </x:c>
      <x:c r="C18" s="110" t="n">
        <x:v>1322</x:v>
      </x:c>
      <x:c r="D18" s="44" t="str">
        <x:v>S009</x:v>
      </x:c>
      <x:c r="E18" s="44" t="str">
        <x:v>Assumption</x:v>
      </x:c>
    </x:row>
    <x:row r="19" ht="15" hidden="0" customHeight="1">
      <x:c r="A19" s="44" t="str">
        <x:v>2025-05-31</x:v>
      </x:c>
      <x:c r="B19" s="44" t="str">
        <x:v>VN30</x:v>
      </x:c>
      <x:c r="C19" s="110" t="n">
        <x:v>1307.458</x:v>
      </x:c>
      <x:c r="D19" s="44" t="str">
        <x:v>S009</x:v>
      </x:c>
      <x:c r="E19" s="44" t="str">
        <x:v>Assumption</x:v>
      </x:c>
    </x:row>
    <x:row r="20" ht="15" hidden="0" customHeight="1">
      <x:c r="A20" s="44" t="str">
        <x:v>2025-05-31</x:v>
      </x:c>
      <x:c r="B20" s="44" t="str">
        <x:v>VN Diamond</x:v>
      </x:c>
      <x:c r="C20" s="110" t="n">
        <x:v>1290.272</x:v>
      </x:c>
      <x:c r="D20" s="44" t="str">
        <x:v>S009</x:v>
      </x:c>
      <x:c r="E20" s="44" t="str">
        <x:v>Assumption</x:v>
      </x:c>
    </x:row>
    <x:row r="21" ht="15" hidden="0" customHeight="1">
      <x:c r="A21" s="44" t="str">
        <x:v>2025-05-31</x:v>
      </x:c>
      <x:c r="B21" s="44" t="str">
        <x:v>Deposit/Bond</x:v>
      </x:c>
      <x:c r="C21" s="110" t="n">
        <x:v>1022.1821664150627</x:v>
      </x:c>
      <x:c r="D21" s="44" t="str">
        <x:v>S009</x:v>
      </x:c>
      <x:c r="E21" s="44" t="str">
        <x:v>Assumption</x:v>
      </x:c>
    </x:row>
    <x:row r="22" ht="15" hidden="0" customHeight="1">
      <x:c r="A22" s="44" t="str">
        <x:v>2025-06-30</x:v>
      </x:c>
      <x:c r="B22" s="44" t="str">
        <x:v>VNINDEX</x:v>
      </x:c>
      <x:c r="C22" s="110" t="n">
        <x:v>1376</x:v>
      </x:c>
      <x:c r="D22" s="44" t="str">
        <x:v>S009</x:v>
      </x:c>
      <x:c r="E22" s="44" t="str">
        <x:v>Assumption</x:v>
      </x:c>
    </x:row>
    <x:row r="23" ht="15" hidden="0" customHeight="1">
      <x:c r="A23" s="44" t="str">
        <x:v>2025-06-30</x:v>
      </x:c>
      <x:c r="B23" s="44" t="str">
        <x:v>VN30</x:v>
      </x:c>
      <x:c r="C23" s="110" t="n">
        <x:v>1362.24</x:v>
      </x:c>
      <x:c r="D23" s="44" t="str">
        <x:v>S009</x:v>
      </x:c>
      <x:c r="E23" s="44" t="str">
        <x:v>Assumption</x:v>
      </x:c>
    </x:row>
    <x:row r="24" ht="15" hidden="0" customHeight="1">
      <x:c r="A24" s="44" t="str">
        <x:v>2025-06-30</x:v>
      </x:c>
      <x:c r="B24" s="44" t="str">
        <x:v>VN Diamond</x:v>
      </x:c>
      <x:c r="C24" s="110" t="n">
        <x:v>1345.04</x:v>
      </x:c>
      <x:c r="D24" s="44" t="str">
        <x:v>S009</x:v>
      </x:c>
      <x:c r="E24" s="44" t="str">
        <x:v>Assumption</x:v>
      </x:c>
    </x:row>
    <x:row r="25" ht="15" hidden="0" customHeight="1">
      <x:c r="A25" s="44" t="str">
        <x:v>2025-06-30</x:v>
      </x:c>
      <x:c r="B25" s="44" t="str">
        <x:v>Deposit/Bond</x:v>
      </x:c>
      <x:c r="C25" s="110" t="n">
        <x:v>1027.8041683303456</x:v>
      </x:c>
      <x:c r="D25" s="44" t="str">
        <x:v>S009</x:v>
      </x:c>
      <x:c r="E25" s="44" t="str">
        <x:v>Assumption</x:v>
      </x:c>
    </x:row>
    <x:row r="26" ht="15" hidden="0" customHeight="1">
      <x:c r="A26" s="44" t="str">
        <x:v>2025-07-31</x:v>
      </x:c>
      <x:c r="B26" s="44" t="str">
        <x:v>VNINDEX</x:v>
      </x:c>
      <x:c r="C26" s="110" t="n">
        <x:v>1354</x:v>
      </x:c>
      <x:c r="D26" s="44" t="str">
        <x:v>S009</x:v>
      </x:c>
      <x:c r="E26" s="44" t="str">
        <x:v>Assumption</x:v>
      </x:c>
    </x:row>
    <x:row r="27" ht="15" hidden="0" customHeight="1">
      <x:c r="A27" s="44" t="str">
        <x:v>2025-07-31</x:v>
      </x:c>
      <x:c r="B27" s="44" t="str">
        <x:v>VN30</x:v>
      </x:c>
      <x:c r="C27" s="110" t="n">
        <x:v>1341.814</x:v>
      </x:c>
      <x:c r="D27" s="44" t="str">
        <x:v>S009</x:v>
      </x:c>
      <x:c r="E27" s="44" t="str">
        <x:v>Assumption</x:v>
      </x:c>
    </x:row>
    <x:row r="28" ht="15" hidden="0" customHeight="1">
      <x:c r="A28" s="44" t="str">
        <x:v>2025-07-31</x:v>
      </x:c>
      <x:c r="B28" s="44" t="str">
        <x:v>VN Diamond</x:v>
      </x:c>
      <x:c r="C28" s="110" t="n">
        <x:v>1325.566</x:v>
      </x:c>
      <x:c r="D28" s="44" t="str">
        <x:v>S009</x:v>
      </x:c>
      <x:c r="E28" s="44" t="str">
        <x:v>Assumption</x:v>
      </x:c>
    </x:row>
    <x:row r="29" ht="15" hidden="0" customHeight="1">
      <x:c r="A29" s="44" t="str">
        <x:v>2025-07-31</x:v>
      </x:c>
      <x:c r="B29" s="44" t="str">
        <x:v>Deposit/Bond</x:v>
      </x:c>
      <x:c r="C29" s="110" t="n">
        <x:v>1033.4570912561626</x:v>
      </x:c>
      <x:c r="D29" s="44" t="str">
        <x:v>S009</x:v>
      </x:c>
      <x:c r="E29" s="44" t="str">
        <x:v>Assumption</x:v>
      </x:c>
    </x:row>
    <x:row r="30" ht="15" hidden="0" customHeight="1">
      <x:c r="A30" s="44" t="str">
        <x:v>2025-08-31</x:v>
      </x:c>
      <x:c r="B30" s="44" t="str">
        <x:v>VNINDEX</x:v>
      </x:c>
      <x:c r="C30" s="110" t="n">
        <x:v>1401</x:v>
      </x:c>
      <x:c r="D30" s="44" t="str">
        <x:v>S009</x:v>
      </x:c>
      <x:c r="E30" s="44" t="str">
        <x:v>Assumption</x:v>
      </x:c>
    </x:row>
    <x:row r="31" ht="15" hidden="0" customHeight="1">
      <x:c r="A31" s="44" t="str">
        <x:v>2025-08-31</x:v>
      </x:c>
      <x:c r="B31" s="44" t="str">
        <x:v>VN30</x:v>
      </x:c>
      <x:c r="C31" s="110" t="n">
        <x:v>1389.792</x:v>
      </x:c>
      <x:c r="D31" s="44" t="str">
        <x:v>S009</x:v>
      </x:c>
      <x:c r="E31" s="44" t="str">
        <x:v>Assumption</x:v>
      </x:c>
    </x:row>
    <x:row r="32" ht="15" hidden="0" customHeight="1">
      <x:c r="A32" s="44" t="str">
        <x:v>2025-08-31</x:v>
      </x:c>
      <x:c r="B32" s="44" t="str">
        <x:v>VN Diamond</x:v>
      </x:c>
      <x:c r="C32" s="110" t="n">
        <x:v>1373.6805</x:v>
      </x:c>
      <x:c r="D32" s="44" t="str">
        <x:v>S009</x:v>
      </x:c>
      <x:c r="E32" s="44" t="str">
        <x:v>Assumption</x:v>
      </x:c>
    </x:row>
    <x:row r="33" ht="15" hidden="0" customHeight="1">
      <x:c r="A33" s="44" t="str">
        <x:v>2025-08-31</x:v>
      </x:c>
      <x:c r="B33" s="44" t="str">
        <x:v>Deposit/Bond</x:v>
      </x:c>
      <x:c r="C33" s="110" t="n">
        <x:v>1039.1411052580715</x:v>
      </x:c>
      <x:c r="D33" s="44" t="str">
        <x:v>S009</x:v>
      </x:c>
      <x:c r="E33" s="44" t="str">
        <x:v>Assumption</x:v>
      </x:c>
    </x:row>
    <x:row r="34" ht="15" hidden="0" customHeight="1">
      <x:c r="A34" s="44" t="str">
        <x:v>2025-09-30</x:v>
      </x:c>
      <x:c r="B34" s="44" t="str">
        <x:v>VNINDEX</x:v>
      </x:c>
      <x:c r="C34" s="110" t="n">
        <x:v>1418</x:v>
      </x:c>
      <x:c r="D34" s="44" t="str">
        <x:v>S009</x:v>
      </x:c>
      <x:c r="E34" s="44" t="str">
        <x:v>Assumption</x:v>
      </x:c>
    </x:row>
    <x:row r="35" ht="15" hidden="0" customHeight="1">
      <x:c r="A35" s="44" t="str">
        <x:v>2025-09-30</x:v>
      </x:c>
      <x:c r="B35" s="44" t="str">
        <x:v>VN30</x:v>
      </x:c>
      <x:c r="C35" s="110" t="n">
        <x:v>1408.074</x:v>
      </x:c>
      <x:c r="D35" s="44" t="str">
        <x:v>S009</x:v>
      </x:c>
      <x:c r="E35" s="44" t="str">
        <x:v>Assumption</x:v>
      </x:c>
    </x:row>
    <x:row r="36" ht="15" hidden="0" customHeight="1">
      <x:c r="A36" s="44" t="str">
        <x:v>2025-09-30</x:v>
      </x:c>
      <x:c r="B36" s="44" t="str">
        <x:v>VN Diamond</x:v>
      </x:c>
      <x:c r="C36" s="110" t="n">
        <x:v>1392.4759999999999</x:v>
      </x:c>
      <x:c r="D36" s="44" t="str">
        <x:v>S009</x:v>
      </x:c>
      <x:c r="E36" s="44" t="str">
        <x:v>Assumption</x:v>
      </x:c>
    </x:row>
    <x:row r="37" ht="15" hidden="0" customHeight="1">
      <x:c r="A37" s="44" t="str">
        <x:v>2025-09-30</x:v>
      </x:c>
      <x:c r="B37" s="44" t="str">
        <x:v>Deposit/Bond</x:v>
      </x:c>
      <x:c r="C37" s="110" t="n">
        <x:v>1044.856381336991</x:v>
      </x:c>
      <x:c r="D37" s="44" t="str">
        <x:v>S009</x:v>
      </x:c>
      <x:c r="E37" s="44" t="str">
        <x:v>Assumption</x:v>
      </x:c>
    </x:row>
    <x:row r="38" ht="15" hidden="0" customHeight="1">
      <x:c r="A38" s="44" t="str">
        <x:v>2025-10-31</x:v>
      </x:c>
      <x:c r="B38" s="44" t="str">
        <x:v>VNINDEX</x:v>
      </x:c>
      <x:c r="C38" s="110" t="n">
        <x:v>1392</x:v>
      </x:c>
      <x:c r="D38" s="44" t="str">
        <x:v>S009</x:v>
      </x:c>
      <x:c r="E38" s="44" t="str">
        <x:v>Assumption</x:v>
      </x:c>
    </x:row>
    <x:row r="39" ht="15" hidden="0" customHeight="1">
      <x:c r="A39" s="44" t="str">
        <x:v>2025-10-31</x:v>
      </x:c>
      <x:c r="B39" s="44" t="str">
        <x:v>VN30</x:v>
      </x:c>
      <x:c r="C39" s="110" t="n">
        <x:v>1383.648</x:v>
      </x:c>
      <x:c r="D39" s="44" t="str">
        <x:v>S009</x:v>
      </x:c>
      <x:c r="E39" s="44" t="str">
        <x:v>Assumption</x:v>
      </x:c>
    </x:row>
    <x:row r="40" ht="15" hidden="0" customHeight="1">
      <x:c r="A40" s="44" t="str">
        <x:v>2025-10-31</x:v>
      </x:c>
      <x:c r="B40" s="44" t="str">
        <x:v>VN Diamond</x:v>
      </x:c>
      <x:c r="C40" s="110" t="n">
        <x:v>1369.032</x:v>
      </x:c>
      <x:c r="D40" s="44" t="str">
        <x:v>S009</x:v>
      </x:c>
      <x:c r="E40" s="44" t="str">
        <x:v>Assumption</x:v>
      </x:c>
    </x:row>
    <x:row r="41" ht="15" hidden="0" customHeight="1">
      <x:c r="A41" s="44" t="str">
        <x:v>2025-10-31</x:v>
      </x:c>
      <x:c r="B41" s="44" t="str">
        <x:v>Deposit/Bond</x:v>
      </x:c>
      <x:c r="C41" s="110" t="n">
        <x:v>1050.6030914343446</x:v>
      </x:c>
      <x:c r="D41" s="44" t="str">
        <x:v>S009</x:v>
      </x:c>
      <x:c r="E41" s="44" t="str">
        <x:v>Assumption</x:v>
      </x:c>
    </x:row>
    <x:row r="42" ht="15" hidden="0" customHeight="1">
      <x:c r="A42" s="44" t="str">
        <x:v>2025-11-30</x:v>
      </x:c>
      <x:c r="B42" s="44" t="str">
        <x:v>VNINDEX</x:v>
      </x:c>
      <x:c r="C42" s="110" t="n">
        <x:v>1360</x:v>
      </x:c>
      <x:c r="D42" s="44" t="str">
        <x:v>S009</x:v>
      </x:c>
      <x:c r="E42" s="44" t="str">
        <x:v>Assumption</x:v>
      </x:c>
    </x:row>
    <x:row r="43" ht="15" hidden="0" customHeight="1">
      <x:c r="A43" s="44" t="str">
        <x:v>2025-11-30</x:v>
      </x:c>
      <x:c r="B43" s="44" t="str">
        <x:v>VN30</x:v>
      </x:c>
      <x:c r="C43" s="110" t="n">
        <x:v>1353.2</x:v>
      </x:c>
      <x:c r="D43" s="44" t="str">
        <x:v>S009</x:v>
      </x:c>
      <x:c r="E43" s="44" t="str">
        <x:v>Assumption</x:v>
      </x:c>
    </x:row>
    <x:row r="44" ht="15" hidden="0" customHeight="1">
      <x:c r="A44" s="44" t="str">
        <x:v>2025-11-30</x:v>
      </x:c>
      <x:c r="B44" s="44" t="str">
        <x:v>VN Diamond</x:v>
      </x:c>
      <x:c r="C44" s="110" t="n">
        <x:v>1339.6</x:v>
      </x:c>
      <x:c r="D44" s="44" t="str">
        <x:v>S009</x:v>
      </x:c>
      <x:c r="E44" s="44" t="str">
        <x:v>Assumption</x:v>
      </x:c>
    </x:row>
    <x:row r="45" ht="15" hidden="0" customHeight="1">
      <x:c r="A45" s="44" t="str">
        <x:v>2025-11-30</x:v>
      </x:c>
      <x:c r="B45" s="44" t="str">
        <x:v>Deposit/Bond</x:v>
      </x:c>
      <x:c r="C45" s="110" t="n">
        <x:v>1056.3814084372336</x:v>
      </x:c>
      <x:c r="D45" s="44" t="str">
        <x:v>S009</x:v>
      </x:c>
      <x:c r="E45" s="44" t="str">
        <x:v>Assumption</x:v>
      </x:c>
    </x:row>
    <x:row r="46" ht="15" hidden="0" customHeight="1">
      <x:c r="A46" s="44" t="str">
        <x:v>2025-12-31</x:v>
      </x:c>
      <x:c r="B46" s="44" t="str">
        <x:v>VNINDEX</x:v>
      </x:c>
      <x:c r="C46" s="110" t="n">
        <x:v>1388</x:v>
      </x:c>
      <x:c r="D46" s="44" t="str">
        <x:v>S009</x:v>
      </x:c>
      <x:c r="E46" s="44" t="str">
        <x:v>Assumption</x:v>
      </x:c>
    </x:row>
    <x:row r="47" ht="15" hidden="0" customHeight="1">
      <x:c r="A47" s="44" t="str">
        <x:v>2025-12-31</x:v>
      </x:c>
      <x:c r="B47" s="44" t="str">
        <x:v>VN30</x:v>
      </x:c>
      <x:c r="C47" s="110" t="n">
        <x:v>1382.448</x:v>
      </x:c>
      <x:c r="D47" s="44" t="str">
        <x:v>S009</x:v>
      </x:c>
      <x:c r="E47" s="44" t="str">
        <x:v>Assumption</x:v>
      </x:c>
    </x:row>
    <x:row r="48" ht="15" hidden="0" customHeight="1">
      <x:c r="A48" s="44" t="str">
        <x:v>2025-12-31</x:v>
      </x:c>
      <x:c r="B48" s="44" t="str">
        <x:v>VN Diamond</x:v>
      </x:c>
      <x:c r="C48" s="110" t="n">
        <x:v>1369.262</x:v>
      </x:c>
      <x:c r="D48" s="44" t="str">
        <x:v>S009</x:v>
      </x:c>
      <x:c r="E48" s="44" t="str">
        <x:v>Assumption</x:v>
      </x:c>
    </x:row>
    <x:row r="49" ht="15" hidden="0" customHeight="1">
      <x:c r="A49" s="44" t="str">
        <x:v>2025-12-31</x:v>
      </x:c>
      <x:c r="B49" s="44" t="str">
        <x:v>Deposit/Bond</x:v>
      </x:c>
      <x:c r="C49" s="110" t="n">
        <x:v>1062.1915061836385</x:v>
      </x:c>
      <x:c r="D49" s="44" t="str">
        <x:v>S009</x:v>
      </x:c>
      <x:c r="E49" s="44" t="str">
        <x:v>Assumption</x:v>
      </x:c>
    </x:row>
    <x:row r="50" ht="15" hidden="0" customHeight="1">
      <x:c r="A50" s="44" t="str">
        <x:v>2026-01-31</x:v>
      </x:c>
      <x:c r="B50" s="44" t="str">
        <x:v>VNINDEX</x:v>
      </x:c>
      <x:c r="C50" s="110" t="n">
        <x:v>1412</x:v>
      </x:c>
      <x:c r="D50" s="44" t="str">
        <x:v>S009</x:v>
      </x:c>
      <x:c r="E50" s="44" t="str">
        <x:v>Assumption</x:v>
      </x:c>
    </x:row>
    <x:row r="51" ht="15" hidden="0" customHeight="1">
      <x:c r="A51" s="44" t="str">
        <x:v>2026-01-31</x:v>
      </x:c>
      <x:c r="B51" s="44" t="str">
        <x:v>VN30</x:v>
      </x:c>
      <x:c r="C51" s="110" t="n">
        <x:v>1407.764</x:v>
      </x:c>
      <x:c r="D51" s="44" t="str">
        <x:v>S009</x:v>
      </x:c>
      <x:c r="E51" s="44" t="str">
        <x:v>Assumption</x:v>
      </x:c>
    </x:row>
    <x:row r="52" ht="15" hidden="0" customHeight="1">
      <x:c r="A52" s="44" t="str">
        <x:v>2026-01-31</x:v>
      </x:c>
      <x:c r="B52" s="44" t="str">
        <x:v>VN Diamond</x:v>
      </x:c>
      <x:c r="C52" s="110" t="n">
        <x:v>1395.056</x:v>
      </x:c>
      <x:c r="D52" s="44" t="str">
        <x:v>S009</x:v>
      </x:c>
      <x:c r="E52" s="44" t="str">
        <x:v>Assumption</x:v>
      </x:c>
    </x:row>
    <x:row r="53" ht="15" hidden="0" customHeight="1">
      <x:c r="A53" s="44" t="str">
        <x:v>2026-01-31</x:v>
      </x:c>
      <x:c r="B53" s="44" t="str">
        <x:v>Deposit/Bond</x:v>
      </x:c>
      <x:c r="C53" s="110" t="n">
        <x:v>1068.0335594676485</x:v>
      </x:c>
      <x:c r="D53" s="44" t="str">
        <x:v>S009</x:v>
      </x:c>
      <x:c r="E53" s="44" t="str">
        <x:v>Assumption</x:v>
      </x:c>
    </x:row>
    <x:row r="54" ht="15" hidden="0" customHeight="1">
      <x:c r="A54" s="44" t="str">
        <x:v>2026-02-28</x:v>
      </x:c>
      <x:c r="B54" s="44" t="str">
        <x:v>VNINDEX</x:v>
      </x:c>
      <x:c r="C54" s="110" t="n">
        <x:v>1381</x:v>
      </x:c>
      <x:c r="D54" s="44" t="str">
        <x:v>S009</x:v>
      </x:c>
      <x:c r="E54" s="44" t="str">
        <x:v>Assumption</x:v>
      </x:c>
    </x:row>
    <x:row r="55" ht="15" hidden="0" customHeight="1">
      <x:c r="A55" s="44" t="str">
        <x:v>2026-02-28</x:v>
      </x:c>
      <x:c r="B55" s="44" t="str">
        <x:v>VN30</x:v>
      </x:c>
      <x:c r="C55" s="110" t="n">
        <x:v>1378.238</x:v>
      </x:c>
      <x:c r="D55" s="44" t="str">
        <x:v>S009</x:v>
      </x:c>
      <x:c r="E55" s="44" t="str">
        <x:v>Assumption</x:v>
      </x:c>
    </x:row>
    <x:row r="56" ht="15" hidden="0" customHeight="1">
      <x:c r="A56" s="44" t="str">
        <x:v>2026-02-28</x:v>
      </x:c>
      <x:c r="B56" s="44" t="str">
        <x:v>VN Diamond</x:v>
      </x:c>
      <x:c r="C56" s="110" t="n">
        <x:v>1366.4995</x:v>
      </x:c>
      <x:c r="D56" s="44" t="str">
        <x:v>S009</x:v>
      </x:c>
      <x:c r="E56" s="44" t="str">
        <x:v>Assumption</x:v>
      </x:c>
    </x:row>
    <x:row r="57" ht="15" hidden="0" customHeight="1">
      <x:c r="A57" s="44" t="str">
        <x:v>2026-02-28</x:v>
      </x:c>
      <x:c r="B57" s="44" t="str">
        <x:v>Deposit/Bond</x:v>
      </x:c>
      <x:c r="C57" s="110" t="n">
        <x:v>1073.9077440447204</x:v>
      </x:c>
      <x:c r="D57" s="44" t="str">
        <x:v>S009</x:v>
      </x:c>
      <x:c r="E57" s="44" t="str">
        <x:v>Assumption</x:v>
      </x:c>
    </x:row>
    <x:row r="58" ht="15" hidden="0" customHeight="1">
      <x:c r="A58" s="44" t="str">
        <x:v>2026-03-31</x:v>
      </x:c>
      <x:c r="B58" s="44" t="str">
        <x:v>VNINDEX</x:v>
      </x:c>
      <x:c r="C58" s="110" t="n">
        <x:v>1395</x:v>
      </x:c>
      <x:c r="D58" s="44" t="str">
        <x:v>S009</x:v>
      </x:c>
      <x:c r="E58" s="44" t="str">
        <x:v>Assumption</x:v>
      </x:c>
    </x:row>
    <x:row r="59" ht="15" hidden="0" customHeight="1">
      <x:c r="A59" s="44" t="str">
        <x:v>2026-03-31</x:v>
      </x:c>
      <x:c r="B59" s="44" t="str">
        <x:v>VN30</x:v>
      </x:c>
      <x:c r="C59" s="110" t="n">
        <x:v>1393.605</x:v>
      </x:c>
      <x:c r="D59" s="44" t="str">
        <x:v>S009</x:v>
      </x:c>
      <x:c r="E59" s="44" t="str">
        <x:v>Assumption</x:v>
      </x:c>
    </x:row>
    <x:row r="60" ht="15" hidden="0" customHeight="1">
      <x:c r="A60" s="44" t="str">
        <x:v>2026-03-31</x:v>
      </x:c>
      <x:c r="B60" s="44" t="str">
        <x:v>VN Diamond</x:v>
      </x:c>
      <x:c r="C60" s="110" t="n">
        <x:v>1382.445</x:v>
      </x:c>
      <x:c r="D60" s="44" t="str">
        <x:v>S009</x:v>
      </x:c>
      <x:c r="E60" s="44" t="str">
        <x:v>Assumption</x:v>
      </x:c>
    </x:row>
    <x:row r="61" ht="15" hidden="0" customHeight="1">
      <x:c r="A61" s="44" t="str">
        <x:v>2026-03-31</x:v>
      </x:c>
      <x:c r="B61" s="44" t="str">
        <x:v>Deposit/Bond</x:v>
      </x:c>
      <x:c r="C61" s="110" t="n">
        <x:v>1079.8142366369666</x:v>
      </x:c>
      <x:c r="D61" s="44" t="str">
        <x:v>S009</x:v>
      </x:c>
      <x:c r="E61" s="44" t="str">
        <x:v>Assumption</x:v>
      </x:c>
    </x:row>
    <x:row r="62" ht="15" hidden="0" customHeight="1">
      <x:c r="A62" s="44" t="str">
        <x:v>2026-04-30</x:v>
      </x:c>
      <x:c r="B62" s="44" t="str">
        <x:v>VNINDEX</x:v>
      </x:c>
      <x:c r="C62" s="110" t="n">
        <x:v>1444</x:v>
      </x:c>
      <x:c r="D62" s="44" t="str">
        <x:v>S009</x:v>
      </x:c>
      <x:c r="E62" s="44" t="str">
        <x:v>Assumption</x:v>
      </x:c>
    </x:row>
    <x:row r="63" ht="15" hidden="0" customHeight="1">
      <x:c r="A63" s="44" t="str">
        <x:v>2026-04-30</x:v>
      </x:c>
      <x:c r="B63" s="44" t="str">
        <x:v>VN30</x:v>
      </x:c>
      <x:c r="C63" s="110" t="n">
        <x:v>1444</x:v>
      </x:c>
      <x:c r="D63" s="44" t="str">
        <x:v>S009</x:v>
      </x:c>
      <x:c r="E63" s="44" t="str">
        <x:v>Assumption</x:v>
      </x:c>
    </x:row>
    <x:row r="64" ht="15" hidden="0" customHeight="1">
      <x:c r="A64" s="44" t="str">
        <x:v>2026-04-30</x:v>
      </x:c>
      <x:c r="B64" s="44" t="str">
        <x:v>VN Diamond</x:v>
      </x:c>
      <x:c r="C64" s="110" t="n">
        <x:v>1433.1699999999998</x:v>
      </x:c>
      <x:c r="D64" s="44" t="str">
        <x:v>S009</x:v>
      </x:c>
      <x:c r="E64" s="44" t="str">
        <x:v>Assumption</x:v>
      </x:c>
    </x:row>
    <x:row r="65" ht="15" hidden="0" customHeight="1">
      <x:c r="A65" s="44" t="str">
        <x:v>2026-04-30</x:v>
      </x:c>
      <x:c r="B65" s="44" t="str">
        <x:v>Deposit/Bond</x:v>
      </x:c>
      <x:c r="C65" s="110" t="n">
        <x:v>1085.75321493847</x:v>
      </x:c>
      <x:c r="D65" s="44" t="str">
        <x:v>S009</x:v>
      </x:c>
      <x:c r="E65" s="44" t="str">
        <x:v>Assumption</x:v>
      </x:c>
    </x:row>
    <x:row r="66" ht="15" hidden="0" customHeight="1">
      <x:c r="A66" s="44" t="str">
        <x:v>2026-05-31</x:v>
      </x:c>
      <x:c r="B66" s="44" t="str">
        <x:v>VNINDEX</x:v>
      </x:c>
      <x:c r="C66" s="110" t="n">
        <x:v>1410</x:v>
      </x:c>
      <x:c r="D66" s="44" t="str">
        <x:v>S009</x:v>
      </x:c>
      <x:c r="E66" s="44" t="str">
        <x:v>Assumption</x:v>
      </x:c>
    </x:row>
    <x:row r="67" ht="15" hidden="0" customHeight="1">
      <x:c r="A67" s="44" t="str">
        <x:v>2026-05-31</x:v>
      </x:c>
      <x:c r="B67" s="44" t="str">
        <x:v>VN30</x:v>
      </x:c>
      <x:c r="C67" s="110" t="n">
        <x:v>1411.4099999999999</x:v>
      </x:c>
      <x:c r="D67" s="44" t="str">
        <x:v>S009</x:v>
      </x:c>
      <x:c r="E67" s="44" t="str">
        <x:v>Assumption</x:v>
      </x:c>
    </x:row>
    <x:row r="68" ht="15" hidden="0" customHeight="1">
      <x:c r="A68" s="44" t="str">
        <x:v>2026-05-31</x:v>
      </x:c>
      <x:c r="B68" s="44" t="str">
        <x:v>VN Diamond</x:v>
      </x:c>
      <x:c r="C68" s="110" t="n">
        <x:v>1401.54</x:v>
      </x:c>
      <x:c r="D68" s="44" t="str">
        <x:v>S009</x:v>
      </x:c>
      <x:c r="E68" s="44" t="str">
        <x:v>Assumption</x:v>
      </x:c>
    </x:row>
    <x:row r="69" ht="15" hidden="0" customHeight="1">
      <x:c r="A69" s="44" t="str">
        <x:v>2026-05-31</x:v>
      </x:c>
      <x:c r="B69" s="44" t="str">
        <x:v>Deposit/Bond</x:v>
      </x:c>
      <x:c r="C69" s="110" t="n">
        <x:v>1091.7248576206316</x:v>
      </x:c>
      <x:c r="D69" s="44" t="str">
        <x:v>S009</x:v>
      </x:c>
      <x:c r="E69" s="44" t="str">
        <x:v>Assumption</x:v>
      </x:c>
    </x:row>
    <x:row r="70" ht="15" hidden="0" customHeight="1">
      <x:c r="A70" s="44" t="str">
        <x:v>2026-06-30</x:v>
      </x:c>
      <x:c r="B70" s="44" t="str">
        <x:v>VNINDEX</x:v>
      </x:c>
      <x:c r="C70" s="110" t="n">
        <x:v>1472</x:v>
      </x:c>
      <x:c r="D70" s="44" t="str">
        <x:v>S009</x:v>
      </x:c>
      <x:c r="E70" s="44" t="str">
        <x:v>Assumption</x:v>
      </x:c>
    </x:row>
    <x:row r="71" ht="15" hidden="0" customHeight="1">
      <x:c r="A71" s="44" t="str">
        <x:v>2026-06-30</x:v>
      </x:c>
      <x:c r="B71" s="44" t="str">
        <x:v>VN30</x:v>
      </x:c>
      <x:c r="C71" s="110" t="n">
        <x:v>1474.944</x:v>
      </x:c>
      <x:c r="D71" s="44" t="str">
        <x:v>S009</x:v>
      </x:c>
      <x:c r="E71" s="44" t="str">
        <x:v>Assumption</x:v>
      </x:c>
    </x:row>
    <x:row r="72" ht="15" hidden="0" customHeight="1">
      <x:c r="A72" s="44" t="str">
        <x:v>2026-06-30</x:v>
      </x:c>
      <x:c r="B72" s="44" t="str">
        <x:v>VN Diamond</x:v>
      </x:c>
      <x:c r="C72" s="110" t="n">
        <x:v>1465.376</x:v>
      </x:c>
      <x:c r="D72" s="44" t="str">
        <x:v>S009</x:v>
      </x:c>
      <x:c r="E72" s="44" t="str">
        <x:v>Assumption</x:v>
      </x:c>
    </x:row>
    <x:row r="73" ht="15" hidden="0" customHeight="1">
      <x:c r="A73" s="44" t="str">
        <x:v>2026-06-30</x:v>
      </x:c>
      <x:c r="B73" s="44" t="str">
        <x:v>Deposit/Bond</x:v>
      </x:c>
      <x:c r="C73" s="110" t="n">
        <x:v>1097.7293443375452</x:v>
      </x:c>
      <x:c r="D73" s="44" t="str">
        <x:v>S009</x:v>
      </x:c>
      <x:c r="E73" s="44" t="str">
        <x:v>Assumption</x:v>
      </x:c>
    </x:row>
    <x:row r="74" ht="15" hidden="0" customHeight="1">
      <x:c r="A74" s="44" t="str">
        <x:v>2026-07-31</x:v>
      </x:c>
      <x:c r="B74" s="44" t="str">
        <x:v>VNINDEX</x:v>
      </x:c>
      <x:c r="C74" s="110" t="n">
        <x:v>1501</x:v>
      </x:c>
      <x:c r="D74" s="44" t="str">
        <x:v>S009</x:v>
      </x:c>
      <x:c r="E74" s="44" t="str">
        <x:v>Assumption</x:v>
      </x:c>
    </x:row>
    <x:row r="75" ht="15" hidden="0" customHeight="1">
      <x:c r="A75" s="44" t="str">
        <x:v>2026-07-31</x:v>
      </x:c>
      <x:c r="B75" s="44" t="str">
        <x:v>VN30</x:v>
      </x:c>
      <x:c r="C75" s="110" t="n">
        <x:v>1505.503</x:v>
      </x:c>
      <x:c r="D75" s="44" t="str">
        <x:v>S009</x:v>
      </x:c>
      <x:c r="E75" s="44" t="str">
        <x:v>Assumption</x:v>
      </x:c>
    </x:row>
    <x:row r="76" ht="15" hidden="0" customHeight="1">
      <x:c r="A76" s="44" t="str">
        <x:v>2026-07-31</x:v>
      </x:c>
      <x:c r="B76" s="44" t="str">
        <x:v>VN Diamond</x:v>
      </x:c>
      <x:c r="C76" s="110" t="n">
        <x:v>1496.497</x:v>
      </x:c>
      <x:c r="D76" s="44" t="str">
        <x:v>S009</x:v>
      </x:c>
      <x:c r="E76" s="44" t="str">
        <x:v>Assumption</x:v>
      </x:c>
    </x:row>
    <x:row r="77" ht="15" hidden="0" customHeight="1">
      <x:c r="A77" s="44" t="str">
        <x:v>2026-07-31</x:v>
      </x:c>
      <x:c r="B77" s="44" t="str">
        <x:v>Deposit/Bond</x:v>
      </x:c>
      <x:c r="C77" s="110" t="n">
        <x:v>1103.7668557314018</x:v>
      </x:c>
      <x:c r="D77" s="44" t="str">
        <x:v>S009</x:v>
      </x:c>
      <x:c r="E77" s="44" t="str">
        <x:v>Assumption</x:v>
      </x:c>
    </x:row>
  </x:sheetData>
  <x:pageMargins left="0.7" right="0.7" top="0.75" bottom="0.75" header="0.3" footer="0.3"/>
  <x:tableParts count="1">
    <x:tablePart xmlns:r="http://schemas.openxmlformats.org/officeDocument/2006/relationships" r:id="R6a6805e8c3d94a8a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7" hidden="0" customWidth="1"/>
    <x:col min="3" max="3" width="18" hidden="0" customWidth="1"/>
    <x:col min="4" max="4" width="16" hidden="0" customWidth="1"/>
    <x:col min="5" max="5" width="16" hidden="0" customWidth="1"/>
    <x:col min="6" max="6" width="18" hidden="0" customWidth="1"/>
    <x:col min="7" max="7" width="14" hidden="0" customWidth="1"/>
    <x:col min="8" max="8" width="22" hidden="0" customWidth="1"/>
    <x:col min="9" max="9" width="22" hidden="0" customWidth="1"/>
    <x:col min="10" max="10" width="22" hidden="0" customWidth="1"/>
    <x:col min="11" max="11" width="18" hidden="0" customWidth="1"/>
    <x:col min="12" max="12" width="16" hidden="0" customWidth="1"/>
    <x:col min="13" max="13" width="22" hidden="0" customWidth="1"/>
    <x:col min="14" max="14" width="62" hidden="0" customWidth="1"/>
  </x:cols>
  <x:sheetData>
    <x:row r="1" ht="24" hidden="0" customHeight="1">
      <x:c r="A1" s="109" t="str">
        <x:v>Data_Domain</x:v>
      </x:c>
      <x:c r="B1" s="109" t="str">
        <x:v>Required_Fields</x:v>
      </x:c>
      <x:c r="C1" s="109" t="str">
        <x:v>Populated_Fields</x:v>
      </x:c>
      <x:c r="D1" s="109" t="str">
        <x:v>Verified_Fields</x:v>
      </x:c>
      <x:c r="E1" s="109" t="str">
        <x:v>Source_Type</x:v>
      </x:c>
      <x:c r="F1" s="109" t="str">
        <x:v>Source_Risk_1_3</x:v>
      </x:c>
      <x:c r="G1" s="109" t="str">
        <x:v>Last_Update</x:v>
      </x:c>
      <x:c r="H1" s="109" t="str">
        <x:v>Freshness_Target_Days</x:v>
      </x:c>
      <x:c r="I1" s="109" t="str">
        <x:v>Completeness_Weight</x:v>
      </x:c>
      <x:c r="J1" s="109" t="str">
        <x:v>Verification_Weight</x:v>
      </x:c>
      <x:c r="K1" s="109" t="str">
        <x:v>Freshness_Weight</x:v>
      </x:c>
      <x:c r="L1" s="109" t="str">
        <x:v>Quality_Score</x:v>
      </x:c>
      <x:c r="M1" s="109" t="str">
        <x:v>Owner</x:v>
      </x:c>
      <x:c r="N1" s="109" t="str">
        <x:v>Next_Action</x:v>
      </x:c>
    </x:row>
    <x:row r="2" ht="15" hidden="0" customHeight="1">
      <x:c r="A2" s="44" t="str">
        <x:v>Company profile</x:v>
      </x:c>
      <x:c r="B2" s="44" t="n">
        <x:v>8</x:v>
      </x:c>
      <x:c r="C2" s="44" t="n">
        <x:v>8</x:v>
      </x:c>
      <x:c r="D2" s="44" t="n">
        <x:v>8</x:v>
      </x:c>
      <x:c r="E2" s="44" t="str">
        <x:v>Public</x:v>
      </x:c>
      <x:c r="F2" s="44" t="n">
        <x:v>1</x:v>
      </x:c>
      <x:c r="G2" s="111" t="n">
        <x:v>46022</x:v>
      </x:c>
      <x:c r="H2" s="44" t="n">
        <x:v>7</x:v>
      </x:c>
      <x:c r="I2" s="44" t="n">
        <x:v>20</x:v>
      </x:c>
      <x:c r="J2" s="44" t="n">
        <x:v>20</x:v>
      </x:c>
      <x:c r="K2" s="44" t="n">
        <x:v>10</x:v>
      </x:c>
      <x:c r="L2" s="77" t="n">
        <x:f>MIN(100,(C2/B2)*I2+(D2/B2)*J2+IF(TODAY()-G2&lt;=H2,K2,MAX(0,K2*(1-(TODAY()-G2-H2)/365)))+(100-I2-J2-K2)*(4-F2)/3)</x:f>
        <x:v>94.24657534722222</x:v>
      </x:c>
      <x:c r="M2" s="44" t="str">
        <x:v>Company Secretary</x:v>
      </x:c>
      <x:c r="N2" s="44" t="str">
        <x:v>Verify latest corporate disclosures</x:v>
      </x:c>
    </x:row>
    <x:row r="3" ht="15" hidden="0" customHeight="1">
      <x:c r="A3" s="44" t="str">
        <x:v>Fund master</x:v>
      </x:c>
      <x:c r="B3" s="44" t="n">
        <x:v>6</x:v>
      </x:c>
      <x:c r="C3" s="44" t="n">
        <x:v>6</x:v>
      </x:c>
      <x:c r="D3" s="44" t="n">
        <x:v>4</x:v>
      </x:c>
      <x:c r="E3" s="44" t="str">
        <x:v>Mixed</x:v>
      </x:c>
      <x:c r="F3" s="44" t="n">
        <x:v>2</x:v>
      </x:c>
      <x:c r="G3" s="111" t="n">
        <x:v>46234</x:v>
      </x:c>
      <x:c r="H3" s="44" t="n">
        <x:v>7</x:v>
      </x:c>
      <x:c r="I3" s="44" t="n">
        <x:v>15</x:v>
      </x:c>
      <x:c r="J3" s="44" t="n">
        <x:v>15</x:v>
      </x:c>
      <x:c r="K3" s="44" t="n">
        <x:v>10</x:v>
      </x:c>
      <x:c r="L3" s="77" t="n">
        <x:f>MIN(100,(C3/B3)*I3+(D3/B3)*J3+IF(TODAY()-G3&lt;=H3,K3,MAX(0,K3*(1-(TODAY()-G3-H3)/365)))+(100-I3-J3-K3)*(4-F3)/3)</x:f>
        <x:v>75</x:v>
      </x:c>
      <x:c r="M3" s="44" t="str">
        <x:v>Product</x:v>
      </x:c>
      <x:c r="N3" s="44" t="str">
        <x:v>Confirm fee schedules and benchmark mandates</x:v>
      </x:c>
    </x:row>
    <x:row r="4" ht="15" hidden="0" customHeight="1">
      <x:c r="A4" s="44" t="str">
        <x:v>NAV history</x:v>
      </x:c>
      <x:c r="B4" s="44" t="n">
        <x:v>114</x:v>
      </x:c>
      <x:c r="C4" s="44" t="n">
        <x:v>114</x:v>
      </x:c>
      <x:c r="D4" s="44" t="n">
        <x:v>0</x:v>
      </x:c>
      <x:c r="E4" s="44" t="str">
        <x:v>Assumption</x:v>
      </x:c>
      <x:c r="F4" s="44" t="n">
        <x:v>3</x:v>
      </x:c>
      <x:c r="G4" s="111" t="n">
        <x:v>46234</x:v>
      </x:c>
      <x:c r="H4" s="44" t="n">
        <x:v>7</x:v>
      </x:c>
      <x:c r="I4" s="44" t="n">
        <x:v>20</x:v>
      </x:c>
      <x:c r="J4" s="44" t="n">
        <x:v>0</x:v>
      </x:c>
      <x:c r="K4" s="44" t="n">
        <x:v>10</x:v>
      </x:c>
      <x:c r="L4" s="77" t="n">
        <x:f>MIN(100,(C4/B4)*I4+(D4/B4)*J4+IF(TODAY()-G4&lt;=H4,K4,MAX(0,K4*(1-(TODAY()-G4-H4)/365)))+(100-I4-J4-K4)*(4-F4)/3)</x:f>
        <x:v>53.333333333333336</x:v>
      </x:c>
      <x:c r="M4" s="44" t="str">
        <x:v>Investment Ops</x:v>
      </x:c>
      <x:c r="N4" s="44" t="str">
        <x:v>Replace assumptions with official NAV history</x:v>
      </x:c>
    </x:row>
    <x:row r="5" ht="15" hidden="0" customHeight="1">
      <x:c r="A5" s="44" t="str">
        <x:v>AUM and flows</x:v>
      </x:c>
      <x:c r="B5" s="44" t="n">
        <x:v>228</x:v>
      </x:c>
      <x:c r="C5" s="44" t="n">
        <x:v>228</x:v>
      </x:c>
      <x:c r="D5" s="44" t="n">
        <x:v>0</x:v>
      </x:c>
      <x:c r="E5" s="44" t="str">
        <x:v>Assumption</x:v>
      </x:c>
      <x:c r="F5" s="44" t="n">
        <x:v>3</x:v>
      </x:c>
      <x:c r="G5" s="111" t="n">
        <x:v>46234</x:v>
      </x:c>
      <x:c r="H5" s="44" t="n">
        <x:v>7</x:v>
      </x:c>
      <x:c r="I5" s="44" t="n">
        <x:v>20</x:v>
      </x:c>
      <x:c r="J5" s="44" t="n">
        <x:v>0</x:v>
      </x:c>
      <x:c r="K5" s="44" t="n">
        <x:v>10</x:v>
      </x:c>
      <x:c r="L5" s="77" t="n">
        <x:f>MIN(100,(C5/B5)*I5+(D5/B5)*J5+IF(TODAY()-G5&lt;=H5,K5,MAX(0,K5*(1-(TODAY()-G5-H5)/365)))+(100-I5-J5-K5)*(4-F5)/3)</x:f>
        <x:v>53.333333333333336</x:v>
      </x:c>
      <x:c r="M5" s="44" t="str">
        <x:v>Finance / Distribution</x:v>
      </x:c>
      <x:c r="N5" s="44" t="str">
        <x:v>Load verified monthly AUM and subscriptions/redemptions</x:v>
      </x:c>
    </x:row>
    <x:row r="6" ht="15" hidden="0" customHeight="1">
      <x:c r="A6" s="44" t="str">
        <x:v>Portfolio</x:v>
      </x:c>
      <x:c r="B6" s="44" t="n">
        <x:v>65</x:v>
      </x:c>
      <x:c r="C6" s="44" t="n">
        <x:v>65</x:v>
      </x:c>
      <x:c r="D6" s="44" t="n">
        <x:v>0</x:v>
      </x:c>
      <x:c r="E6" s="44" t="str">
        <x:v>Assumption</x:v>
      </x:c>
      <x:c r="F6" s="44" t="n">
        <x:v>3</x:v>
      </x:c>
      <x:c r="G6" s="111" t="n">
        <x:v>46234</x:v>
      </x:c>
      <x:c r="H6" s="44" t="n">
        <x:v>7</x:v>
      </x:c>
      <x:c r="I6" s="44" t="n">
        <x:v>15</x:v>
      </x:c>
      <x:c r="J6" s="44" t="n">
        <x:v>0</x:v>
      </x:c>
      <x:c r="K6" s="44" t="n">
        <x:v>10</x:v>
      </x:c>
      <x:c r="L6" s="77" t="n">
        <x:f>MIN(100,(C6/B6)*I6+(D6/B6)*J6+IF(TODAY()-G6&lt;=H6,K6,MAX(0,K6*(1-(TODAY()-G6-H6)/365)))+(100-I6-J6-K6)*(4-F6)/3)</x:f>
        <x:v>50</x:v>
      </x:c>
      <x:c r="M6" s="44" t="str">
        <x:v>Investment Ops</x:v>
      </x:c>
      <x:c r="N6" s="44" t="str">
        <x:v>Load actual holdings and benchmark weights</x:v>
      </x:c>
    </x:row>
    <x:row r="7" ht="15" hidden="0" customHeight="1">
      <x:c r="A7" s="44" t="str">
        <x:v>Financials</x:v>
      </x:c>
      <x:c r="B7" s="44" t="n">
        <x:v>4</x:v>
      </x:c>
      <x:c r="C7" s="44" t="n">
        <x:v>4</x:v>
      </x:c>
      <x:c r="D7" s="44" t="n">
        <x:v>0</x:v>
      </x:c>
      <x:c r="E7" s="44" t="str">
        <x:v>Assumption</x:v>
      </x:c>
      <x:c r="F7" s="44" t="n">
        <x:v>3</x:v>
      </x:c>
      <x:c r="G7" s="111" t="n">
        <x:v>46387</x:v>
      </x:c>
      <x:c r="H7" s="44" t="n">
        <x:v>7</x:v>
      </x:c>
      <x:c r="I7" s="44" t="n">
        <x:v>15</x:v>
      </x:c>
      <x:c r="J7" s="44" t="n">
        <x:v>0</x:v>
      </x:c>
      <x:c r="K7" s="44" t="n">
        <x:v>10</x:v>
      </x:c>
      <x:c r="L7" s="77" t="n">
        <x:f>MIN(100,(C7/B7)*I7+(D7/B7)*J7+IF(TODAY()-G7&lt;=H7,K7,MAX(0,K7*(1-(TODAY()-G7-H7)/365)))+(100-I7-J7-K7)*(4-F7)/3)</x:f>
        <x:v>50</x:v>
      </x:c>
      <x:c r="M7" s="44" t="str">
        <x:v>Finance</x:v>
      </x:c>
      <x:c r="N7" s="44" t="str">
        <x:v>Replace with audited/management accounts</x:v>
      </x:c>
    </x:row>
    <x:row r="8" ht="15" hidden="0" customHeight="1">
      <x:c r="A8" s="44" t="str">
        <x:v>Ownership &amp; governance</x:v>
      </x:c>
      <x:c r="B8" s="44" t="n">
        <x:v>10</x:v>
      </x:c>
      <x:c r="C8" s="44" t="n">
        <x:v>10</x:v>
      </x:c>
      <x:c r="D8" s="44" t="n">
        <x:v>2</x:v>
      </x:c>
      <x:c r="E8" s="44" t="str">
        <x:v>Mixed</x:v>
      </x:c>
      <x:c r="F8" s="44" t="n">
        <x:v>2</x:v>
      </x:c>
      <x:c r="G8" s="111" t="n">
        <x:v>46227</x:v>
      </x:c>
      <x:c r="H8" s="44" t="n">
        <x:v>7</x:v>
      </x:c>
      <x:c r="I8" s="44" t="n">
        <x:v>15</x:v>
      </x:c>
      <x:c r="J8" s="44" t="n">
        <x:v>5</x:v>
      </x:c>
      <x:c r="K8" s="44" t="n">
        <x:v>10</x:v>
      </x:c>
      <x:c r="L8" s="77" t="n">
        <x:f>MIN(100,(C8/B8)*I8+(D8/B8)*J8+IF(TODAY()-G8&lt;=H8,K8,MAX(0,K8*(1-(TODAY()-G8-H8)/365)))+(100-I8-J8-K8)*(4-F8)/3)</x:f>
        <x:v>72.52968037037037</x:v>
      </x:c>
      <x:c r="M8" s="44" t="str">
        <x:v>Board Secretary</x:v>
      </x:c>
      <x:c r="N8" s="44" t="str">
        <x:v>Reconcile governance report and shareholder register</x:v>
      </x:c>
    </x:row>
    <x:row r="9" ht="15" hidden="0" customHeight="1">
      <x:c r="A9" s="44" t="str">
        <x:v>M&amp;A evidence</x:v>
      </x:c>
      <x:c r="B9" s="44" t="n">
        <x:v>6</x:v>
      </x:c>
      <x:c r="C9" s="44" t="n">
        <x:v>6</x:v>
      </x:c>
      <x:c r="D9" s="44" t="n">
        <x:v>2</x:v>
      </x:c>
      <x:c r="E9" s="44" t="str">
        <x:v>Mixed</x:v>
      </x:c>
      <x:c r="F9" s="44" t="n">
        <x:v>2</x:v>
      </x:c>
      <x:c r="G9" s="111" t="n">
        <x:v>46234</x:v>
      </x:c>
      <x:c r="H9" s="44" t="n">
        <x:v>7</x:v>
      </x:c>
      <x:c r="I9" s="44" t="n">
        <x:v>15</x:v>
      </x:c>
      <x:c r="J9" s="44" t="n">
        <x:v>5</x:v>
      </x:c>
      <x:c r="K9" s="44" t="n">
        <x:v>10</x:v>
      </x:c>
      <x:c r="L9" s="77" t="n">
        <x:f>MIN(100,(C9/B9)*I9+(D9/B9)*J9+IF(TODAY()-G9&lt;=H9,K9,MAX(0,K9*(1-(TODAY()-G9-H9)/365)))+(100-I9-J9-K9)*(4-F9)/3)</x:f>
        <x:v>73.33333333333333</x:v>
      </x:c>
      <x:c r="M9" s="44" t="str">
        <x:v>Strategy</x:v>
      </x:c>
      <x:c r="N9" s="44" t="str">
        <x:v>Close unresolved evidence gaps</x:v>
      </x:c>
    </x:row>
  </x:sheetData>
  <x:conditionalFormatting sqref="L2:L9">
    <x:cfRule type="colorScale" priority="1">
      <x:colorScale>
        <x:cfvo type="min"/>
        <x:cfvo type="percentile" val="50"/>
        <x:cfvo type="max"/>
        <x:color rgb="FFFCA5A5"/>
        <x:color rgb="FFFDE68A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374084a14964749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23" hidden="0" customWidth="1"/>
    <x:col min="4" max="4" width="20" hidden="0" customWidth="1"/>
    <x:col min="5" max="5" width="20" hidden="0" customWidth="1"/>
    <x:col min="6" max="6" width="21" hidden="0" customWidth="1"/>
    <x:col min="7" max="7" width="22" hidden="0" customWidth="1"/>
    <x:col min="8" max="8" width="16" hidden="0" customWidth="1"/>
    <x:col min="9" max="9" width="18" hidden="0" customWidth="1"/>
    <x:col min="10" max="10" width="20" hidden="0" customWidth="1"/>
    <x:col min="11" max="11" width="20" hidden="0" customWidth="1"/>
    <x:col min="12" max="12" width="16" hidden="0" customWidth="1"/>
    <x:col min="13" max="13" width="20" hidden="0" customWidth="1"/>
    <x:col min="14" max="14" width="17" hidden="0" customWidth="1"/>
    <x:col min="15" max="15" width="12" hidden="0" customWidth="1"/>
    <x:col min="16" max="16" width="18" hidden="0" customWidth="1"/>
  </x:cols>
  <x:sheetData>
    <x:row r="1" ht="24" hidden="0" customHeight="1">
      <x:c r="A1" s="109" t="str">
        <x:v>Year</x:v>
      </x:c>
      <x:c r="B1" s="109" t="str">
        <x:v>Period_Type</x:v>
      </x:c>
      <x:c r="C1" s="109" t="str">
        <x:v>Beginning_AUM_VND_bn</x:v>
      </x:c>
      <x:c r="D1" s="109" t="str">
        <x:v>Net_Flow_VND_bn</x:v>
      </x:c>
      <x:c r="E1" s="109" t="str">
        <x:v>Market_Return_Pct</x:v>
      </x:c>
      <x:c r="F1" s="109" t="str">
        <x:v>Ending_AUM_VND_bn</x:v>
      </x:c>
      <x:c r="G1" s="109" t="str">
        <x:v>Average_AUM_VND_bn</x:v>
      </x:c>
      <x:c r="H1" s="109" t="str">
        <x:v>Fee_Yield_Pct</x:v>
      </x:c>
      <x:c r="I1" s="109" t="str">
        <x:v>Revenue_VND_bn</x:v>
      </x:c>
      <x:c r="J1" s="109" t="str">
        <x:v>Personnel_VND_bn</x:v>
      </x:c>
      <x:c r="K1" s="109" t="str">
        <x:v>Other_Opex_VND_bn</x:v>
      </x:c>
      <x:c r="L1" s="109" t="str">
        <x:v>PBT_VND_bn</x:v>
      </x:c>
      <x:c r="M1" s="109" t="str">
        <x:v>Effective_Tax_Pct</x:v>
      </x:c>
      <x:c r="N1" s="109" t="str">
        <x:v>NPAT_VND_bn</x:v>
      </x:c>
      <x:c r="O1" s="109" t="str">
        <x:v>Source_ID</x:v>
      </x:c>
      <x:c r="P1" s="109" t="str">
        <x:v>Status</x:v>
      </x:c>
    </x:row>
    <x:row r="2" ht="15" hidden="0" customHeight="1">
      <x:c r="A2" s="44" t="n">
        <x:v>2025</x:v>
      </x:c>
      <x:c r="B2" s="44" t="str">
        <x:v>Actual</x:v>
      </x:c>
      <x:c r="C2" s="113" t="n">
        <x:v>140000</x:v>
      </x:c>
      <x:c r="D2" s="113" t="n">
        <x:v>0</x:v>
      </x:c>
      <x:c r="E2" s="78" t="n">
        <x:v>0</x:v>
      </x:c>
      <x:c r="F2" s="113" t="n">
        <x:v>140000</x:v>
      </x:c>
      <x:c r="G2" s="113" t="n">
        <x:v>140000</x:v>
      </x:c>
      <x:c r="H2" s="76" t="n">
        <x:v>0.00886</x:v>
      </x:c>
      <x:c r="I2" s="113" t="n">
        <x:v>1240</x:v>
      </x:c>
      <x:c r="J2" s="113" t="n">
        <x:v>410</x:v>
      </x:c>
      <x:c r="K2" s="113" t="n">
        <x:v>425</x:v>
      </x:c>
      <x:c r="L2" s="113" t="n">
        <x:v>405</x:v>
      </x:c>
      <x:c r="M2" s="78" t="n">
        <x:v>0.185</x:v>
      </x:c>
      <x:c r="N2" s="113" t="n">
        <x:v>330</x:v>
      </x:c>
      <x:c r="O2" s="44" t="str">
        <x:v>S004</x:v>
      </x:c>
      <x:c r="P2" s="44" t="str">
        <x:v>Assumption</x:v>
      </x:c>
    </x:row>
    <x:row r="3" ht="15" hidden="0" customHeight="1">
      <x:c r="A3" s="44" t="n">
        <x:v>2026</x:v>
      </x:c>
      <x:c r="B3" s="44" t="str">
        <x:v>Forecast</x:v>
      </x:c>
      <x:c r="C3" s="113" t="n">
        <x:f>F2</x:f>
        <x:v>140000</x:v>
      </x:c>
      <x:c r="D3" s="114" t="n">
        <x:v>3000</x:v>
      </x:c>
      <x:c r="E3" s="75" t="n">
        <x:v>0.06</x:v>
      </x:c>
      <x:c r="F3" s="113" t="n">
        <x:f>C3*(1+E3)+D3</x:f>
        <x:v>151400</x:v>
      </x:c>
      <x:c r="G3" s="113" t="n">
        <x:f>(C3+F3)/2</x:f>
        <x:v>145700</x:v>
      </x:c>
      <x:c r="H3" s="112" t="n">
        <x:v>0.00855</x:v>
      </x:c>
      <x:c r="I3" s="113" t="n">
        <x:f>G3*H3</x:f>
        <x:v>1245.7350000000001</x:v>
      </x:c>
      <x:c r="J3" s="114" t="n">
        <x:v>455</x:v>
      </x:c>
      <x:c r="K3" s="114" t="n">
        <x:v>360</x:v>
      </x:c>
      <x:c r="L3" s="113" t="n">
        <x:f>I3-J3-K3</x:f>
        <x:v>430.7350000000001</x:v>
      </x:c>
      <x:c r="M3" s="75" t="n">
        <x:v>0.14</x:v>
      </x:c>
      <x:c r="N3" s="113" t="n">
        <x:f>L3*(1-M3)</x:f>
        <x:v>370.4321000000001</x:v>
      </x:c>
      <x:c r="O3" s="44" t="str">
        <x:v>S010</x:v>
      </x:c>
      <x:c r="P3" s="44" t="str">
        <x:v>Assumption</x:v>
      </x:c>
    </x:row>
    <x:row r="4" ht="15" hidden="0" customHeight="1">
      <x:c r="A4" s="44" t="n">
        <x:v>2027</x:v>
      </x:c>
      <x:c r="B4" s="44" t="str">
        <x:v>Forecast</x:v>
      </x:c>
      <x:c r="C4" s="113" t="n">
        <x:f>F3</x:f>
        <x:v>151400</x:v>
      </x:c>
      <x:c r="D4" s="114" t="n">
        <x:v>5000</x:v>
      </x:c>
      <x:c r="E4" s="75" t="n">
        <x:v>0.08</x:v>
      </x:c>
      <x:c r="F4" s="113" t="n">
        <x:f>C4*(1+E4)+D4</x:f>
        <x:v>168512</x:v>
      </x:c>
      <x:c r="G4" s="113" t="n">
        <x:f>(C4+F4)/2</x:f>
        <x:v>159956</x:v>
      </x:c>
      <x:c r="H4" s="112" t="n">
        <x:v>0.00835</x:v>
      </x:c>
      <x:c r="I4" s="113" t="n">
        <x:f>G4*H4</x:f>
        <x:v>1335.6326</x:v>
      </x:c>
      <x:c r="J4" s="114" t="n">
        <x:v>490</x:v>
      </x:c>
      <x:c r="K4" s="114" t="n">
        <x:v>390</x:v>
      </x:c>
      <x:c r="L4" s="113" t="n">
        <x:f>I4-J4-K4</x:f>
        <x:v>455.6325999999999</x:v>
      </x:c>
      <x:c r="M4" s="75" t="n">
        <x:v>0.14</x:v>
      </x:c>
      <x:c r="N4" s="113" t="n">
        <x:f>L4*(1-M4)</x:f>
        <x:v>391.8440359999999</x:v>
      </x:c>
      <x:c r="O4" s="44" t="str">
        <x:v>S010</x:v>
      </x:c>
      <x:c r="P4" s="44" t="str">
        <x:v>Assumption</x:v>
      </x:c>
    </x:row>
    <x:row r="5" ht="15" hidden="0" customHeight="1">
      <x:c r="A5" s="44" t="n">
        <x:v>2028</x:v>
      </x:c>
      <x:c r="B5" s="44" t="str">
        <x:v>Forecast</x:v>
      </x:c>
      <x:c r="C5" s="113" t="n">
        <x:f>F4</x:f>
        <x:v>168512</x:v>
      </x:c>
      <x:c r="D5" s="114" t="n">
        <x:v>6500</x:v>
      </x:c>
      <x:c r="E5" s="75" t="n">
        <x:v>0.07</x:v>
      </x:c>
      <x:c r="F5" s="113" t="n">
        <x:f>C5*(1+E5)+D5</x:f>
        <x:v>186807.84</x:v>
      </x:c>
      <x:c r="G5" s="113" t="n">
        <x:f>(C5+F5)/2</x:f>
        <x:v>177659.91999999998</x:v>
      </x:c>
      <x:c r="H5" s="112" t="n">
        <x:v>0.0082</x:v>
      </x:c>
      <x:c r="I5" s="113" t="n">
        <x:f>G5*H5</x:f>
        <x:v>1456.811344</x:v>
      </x:c>
      <x:c r="J5" s="114" t="n">
        <x:v>525</x:v>
      </x:c>
      <x:c r="K5" s="114" t="n">
        <x:v>420</x:v>
      </x:c>
      <x:c r="L5" s="113" t="n">
        <x:f>I5-J5-K5</x:f>
        <x:v>511.81134399999996</x:v>
      </x:c>
      <x:c r="M5" s="75" t="n">
        <x:v>0.14</x:v>
      </x:c>
      <x:c r="N5" s="113" t="n">
        <x:f>L5*(1-M5)</x:f>
        <x:v>440.15775583999994</x:v>
      </x:c>
      <x:c r="O5" s="44" t="str">
        <x:v>S010</x:v>
      </x:c>
      <x:c r="P5" s="44" t="str">
        <x:v>Assumption</x:v>
      </x:c>
    </x:row>
    <x:row r="6" ht="15" hidden="0" customHeight="1">
      <x:c r="A6" s="44" t="n">
        <x:v>2029</x:v>
      </x:c>
      <x:c r="B6" s="44" t="str">
        <x:v>Forecast</x:v>
      </x:c>
      <x:c r="C6" s="113" t="n">
        <x:f>F5</x:f>
        <x:v>186807.84</x:v>
      </x:c>
      <x:c r="D6" s="114" t="n">
        <x:v>8000</x:v>
      </x:c>
      <x:c r="E6" s="75" t="n">
        <x:v>0.06</x:v>
      </x:c>
      <x:c r="F6" s="113" t="n">
        <x:f>C6*(1+E6)+D6</x:f>
        <x:v>206016.31040000002</x:v>
      </x:c>
      <x:c r="G6" s="113" t="n">
        <x:f>(C6+F6)/2</x:f>
        <x:v>196412.07520000002</x:v>
      </x:c>
      <x:c r="H6" s="112" t="n">
        <x:v>0.0081</x:v>
      </x:c>
      <x:c r="I6" s="113" t="n">
        <x:f>G6*H6</x:f>
        <x:v>1590.93780912</x:v>
      </x:c>
      <x:c r="J6" s="114" t="n">
        <x:v>560</x:v>
      </x:c>
      <x:c r="K6" s="114" t="n">
        <x:v>450</x:v>
      </x:c>
      <x:c r="L6" s="113" t="n">
        <x:f>I6-J6-K6</x:f>
        <x:v>580.9378091200001</x:v>
      </x:c>
      <x:c r="M6" s="75" t="n">
        <x:v>0.14</x:v>
      </x:c>
      <x:c r="N6" s="113" t="n">
        <x:f>L6*(1-M6)</x:f>
        <x:v>499.6065158432001</x:v>
      </x:c>
      <x:c r="O6" s="44" t="str">
        <x:v>S010</x:v>
      </x:c>
      <x:c r="P6" s="44" t="str">
        <x:v>Assumption</x:v>
      </x:c>
    </x:row>
  </x:sheetData>
  <x:pageMargins left="0.7" right="0.7" top="0.75" bottom="0.75" header="0.3" footer="0.3"/>
  <x:tableParts count="1">
    <x:tablePart xmlns:r="http://schemas.openxmlformats.org/officeDocument/2006/relationships" r:id="Rb8eb3e83cde846f8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64" hidden="0" customWidth="1"/>
    <x:col min="5" max="5" width="24" hidden="0" customWidth="1"/>
    <x:col min="6" max="6" width="14" hidden="0" customWidth="1"/>
    <x:col min="7" max="7" width="14" hidden="0" customWidth="1"/>
    <x:col min="8" max="8" width="16" hidden="0" customWidth="1"/>
    <x:col min="9" max="9" width="16" hidden="0" customWidth="1"/>
    <x:col min="10" max="10" width="42" hidden="0" customWidth="1"/>
    <x:col min="11" max="11" width="38" hidden="0" customWidth="1"/>
    <x:col min="12" max="12" width="14" hidden="0" customWidth="1"/>
    <x:col min="13" max="13" width="42" hidden="0" customWidth="1"/>
  </x:cols>
  <x:sheetData>
    <x:row r="1" ht="24" hidden="0" customHeight="1">
      <x:c r="A1" s="109" t="str">
        <x:v>Action_ID</x:v>
      </x:c>
      <x:c r="B1" s="109" t="str">
        <x:v>Priority</x:v>
      </x:c>
      <x:c r="C1" s="109" t="str">
        <x:v>Domain</x:v>
      </x:c>
      <x:c r="D1" s="109" t="str">
        <x:v>Recommendation</x:v>
      </x:c>
      <x:c r="E1" s="109" t="str">
        <x:v>Owner</x:v>
      </x:c>
      <x:c r="F1" s="109" t="str">
        <x:v>Start_Date</x:v>
      </x:c>
      <x:c r="G1" s="109" t="str">
        <x:v>Due_Date</x:v>
      </x:c>
      <x:c r="H1" s="109" t="str">
        <x:v>Status</x:v>
      </x:c>
      <x:c r="I1" s="109" t="str">
        <x:v>Progress_Pct</x:v>
      </x:c>
      <x:c r="J1" s="109" t="str">
        <x:v>Expected_Impact</x:v>
      </x:c>
      <x:c r="K1" s="109" t="str">
        <x:v>Evidence_or_Output</x:v>
      </x:c>
      <x:c r="L1" s="109" t="str">
        <x:v>Last_Update</x:v>
      </x:c>
      <x:c r="M1" s="109" t="str">
        <x:v>Escalation_Rule</x:v>
      </x:c>
    </x:row>
    <x:row r="2" ht="15" hidden="0" customHeight="1">
      <x:c r="A2" s="44" t="str">
        <x:v>ACT001</x:v>
      </x:c>
      <x:c r="B2" s="44" t="str">
        <x:v>High</x:v>
      </x:c>
      <x:c r="C2" s="44" t="str">
        <x:v>Data quality</x:v>
      </x:c>
      <x:c r="D2" s="44" t="str">
        <x:v>Replace assumption-based NAV and AUM history with verified data</x:v>
      </x:c>
      <x:c r="E2" s="44" t="str">
        <x:v>Investment Operations</x:v>
      </x:c>
      <x:c r="F2" s="44" t="str">
        <x:v>2026-08-04</x:v>
      </x:c>
      <x:c r="G2" s="44" t="str">
        <x:v>2026-08-18</x:v>
      </x:c>
      <x:c r="H2" s="44" t="str">
        <x:v>Open</x:v>
      </x:c>
      <x:c r="I2" s="115" t="n">
        <x:v>0</x:v>
      </x:c>
      <x:c r="J2" s="44" t="str">
        <x:v>Verified fund-performance analytics</x:v>
      </x:c>
      <x:c r="K2" s="44" t="str">
        <x:v>Official NAV/AUM files</x:v>
      </x:c>
      <x:c r="L2" s="44" t="str">
        <x:v>2026-08-04</x:v>
      </x:c>
      <x:c r="M2" s="44" t="str">
        <x:v>Escalate if overdue &gt; 3 days</x:v>
      </x:c>
    </x:row>
    <x:row r="3" ht="15" hidden="0" customHeight="1">
      <x:c r="A3" s="44" t="str">
        <x:v>ACT002</x:v>
      </x:c>
      <x:c r="B3" s="44" t="str">
        <x:v>High</x:v>
      </x:c>
      <x:c r="C3" s="44" t="str">
        <x:v>M&amp;A forensics</x:v>
      </x:c>
      <x:c r="D3" s="44" t="str">
        <x:v>Reconcile 24-Jul governance report against prior ownership and related parties</x:v>
      </x:c>
      <x:c r="E3" s="44" t="str">
        <x:v>Board Secretary</x:v>
      </x:c>
      <x:c r="F3" s="44" t="str">
        <x:v>2026-08-04</x:v>
      </x:c>
      <x:c r="G3" s="44" t="str">
        <x:v>2026-08-11</x:v>
      </x:c>
      <x:c r="H3" s="44" t="str">
        <x:v>In progress</x:v>
      </x:c>
      <x:c r="I3" s="115" t="n">
        <x:v>0.35</x:v>
      </x:c>
      <x:c r="J3" s="44" t="str">
        <x:v>Close critical evidence gaps</x:v>
      </x:c>
      <x:c r="K3" s="44" t="str">
        <x:v>Governance reconciliation memo</x:v>
      </x:c>
      <x:c r="L3" s="44" t="str">
        <x:v>2026-08-04</x:v>
      </x:c>
      <x:c r="M3" s="44" t="str">
        <x:v>Escalate if unresolved by due date</x:v>
      </x:c>
    </x:row>
    <x:row r="4" ht="15" hidden="0" customHeight="1">
      <x:c r="A4" s="44" t="str">
        <x:v>ACT003</x:v>
      </x:c>
      <x:c r="B4" s="44" t="str">
        <x:v>High</x:v>
      </x:c>
      <x:c r="C4" s="44" t="str">
        <x:v>Investment</x:v>
      </x:c>
      <x:c r="D4" s="44" t="str">
        <x:v>Run DCDS sector and stock attribution challenge</x:v>
      </x:c>
      <x:c r="E4" s="44" t="str">
        <x:v>CIO</x:v>
      </x:c>
      <x:c r="F4" s="44" t="str">
        <x:v>2026-08-04</x:v>
      </x:c>
      <x:c r="G4" s="44" t="str">
        <x:v>2026-08-14</x:v>
      </x:c>
      <x:c r="H4" s="44" t="str">
        <x:v>Open</x:v>
      </x:c>
      <x:c r="I4" s="115" t="n">
        <x:v>0.1</x:v>
      </x:c>
      <x:c r="J4" s="44" t="str">
        <x:v>Identify alpha drivers and remediation</x:v>
      </x:c>
      <x:c r="K4" s="44" t="str">
        <x:v>Attribution pack</x:v>
      </x:c>
      <x:c r="L4" s="44" t="str">
        <x:v>2026-08-04</x:v>
      </x:c>
      <x:c r="M4" s="44" t="str">
        <x:v>Escalate if no owner update in 7 days</x:v>
      </x:c>
    </x:row>
    <x:row r="5" ht="15" hidden="0" customHeight="1">
      <x:c r="A5" s="44" t="str">
        <x:v>ACT004</x:v>
      </x:c>
      <x:c r="B5" s="44" t="str">
        <x:v>Medium</x:v>
      </x:c>
      <x:c r="C5" s="44" t="str">
        <x:v>Finance</x:v>
      </x:c>
      <x:c r="D5" s="44" t="str">
        <x:v>Validate fee yields and cost split in integrated model</x:v>
      </x:c>
      <x:c r="E5" s="44" t="str">
        <x:v>CFO</x:v>
      </x:c>
      <x:c r="F5" s="44" t="str">
        <x:v>2026-08-04</x:v>
      </x:c>
      <x:c r="G5" s="44" t="str">
        <x:v>2026-08-21</x:v>
      </x:c>
      <x:c r="H5" s="44" t="str">
        <x:v>Open</x:v>
      </x:c>
      <x:c r="I5" s="115" t="n">
        <x:v>0</x:v>
      </x:c>
      <x:c r="J5" s="44" t="str">
        <x:v>Board-ready earnings sensitivity</x:v>
      </x:c>
      <x:c r="K5" s="44" t="str">
        <x:v>Finance validation note</x:v>
      </x:c>
      <x:c r="L5" s="44" t="str">
        <x:v>2026-08-04</x:v>
      </x:c>
      <x:c r="M5" s="44" t="str">
        <x:v>Escalate if forecast variance &gt; 10%</x:v>
      </x:c>
    </x:row>
    <x:row r="6" ht="15" hidden="0" customHeight="1">
      <x:c r="A6" s="44" t="str">
        <x:v>ACT005</x:v>
      </x:c>
      <x:c r="B6" s="44" t="str">
        <x:v>Medium</x:v>
      </x:c>
      <x:c r="C6" s="44" t="str">
        <x:v>Risk</x:v>
      </x:c>
      <x:c r="D6" s="44" t="str">
        <x:v>Refresh liquidity and redemption stress tests</x:v>
      </x:c>
      <x:c r="E6" s="44" t="str">
        <x:v>CRO</x:v>
      </x:c>
      <x:c r="F6" s="44" t="str">
        <x:v>2026-08-04</x:v>
      </x:c>
      <x:c r="G6" s="44" t="str">
        <x:v>2026-08-25</x:v>
      </x:c>
      <x:c r="H6" s="44" t="str">
        <x:v>Open</x:v>
      </x:c>
      <x:c r="I6" s="115" t="n">
        <x:v>0</x:v>
      </x:c>
      <x:c r="J6" s="44" t="str">
        <x:v>Updated liquidity buffer recommendation</x:v>
      </x:c>
      <x:c r="K6" s="44" t="str">
        <x:v>Risk committee paper</x:v>
      </x:c>
      <x:c r="L6" s="44" t="str">
        <x:v>2026-08-04</x:v>
      </x:c>
      <x:c r="M6" s="44" t="str">
        <x:v>Escalate for Stress market regime</x:v>
      </x:c>
    </x:row>
  </x:sheetData>
  <x:conditionalFormatting sqref="H2:H6">
    <x:cfRule type="containsText" dxfId="2" priority="1" operator="containsText" text="Completed"/>
    <x:cfRule type="containsText" dxfId="3" priority="2" operator="containsText" text="Blocked"/>
  </x:conditionalFormatting>
  <x:dataValidations count="2">
    <x:dataValidation type="list" sqref="B2:B6">
      <x:formula1>"High,Medium,Low"</x:formula1>
    </x:dataValidation>
    <x:dataValidation type="list" sqref="H2:H6">
      <x:formula1>"Open,In progress,Blocked,Completed"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003a9f64384b55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16" hidden="0" customWidth="1"/>
  </x:cols>
  <x:sheetData>
    <x:row r="1" ht="28" customHeight="1">
      <x:c r="A1" s="118" t="str">
        <x:v>PRODUCT PROFITABILITY ENGINE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</x:row>
    <x:row r="2" ht="30" customHeight="1">
      <x:c r="A2" s="121" t="str">
        <x:v>Blue inputs may be replaced with verified management data. Contribution and break-even fields are formula-driven.</x:v>
      </x:c>
      <x:c r="B2" s="121"/>
      <x:c r="C2" s="121"/>
      <x:c r="D2" s="121"/>
      <x:c r="E2" s="121"/>
      <x:c r="F2" s="121"/>
      <x:c r="G2" s="121"/>
      <x:c r="H2" s="121"/>
      <x:c r="I2" s="121"/>
      <x:c r="J2" s="121"/>
      <x:c r="K2" s="121"/>
    </x:row>
    <x:row r="3" ht="30" customHeight="1">
      <x:c r="A3" s="124" t="str">
        <x:v>Fund_Code</x:v>
      </x:c>
      <x:c r="B3" s="124" t="str">
        <x:v>Average_AUM_VND_bn</x:v>
      </x:c>
      <x:c r="C3" s="124" t="str">
        <x:v>Effective_Fee_Pct</x:v>
      </x:c>
      <x:c r="D3" s="124" t="str">
        <x:v>Other_Revenue_VND_bn</x:v>
      </x:c>
      <x:c r="E3" s="124" t="str">
        <x:v>Direct_Cost_VND_bn</x:v>
      </x:c>
      <x:c r="F3" s="124" t="str">
        <x:v>Allocated_Cost_VND_bn</x:v>
      </x:c>
      <x:c r="G3" s="124" t="str">
        <x:v>Revenue_VND_bn</x:v>
      </x:c>
      <x:c r="H3" s="124" t="str">
        <x:v>Contribution_VND_bn</x:v>
      </x:c>
      <x:c r="I3" s="124" t="str">
        <x:v>Contribution_Margin_Pct</x:v>
      </x:c>
      <x:c r="J3" s="124" t="str">
        <x:v>Break_Even_AUM_VND_bn</x:v>
      </x:c>
      <x:c r="K3" s="124" t="str">
        <x:v>Source_Status</x:v>
      </x:c>
    </x:row>
    <x:row r="4" ht="22" customHeight="1">
      <x:c r="A4" s="125" t="str">
        <x:v>DCDS</x:v>
      </x:c>
      <x:c r="B4" s="140" t="n">
        <x:v>18500</x:v>
      </x:c>
      <x:c r="C4" s="143" t="n">
        <x:v>0.015</x:v>
      </x:c>
      <x:c r="D4" s="140" t="n">
        <x:v>5</x:v>
      </x:c>
      <x:c r="E4" s="140" t="n">
        <x:v>78</x:v>
      </x:c>
      <x:c r="F4" s="140" t="n">
        <x:v>42</x:v>
      </x:c>
      <x:c r="G4" s="152" t="n">
        <x:f>B4*C4+D4</x:f>
        <x:v>282.5</x:v>
      </x:c>
      <x:c r="H4" s="152" t="n">
        <x:f>G4-E4-F4</x:f>
        <x:v>162.5</x:v>
      </x:c>
      <x:c r="I4" s="137" t="n">
        <x:f>IFERROR(H4/G4,0)</x:f>
        <x:v>0.5752212389380531</x:v>
      </x:c>
      <x:c r="J4" s="152" t="n">
        <x:f>IFERROR((E4+F4-D4)/C4,0)</x:f>
        <x:v>7666.666666666667</x:v>
      </x:c>
      <x:c r="K4" s="127" t="str">
        <x:v>Assumption</x:v>
      </x:c>
    </x:row>
    <x:row r="5" ht="22" customHeight="1">
      <x:c r="A5" s="128" t="str">
        <x:v>DCBF</x:v>
      </x:c>
      <x:c r="B5" s="141" t="n">
        <x:v>13200</x:v>
      </x:c>
      <x:c r="C5" s="144" t="n">
        <x:v>0.009</x:v>
      </x:c>
      <x:c r="D5" s="141" t="n">
        <x:v>2</x:v>
      </x:c>
      <x:c r="E5" s="141" t="n">
        <x:v>38</x:v>
      </x:c>
      <x:c r="F5" s="141" t="n">
        <x:v>24</x:v>
      </x:c>
      <x:c r="G5" s="153" t="n">
        <x:f>B5*C5+D5</x:f>
        <x:v>120.8</x:v>
      </x:c>
      <x:c r="H5" s="153" t="n">
        <x:f>G5-E5-F5</x:f>
        <x:v>58.8</x:v>
      </x:c>
      <x:c r="I5" s="138" t="n">
        <x:f>IFERROR(H5/G5,0)</x:f>
        <x:v>0.4867549668874172</x:v>
      </x:c>
      <x:c r="J5" s="153" t="n">
        <x:f>IFERROR((E5+F5-D5)/C5,0)</x:f>
        <x:v>6666.666666666667</x:v>
      </x:c>
      <x:c r="K5" s="130" t="str">
        <x:v>Assumption</x:v>
      </x:c>
    </x:row>
    <x:row r="6" ht="22" customHeight="1">
      <x:c r="A6" s="128" t="str">
        <x:v>DCDE</x:v>
      </x:c>
      <x:c r="B6" s="141" t="n">
        <x:v>8400</x:v>
      </x:c>
      <x:c r="C6" s="144" t="n">
        <x:v>0.013</x:v>
      </x:c>
      <x:c r="D6" s="141" t="n">
        <x:v>2</x:v>
      </x:c>
      <x:c r="E6" s="141" t="n">
        <x:v>42</x:v>
      </x:c>
      <x:c r="F6" s="141" t="n">
        <x:v>25</x:v>
      </x:c>
      <x:c r="G6" s="153" t="n">
        <x:f>B6*C6+D6</x:f>
        <x:v>111.19999999999999</x:v>
      </x:c>
      <x:c r="H6" s="153" t="n">
        <x:f>G6-E6-F6</x:f>
        <x:v>44.19999999999999</x:v>
      </x:c>
      <x:c r="I6" s="138" t="n">
        <x:f>IFERROR(H6/G6,0)</x:f>
        <x:v>0.3974820143884891</x:v>
      </x:c>
      <x:c r="J6" s="153" t="n">
        <x:f>IFERROR((E6+F6-D6)/C6,0)</x:f>
        <x:v>5000</x:v>
      </x:c>
      <x:c r="K6" s="130" t="str">
        <x:v>Assumption</x:v>
      </x:c>
    </x:row>
    <x:row r="7" ht="22" customHeight="1">
      <x:c r="A7" s="128" t="str">
        <x:v>E1VFVN30</x:v>
      </x:c>
      <x:c r="B7" s="141" t="n">
        <x:v>7600</x:v>
      </x:c>
      <x:c r="C7" s="144" t="n">
        <x:v>0.006</x:v>
      </x:c>
      <x:c r="D7" s="141" t="n">
        <x:v>1</x:v>
      </x:c>
      <x:c r="E7" s="141" t="n">
        <x:v>18</x:v>
      </x:c>
      <x:c r="F7" s="141" t="n">
        <x:v>14</x:v>
      </x:c>
      <x:c r="G7" s="153" t="n">
        <x:f>B7*C7+D7</x:f>
        <x:v>46.6</x:v>
      </x:c>
      <x:c r="H7" s="153" t="n">
        <x:f>G7-E7-F7</x:f>
        <x:v>14.600000000000001</x:v>
      </x:c>
      <x:c r="I7" s="138" t="n">
        <x:f>IFERROR(H7/G7,0)</x:f>
        <x:v>0.3133047210300429</x:v>
      </x:c>
      <x:c r="J7" s="153" t="n">
        <x:f>IFERROR((E7+F7-D7)/C7,0)</x:f>
        <x:v>5166.666666666667</x:v>
      </x:c>
      <x:c r="K7" s="130" t="str">
        <x:v>Assumption</x:v>
      </x:c>
    </x:row>
    <x:row r="8" ht="22" customHeight="1">
      <x:c r="A8" s="128" t="str">
        <x:v>FUEVFVND</x:v>
      </x:c>
      <x:c r="B8" s="141" t="n">
        <x:v>15400</x:v>
      </x:c>
      <x:c r="C8" s="144" t="n">
        <x:v>0.007</x:v>
      </x:c>
      <x:c r="D8" s="141" t="n">
        <x:v>2</x:v>
      </x:c>
      <x:c r="E8" s="141" t="n">
        <x:v>26</x:v>
      </x:c>
      <x:c r="F8" s="141" t="n">
        <x:v>18</x:v>
      </x:c>
      <x:c r="G8" s="153" t="n">
        <x:f>B8*C8+D8</x:f>
        <x:v>109.8</x:v>
      </x:c>
      <x:c r="H8" s="153" t="n">
        <x:f>G8-E8-F8</x:f>
        <x:v>65.8</x:v>
      </x:c>
      <x:c r="I8" s="138" t="n">
        <x:f>IFERROR(H8/G8,0)</x:f>
        <x:v>0.599271402550091</x:v>
      </x:c>
      <x:c r="J8" s="153" t="n">
        <x:f>IFERROR((E8+F8-D8)/C8,0)</x:f>
        <x:v>6000</x:v>
      </x:c>
      <x:c r="K8" s="130" t="str">
        <x:v>Assumption</x:v>
      </x:c>
    </x:row>
    <x:row r="9" ht="22" customHeight="1">
      <x:c r="A9" s="131" t="str">
        <x:v>DCAF</x:v>
      </x:c>
      <x:c r="B9" s="142" t="n">
        <x:v>6100</x:v>
      </x:c>
      <x:c r="C9" s="145" t="n">
        <x:v>0.011</x:v>
      </x:c>
      <x:c r="D9" s="142" t="n">
        <x:v>1</x:v>
      </x:c>
      <x:c r="E9" s="142" t="n">
        <x:v>29</x:v>
      </x:c>
      <x:c r="F9" s="142" t="n">
        <x:v>18</x:v>
      </x:c>
      <x:c r="G9" s="154" t="n">
        <x:f>B9*C9+D9</x:f>
        <x:v>68.1</x:v>
      </x:c>
      <x:c r="H9" s="154" t="n">
        <x:f>G9-E9-F9</x:f>
        <x:v>21.099999999999994</x:v>
      </x:c>
      <x:c r="I9" s="139" t="n">
        <x:f>IFERROR(H9/G9,0)</x:f>
        <x:v>0.3098384728340675</x:v>
      </x:c>
      <x:c r="J9" s="154" t="n">
        <x:f>IFERROR((E9+F9-D9)/C9,0)</x:f>
        <x:v>4181.818181818182</x:v>
      </x:c>
      <x:c r="K9" s="133" t="str">
        <x:v>Assumption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9" hidden="0" customWidth="1"/>
    <x:col min="3" max="3" width="20" hidden="0" customWidth="1"/>
    <x:col min="4" max="4" width="18" hidden="0" customWidth="1"/>
    <x:col min="5" max="5" width="19" hidden="0" customWidth="1"/>
    <x:col min="6" max="6" width="22" hidden="0" customWidth="1"/>
    <x:col min="7" max="7" width="17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28" customHeight="1">
      <x:c r="A1" s="118" t="str">
        <x:v>DISTRIBUTION INTELLIGENCE</x:v>
      </x:c>
      <x:c r="B1" s="118"/>
      <x:c r="C1" s="118"/>
      <x:c r="D1" s="118"/>
      <x:c r="E1" s="118"/>
      <x:c r="F1" s="118"/>
      <x:c r="G1" s="118"/>
      <x:c r="H1" s="118"/>
      <x:c r="I1" s="118"/>
      <x:c r="J1" s="118"/>
    </x:row>
    <x:row r="2" ht="30" customHeight="1">
      <x:c r="A2" s="121" t="str">
        <x:v>Illustrative channel data. Replace via Master Excel; concentration and economics feed management recommendations.</x:v>
      </x:c>
      <x:c r="B2" s="121"/>
      <x:c r="C2" s="121"/>
      <x:c r="D2" s="121"/>
      <x:c r="E2" s="121"/>
      <x:c r="F2" s="121"/>
      <x:c r="G2" s="121"/>
      <x:c r="H2" s="121"/>
      <x:c r="I2" s="121"/>
      <x:c r="J2" s="121"/>
    </x:row>
    <x:row r="3" ht="30" customHeight="1">
      <x:c r="A3" s="124" t="str">
        <x:v>Channel</x:v>
      </x:c>
      <x:c r="B3" s="124" t="str">
        <x:v>Gross_Sales_VND_bn</x:v>
      </x:c>
      <x:c r="C3" s="124" t="str">
        <x:v>Redemptions_VND_bn</x:v>
      </x:c>
      <x:c r="D3" s="124" t="str">
        <x:v>Net_Sales_VND_bn</x:v>
      </x:c>
      <x:c r="E3" s="124" t="str">
        <x:v>Ending_AUM_VND_bn</x:v>
      </x:c>
      <x:c r="F3" s="124" t="str">
        <x:v>Distribution_Cost_VND_bn</x:v>
      </x:c>
      <x:c r="G3" s="124" t="str">
        <x:v>Active_Investors</x:v>
      </x:c>
      <x:c r="H3" s="124" t="str">
        <x:v>Retention_Pct</x:v>
      </x:c>
      <x:c r="I3" s="124" t="str">
        <x:v>AUM_Share_Pct</x:v>
      </x:c>
      <x:c r="J3" s="124" t="str">
        <x:v>Source_Status</x:v>
      </x:c>
    </x:row>
    <x:row r="4" ht="22" customHeight="1">
      <x:c r="A4" s="125" t="str">
        <x:v>Direct / Digital</x:v>
      </x:c>
      <x:c r="B4" s="126" t="n">
        <x:v>1550</x:v>
      </x:c>
      <x:c r="C4" s="126" t="n">
        <x:v>920</x:v>
      </x:c>
      <x:c r="D4" s="126" t="n">
        <x:f>B4-C4</x:f>
        <x:v>630</x:v>
      </x:c>
      <x:c r="E4" s="126" t="n">
        <x:v>11200</x:v>
      </x:c>
      <x:c r="F4" s="126" t="n">
        <x:v>42</x:v>
      </x:c>
      <x:c r="G4" s="126" t="n">
        <x:v>18500</x:v>
      </x:c>
      <x:c r="H4" s="137" t="n">
        <x:v>0.82</x:v>
      </x:c>
      <x:c r="I4" s="137" t="n">
        <x:f>IFERROR(E4/SUM($E$4:$E$8),0)</x:f>
        <x:v>0.11826821541710665</x:v>
      </x:c>
      <x:c r="J4" s="127" t="str">
        <x:v>Assumption</x:v>
      </x:c>
    </x:row>
    <x:row r="5" ht="22" customHeight="1">
      <x:c r="A5" s="128" t="str">
        <x:v>Bank Partners</x:v>
      </x:c>
      <x:c r="B5" s="129" t="n">
        <x:v>2250</x:v>
      </x:c>
      <x:c r="C5" s="129" t="n">
        <x:v>1380</x:v>
      </x:c>
      <x:c r="D5" s="129" t="n">
        <x:f>B5-C5</x:f>
        <x:v>870</x:v>
      </x:c>
      <x:c r="E5" s="129" t="n">
        <x:v>16400</x:v>
      </x:c>
      <x:c r="F5" s="129" t="n">
        <x:v>88</x:v>
      </x:c>
      <x:c r="G5" s="129" t="n">
        <x:v>9200</x:v>
      </x:c>
      <x:c r="H5" s="138" t="n">
        <x:v>0.86</x:v>
      </x:c>
      <x:c r="I5" s="138" t="n">
        <x:f>IFERROR(E5/SUM($E$4:$E$8),0)</x:f>
        <x:v>0.17317845828933473</x:v>
      </x:c>
      <x:c r="J5" s="130" t="str">
        <x:v>Assumption</x:v>
      </x:c>
    </x:row>
    <x:row r="6" ht="22" customHeight="1">
      <x:c r="A6" s="128" t="str">
        <x:v>Securities Partners</x:v>
      </x:c>
      <x:c r="B6" s="129" t="n">
        <x:v>1780</x:v>
      </x:c>
      <x:c r="C6" s="129" t="n">
        <x:v>1250</x:v>
      </x:c>
      <x:c r="D6" s="129" t="n">
        <x:f>B6-C6</x:f>
        <x:v>530</x:v>
      </x:c>
      <x:c r="E6" s="129" t="n">
        <x:v>12900</x:v>
      </x:c>
      <x:c r="F6" s="129" t="n">
        <x:v>61</x:v>
      </x:c>
      <x:c r="G6" s="129" t="n">
        <x:v>11400</x:v>
      </x:c>
      <x:c r="H6" s="138" t="n">
        <x:v>0.79</x:v>
      </x:c>
      <x:c r="I6" s="138" t="n">
        <x:f>IFERROR(E6/SUM($E$4:$E$8),0)</x:f>
        <x:v>0.13621964097148892</x:v>
      </x:c>
      <x:c r="J6" s="130" t="str">
        <x:v>Assumption</x:v>
      </x:c>
    </x:row>
    <x:row r="7" ht="22" customHeight="1">
      <x:c r="A7" s="128" t="str">
        <x:v>Institutional</x:v>
      </x:c>
      <x:c r="B7" s="129" t="n">
        <x:v>980</x:v>
      </x:c>
      <x:c r="C7" s="129" t="n">
        <x:v>620</x:v>
      </x:c>
      <x:c r="D7" s="129" t="n">
        <x:f>B7-C7</x:f>
        <x:v>360</x:v>
      </x:c>
      <x:c r="E7" s="129" t="n">
        <x:v>31800</x:v>
      </x:c>
      <x:c r="F7" s="129" t="n">
        <x:v>21</x:v>
      </x:c>
      <x:c r="G7" s="129" t="n">
        <x:v>140</x:v>
      </x:c>
      <x:c r="H7" s="138" t="n">
        <x:v>0.91</x:v>
      </x:c>
      <x:c r="I7" s="138" t="n">
        <x:f>IFERROR(E7/SUM($E$4:$E$8),0)</x:f>
        <x:v>0.3357972544878564</x:v>
      </x:c>
      <x:c r="J7" s="130" t="str">
        <x:v>Assumption</x:v>
      </x:c>
    </x:row>
    <x:row r="8" ht="22" customHeight="1">
      <x:c r="A8" s="131" t="str">
        <x:v>Foreign Institutional</x:v>
      </x:c>
      <x:c r="B8" s="132" t="n">
        <x:v>840</x:v>
      </x:c>
      <x:c r="C8" s="132" t="n">
        <x:v>710</x:v>
      </x:c>
      <x:c r="D8" s="132" t="n">
        <x:f>B8-C8</x:f>
        <x:v>130</x:v>
      </x:c>
      <x:c r="E8" s="132" t="n">
        <x:v>22400</x:v>
      </x:c>
      <x:c r="F8" s="132" t="n">
        <x:v>25</x:v>
      </x:c>
      <x:c r="G8" s="132" t="n">
        <x:v>85</x:v>
      </x:c>
      <x:c r="H8" s="139" t="n">
        <x:v>0.88</x:v>
      </x:c>
      <x:c r="I8" s="139" t="n">
        <x:f>IFERROR(E8/SUM($E$4:$E$8),0)</x:f>
        <x:v>0.2365364308342133</x:v>
      </x:c>
      <x:c r="J8" s="133" t="str">
        <x:v>Assumption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3" hidden="0" customWidth="1"/>
    <x:col min="3" max="3" width="19" hidden="0" customWidth="1"/>
    <x:col min="4" max="4" width="20" hidden="0" customWidth="1"/>
    <x:col min="5" max="5" width="19" hidden="0" customWidth="1"/>
    <x:col min="6" max="6" width="18" hidden="0" customWidth="1"/>
    <x:col min="7" max="7" width="19" hidden="0" customWidth="1"/>
    <x:col min="8" max="8" width="23" hidden="0" customWidth="1"/>
    <x:col min="9" max="9" width="18" hidden="0" customWidth="1"/>
    <x:col min="10" max="10" width="14" hidden="0" customWidth="1"/>
    <x:col min="11" max="11" width="14" hidden="0" customWidth="1"/>
    <x:col min="12" max="12" width="16" hidden="0" customWidth="1"/>
  </x:cols>
  <x:sheetData>
    <x:row r="1" ht="28" customHeight="1">
      <x:c r="A1" s="118" t="str">
        <x:v>INVESTOR BEHAVIOUR &amp; REDEMPTION EWS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  <x:c r="L1" s="118"/>
    </x:row>
    <x:row r="2" ht="30" customHeight="1">
      <x:c r="A2" s="121" t="str">
        <x:v>Cohort-level assumptions for monitoring. Redemption risk score is a management signal, not a forecast probability.</x:v>
      </x:c>
      <x:c r="B2" s="121"/>
      <x:c r="C2" s="121"/>
      <x:c r="D2" s="121"/>
      <x:c r="E2" s="121"/>
      <x:c r="F2" s="121"/>
      <x:c r="G2" s="121"/>
      <x:c r="H2" s="121"/>
      <x:c r="I2" s="121"/>
      <x:c r="J2" s="121"/>
      <x:c r="K2" s="121"/>
      <x:c r="L2" s="121"/>
    </x:row>
    <x:row r="3" ht="30" customHeight="1">
      <x:c r="A3" s="124" t="str">
        <x:v>Cohort</x:v>
      </x:c>
      <x:c r="B3" s="124" t="str">
        <x:v>Investor_Type</x:v>
      </x:c>
      <x:c r="C3" s="124" t="str">
        <x:v>Opening_AUM_VND_bn</x:v>
      </x:c>
      <x:c r="D3" s="124" t="str">
        <x:v>Subscriptions_VND_bn</x:v>
      </x:c>
      <x:c r="E3" s="124" t="str">
        <x:v>Redemptions_VND_bn</x:v>
      </x:c>
      <x:c r="F3" s="124" t="str">
        <x:v>Ending_AUM_VND_bn</x:v>
      </x:c>
      <x:c r="G3" s="124" t="str">
        <x:v>Avg_Holding_Months</x:v>
      </x:c>
      <x:c r="H3" s="124" t="str">
        <x:v>Underperformance_3M_Pct</x:v>
      </x:c>
      <x:c r="I3" s="124" t="str">
        <x:v>Concentration_Pct</x:v>
      </x:c>
      <x:c r="J3" s="124" t="str">
        <x:v>Risk_Score</x:v>
      </x:c>
      <x:c r="K3" s="124" t="str">
        <x:v>Risk_Level</x:v>
      </x:c>
      <x:c r="L3" s="124" t="str">
        <x:v>Source_Status</x:v>
      </x:c>
    </x:row>
    <x:row r="4" ht="22" customHeight="1">
      <x:c r="A4" s="125" t="str">
        <x:v>2025-H1</x:v>
      </x:c>
      <x:c r="B4" s="126" t="str">
        <x:v>Retail</x:v>
      </x:c>
      <x:c r="C4" s="126" t="n">
        <x:v>6800</x:v>
      </x:c>
      <x:c r="D4" s="126" t="n">
        <x:v>1200</x:v>
      </x:c>
      <x:c r="E4" s="126" t="n">
        <x:v>980</x:v>
      </x:c>
      <x:c r="F4" s="126" t="n">
        <x:f>C4+D4-E4</x:f>
        <x:v>7020</x:v>
      </x:c>
      <x:c r="G4" s="126" t="n">
        <x:v>14</x:v>
      </x:c>
      <x:c r="H4" s="137" t="n">
        <x:v>-0.012</x:v>
      </x:c>
      <x:c r="I4" s="137" t="n">
        <x:v>0.08</x:v>
      </x:c>
      <x:c r="J4" s="155" t="n">
        <x:f>MIN(100,MAX(0,E4/(C4+D4)*50+MAX(0,-H4)*800+I4*50+IF(G4&lt;6,20,0)))</x:f>
        <x:v>19.725</x:v>
      </x:c>
      <x:c r="K4" s="126" t="str">
        <x:f>IF(J4&gt;=70,"HIGH",IF(J4&gt;=45,"MEDIUM","LOW"))</x:f>
        <x:v>LOW</x:v>
      </x:c>
      <x:c r="L4" s="127" t="str">
        <x:v>Assumption</x:v>
      </x:c>
    </x:row>
    <x:row r="5" ht="22" customHeight="1">
      <x:c r="A5" s="128" t="str">
        <x:v>2025-H2</x:v>
      </x:c>
      <x:c r="B5" s="129" t="str">
        <x:v>Retail</x:v>
      </x:c>
      <x:c r="C5" s="129" t="n">
        <x:v>5400</x:v>
      </x:c>
      <x:c r="D5" s="129" t="n">
        <x:v>1750</x:v>
      </x:c>
      <x:c r="E5" s="129" t="n">
        <x:v>1120</x:v>
      </x:c>
      <x:c r="F5" s="129" t="n">
        <x:f>C5+D5-E5</x:f>
        <x:v>6030</x:v>
      </x:c>
      <x:c r="G5" s="129" t="n">
        <x:v>9</x:v>
      </x:c>
      <x:c r="H5" s="138" t="n">
        <x:v>-0.018</x:v>
      </x:c>
      <x:c r="I5" s="138" t="n">
        <x:v>0.06</x:v>
      </x:c>
      <x:c r="J5" s="156" t="n">
        <x:f>MIN(100,MAX(0,E5/(C5+D5)*50+MAX(0,-H5)*800+I5*50+IF(G5&lt;6,20,0)))</x:f>
        <x:v>25.232167832167832</x:v>
      </x:c>
      <x:c r="K5" s="129" t="str">
        <x:f>IF(J5&gt;=70,"HIGH",IF(J5&gt;=45,"MEDIUM","LOW"))</x:f>
        <x:v>LOW</x:v>
      </x:c>
      <x:c r="L5" s="130" t="str">
        <x:v>Assumption</x:v>
      </x:c>
    </x:row>
    <x:row r="6" ht="22" customHeight="1">
      <x:c r="A6" s="128" t="str">
        <x:v>2026-H1</x:v>
      </x:c>
      <x:c r="B6" s="129" t="str">
        <x:v>Retail</x:v>
      </x:c>
      <x:c r="C6" s="129" t="n">
        <x:v>4200</x:v>
      </x:c>
      <x:c r="D6" s="129" t="n">
        <x:v>2100</x:v>
      </x:c>
      <x:c r="E6" s="129" t="n">
        <x:v>1460</x:v>
      </x:c>
      <x:c r="F6" s="129" t="n">
        <x:f>C6+D6-E6</x:f>
        <x:v>4840</x:v>
      </x:c>
      <x:c r="G6" s="129" t="n">
        <x:v>4</x:v>
      </x:c>
      <x:c r="H6" s="138" t="n">
        <x:v>-0.025</x:v>
      </x:c>
      <x:c r="I6" s="138" t="n">
        <x:v>0.05</x:v>
      </x:c>
      <x:c r="J6" s="156" t="n">
        <x:f>MIN(100,MAX(0,E6/(C6+D6)*50+MAX(0,-H6)*800+I6*50+IF(G6&lt;6,20,0)))</x:f>
        <x:v>54.08730158730159</x:v>
      </x:c>
      <x:c r="K6" s="129" t="str">
        <x:f>IF(J6&gt;=70,"HIGH",IF(J6&gt;=45,"MEDIUM","LOW"))</x:f>
        <x:v>MEDIUM</x:v>
      </x:c>
      <x:c r="L6" s="130" t="str">
        <x:v>Assumption</x:v>
      </x:c>
    </x:row>
    <x:row r="7" ht="22" customHeight="1">
      <x:c r="A7" s="128" t="str">
        <x:v>Legacy</x:v>
      </x:c>
      <x:c r="B7" s="129" t="str">
        <x:v>Domestic Institutional</x:v>
      </x:c>
      <x:c r="C7" s="129" t="n">
        <x:v>24800</x:v>
      </x:c>
      <x:c r="D7" s="129" t="n">
        <x:v>900</x:v>
      </x:c>
      <x:c r="E7" s="129" t="n">
        <x:v>620</x:v>
      </x:c>
      <x:c r="F7" s="129" t="n">
        <x:f>C7+D7-E7</x:f>
        <x:v>25080</x:v>
      </x:c>
      <x:c r="G7" s="129" t="n">
        <x:v>38</x:v>
      </x:c>
      <x:c r="H7" s="138" t="n">
        <x:v>-0.006</x:v>
      </x:c>
      <x:c r="I7" s="138" t="n">
        <x:v>0.34</x:v>
      </x:c>
      <x:c r="J7" s="156" t="n">
        <x:f>MIN(100,MAX(0,E7/(C7+D7)*50+MAX(0,-H7)*800+I7*50+IF(G7&lt;6,20,0)))</x:f>
        <x:v>23.006225680933852</x:v>
      </x:c>
      <x:c r="K7" s="129" t="str">
        <x:f>IF(J7&gt;=70,"HIGH",IF(J7&gt;=45,"MEDIUM","LOW"))</x:f>
        <x:v>LOW</x:v>
      </x:c>
      <x:c r="L7" s="130" t="str">
        <x:v>Assumption</x:v>
      </x:c>
    </x:row>
    <x:row r="8" ht="22" customHeight="1">
      <x:c r="A8" s="131" t="str">
        <x:v>Legacy</x:v>
      </x:c>
      <x:c r="B8" s="132" t="str">
        <x:v>Foreign Institutional</x:v>
      </x:c>
      <x:c r="C8" s="132" t="n">
        <x:v>19100</x:v>
      </x:c>
      <x:c r="D8" s="132" t="n">
        <x:v>760</x:v>
      </x:c>
      <x:c r="E8" s="132" t="n">
        <x:v>710</x:v>
      </x:c>
      <x:c r="F8" s="132" t="n">
        <x:f>C8+D8-E8</x:f>
        <x:v>19150</x:v>
      </x:c>
      <x:c r="G8" s="132" t="n">
        <x:v>44</x:v>
      </x:c>
      <x:c r="H8" s="139" t="n">
        <x:v>-0.009</x:v>
      </x:c>
      <x:c r="I8" s="139" t="n">
        <x:v>0.29</x:v>
      </x:c>
      <x:c r="J8" s="157" t="n">
        <x:f>MIN(100,MAX(0,E8/(C8+D8)*50+MAX(0,-H8)*800+I8*50+IF(G8&lt;6,20,0)))</x:f>
        <x:v>23.487512588116815</x:v>
      </x:c>
      <x:c r="K8" s="132" t="str">
        <x:f>IF(J8&gt;=70,"HIGH",IF(J8&gt;=45,"MEDIUM","LOW"))</x:f>
        <x:v>LOW</x:v>
      </x:c>
      <x:c r="L8" s="133" t="str">
        <x:v>Assumption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20" hidden="0" customWidth="1"/>
    <x:col min="4" max="4" width="28" hidden="0" customWidth="1"/>
    <x:col min="5" max="5" width="16" hidden="0" customWidth="1"/>
    <x:col min="6" max="6" width="15" hidden="0" customWidth="1"/>
    <x:col min="7" max="7" width="14" hidden="0" customWidth="1"/>
    <x:col min="8" max="8" width="12" hidden="0" customWidth="1"/>
    <x:col min="9" max="9" width="14" hidden="0" customWidth="1"/>
    <x:col min="10" max="10" width="15" hidden="0" customWidth="1"/>
    <x:col min="11" max="11" width="20" hidden="0" customWidth="1"/>
    <x:col min="12" max="12" width="24" hidden="0" customWidth="1"/>
    <x:col min="13" max="13" width="18" hidden="0" customWidth="1"/>
  </x:cols>
  <x:sheetData>
    <x:row r="1" ht="28" customHeight="1">
      <x:c r="A1" s="118" t="str">
        <x:v>REGULATORY &amp; COMPLIANCE COCKPIT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  <x:c r="L1" s="118"/>
      <x:c r="M1" s="118"/>
    </x:row>
    <x:row r="2" ht="30" customHeight="1">
      <x:c r="A2" s="121" t="str">
        <x:v>Illustrative controls only; legal/compliance owners must validate the applicable rule, threshold and evidence.</x:v>
      </x:c>
      <x:c r="B2" s="121"/>
      <x:c r="C2" s="121"/>
      <x:c r="D2" s="121"/>
      <x:c r="E2" s="121"/>
      <x:c r="F2" s="121"/>
      <x:c r="G2" s="121"/>
      <x:c r="H2" s="121"/>
      <x:c r="I2" s="121"/>
      <x:c r="J2" s="121"/>
      <x:c r="K2" s="121"/>
      <x:c r="L2" s="121"/>
      <x:c r="M2" s="121"/>
    </x:row>
    <x:row r="3" ht="30" customHeight="1">
      <x:c r="A3" s="124" t="str">
        <x:v>Control_ID</x:v>
      </x:c>
      <x:c r="B3" s="124" t="str">
        <x:v>Fund_Code</x:v>
      </x:c>
      <x:c r="C3" s="124" t="str">
        <x:v>Control_Area</x:v>
      </x:c>
      <x:c r="D3" s="124" t="str">
        <x:v>Metric</x:v>
      </x:c>
      <x:c r="E3" s="124" t="str">
        <x:v>Current_Value</x:v>
      </x:c>
      <x:c r="F3" s="124" t="str">
        <x:v>Limit_Value</x:v>
      </x:c>
      <x:c r="G3" s="124" t="str">
        <x:v>Headroom</x:v>
      </x:c>
      <x:c r="H3" s="124" t="str">
        <x:v>Unit</x:v>
      </x:c>
      <x:c r="I3" s="124" t="str">
        <x:v>Status</x:v>
      </x:c>
      <x:c r="J3" s="124" t="str">
        <x:v>Due_Date</x:v>
      </x:c>
      <x:c r="K3" s="124" t="str">
        <x:v>Owner</x:v>
      </x:c>
      <x:c r="L3" s="124" t="str">
        <x:v>Evidence</x:v>
      </x:c>
      <x:c r="M3" s="124" t="str">
        <x:v>Source_Status</x:v>
      </x:c>
    </x:row>
    <x:row r="4" ht="22" customHeight="1">
      <x:c r="A4" s="125" t="str">
        <x:v>RC-001</x:v>
      </x:c>
      <x:c r="B4" s="126" t="str">
        <x:v>DCDS</x:v>
      </x:c>
      <x:c r="C4" s="126" t="str">
        <x:v>Concentration</x:v>
      </x:c>
      <x:c r="D4" s="126" t="str">
        <x:v>Largest issuer exposure</x:v>
      </x:c>
      <x:c r="E4" s="126" t="n">
        <x:v>8.5</x:v>
      </x:c>
      <x:c r="F4" s="126" t="n">
        <x:v>10</x:v>
      </x:c>
      <x:c r="G4" s="126" t="n">
        <x:f>IF(H4="days",E4-F4,F4-E4)</x:f>
        <x:v>1.5</x:v>
      </x:c>
      <x:c r="H4" s="126" t="str">
        <x:v>%</x:v>
      </x:c>
      <x:c r="I4" s="126" t="str">
        <x:v>Monitor</x:v>
      </x:c>
      <x:c r="J4" s="146" t="n">
        <x:v>46265</x:v>
      </x:c>
      <x:c r="K4" s="126" t="str">
        <x:v>Compliance</x:v>
      </x:c>
      <x:c r="L4" s="126" t="str">
        <x:v>Portfolio register</x:v>
      </x:c>
      <x:c r="M4" s="127" t="str">
        <x:v>Assumption</x:v>
      </x:c>
    </x:row>
    <x:row r="5" ht="22" customHeight="1">
      <x:c r="A5" s="128" t="str">
        <x:v>RC-002</x:v>
      </x:c>
      <x:c r="B5" s="129" t="str">
        <x:v>DCBF</x:v>
      </x:c>
      <x:c r="C5" s="129" t="str">
        <x:v>Liquidity</x:v>
      </x:c>
      <x:c r="D5" s="129" t="str">
        <x:v>Liquid assets coverage</x:v>
      </x:c>
      <x:c r="E5" s="129" t="n">
        <x:v>18</x:v>
      </x:c>
      <x:c r="F5" s="129" t="n">
        <x:v>15</x:v>
      </x:c>
      <x:c r="G5" s="129" t="n">
        <x:f>IF(H5="days",E5-F5,F5-E5)</x:f>
        <x:v>-3</x:v>
      </x:c>
      <x:c r="H5" s="129" t="str">
        <x:v>%</x:v>
      </x:c>
      <x:c r="I5" s="129" t="str">
        <x:v>Compliant</x:v>
      </x:c>
      <x:c r="J5" s="147" t="n">
        <x:v>46265</x:v>
      </x:c>
      <x:c r="K5" s="129" t="str">
        <x:v>Risk</x:v>
      </x:c>
      <x:c r="L5" s="129" t="str">
        <x:v>Liquidity report</x:v>
      </x:c>
      <x:c r="M5" s="130" t="str">
        <x:v>Assumption</x:v>
      </x:c>
    </x:row>
    <x:row r="6" ht="22" customHeight="1">
      <x:c r="A6" s="128" t="str">
        <x:v>RC-003</x:v>
      </x:c>
      <x:c r="B6" s="129" t="str">
        <x:v>FUEVFVND</x:v>
      </x:c>
      <x:c r="C6" s="129" t="str">
        <x:v>ETF</x:v>
      </x:c>
      <x:c r="D6" s="129" t="str">
        <x:v>Tracking error</x:v>
      </x:c>
      <x:c r="E6" s="129" t="n">
        <x:v>2.3</x:v>
      </x:c>
      <x:c r="F6" s="129" t="n">
        <x:v>3</x:v>
      </x:c>
      <x:c r="G6" s="129" t="n">
        <x:f>IF(H6="days",E6-F6,F6-E6)</x:f>
        <x:v>0.7000000000000002</x:v>
      </x:c>
      <x:c r="H6" s="129" t="str">
        <x:v>%</x:v>
      </x:c>
      <x:c r="I6" s="129" t="str">
        <x:v>Monitor</x:v>
      </x:c>
      <x:c r="J6" s="147" t="n">
        <x:v>46249</x:v>
      </x:c>
      <x:c r="K6" s="129" t="str">
        <x:v>CIO</x:v>
      </x:c>
      <x:c r="L6" s="129" t="str">
        <x:v>ETF calculation</x:v>
      </x:c>
      <x:c r="M6" s="130" t="str">
        <x:v>Assumption</x:v>
      </x:c>
    </x:row>
    <x:row r="7" ht="22" customHeight="1">
      <x:c r="A7" s="128" t="str">
        <x:v>RC-004</x:v>
      </x:c>
      <x:c r="B7" s="129" t="str">
        <x:v>ALL</x:v>
      </x:c>
      <x:c r="C7" s="129" t="str">
        <x:v>Disclosure</x:v>
      </x:c>
      <x:c r="D7" s="129" t="str">
        <x:v>Days to filing deadline</x:v>
      </x:c>
      <x:c r="E7" s="129" t="n">
        <x:v>6</x:v>
      </x:c>
      <x:c r="F7" s="129" t="n">
        <x:v>0</x:v>
      </x:c>
      <x:c r="G7" s="129" t="n">
        <x:f>IF(H7="days",E7-F7,F7-E7)</x:f>
        <x:v>6</x:v>
      </x:c>
      <x:c r="H7" s="129" t="str">
        <x:v>days</x:v>
      </x:c>
      <x:c r="I7" s="129" t="str">
        <x:v>Action</x:v>
      </x:c>
      <x:c r="J7" s="147" t="n">
        <x:v>46244</x:v>
      </x:c>
      <x:c r="K7" s="129" t="str">
        <x:v>Board Secretariat</x:v>
      </x:c>
      <x:c r="L7" s="129" t="str">
        <x:v>Disclosure calendar</x:v>
      </x:c>
      <x:c r="M7" s="130" t="str">
        <x:v>Assumption</x:v>
      </x:c>
    </x:row>
    <x:row r="8" ht="22" customHeight="1">
      <x:c r="A8" s="131" t="str">
        <x:v>RC-005</x:v>
      </x:c>
      <x:c r="B8" s="132" t="str">
        <x:v>ALL</x:v>
      </x:c>
      <x:c r="C8" s="132" t="str">
        <x:v>Related Parties</x:v>
      </x:c>
      <x:c r="D8" s="132" t="str">
        <x:v>Unreconciled related-party items</x:v>
      </x:c>
      <x:c r="E8" s="132" t="n">
        <x:v>2</x:v>
      </x:c>
      <x:c r="F8" s="132" t="n">
        <x:v>0</x:v>
      </x:c>
      <x:c r="G8" s="132" t="n">
        <x:f>IF(H8="days",E8-F8,F8-E8)</x:f>
        <x:v>-2</x:v>
      </x:c>
      <x:c r="H8" s="132" t="str">
        <x:v>count</x:v>
      </x:c>
      <x:c r="I8" s="132" t="str">
        <x:v>Action</x:v>
      </x:c>
      <x:c r="J8" s="148" t="n">
        <x:v>46246</x:v>
      </x:c>
      <x:c r="K8" s="132" t="str">
        <x:v>Compliance</x:v>
      </x:c>
      <x:c r="L8" s="132" t="str">
        <x:v>Governance report</x:v>
      </x:c>
      <x:c r="M8" s="133" t="str">
        <x:v>Working hypothesis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20" hidden="0" customWidth="1"/>
    <x:col min="4" max="4" width="18" hidden="0" customWidth="1"/>
    <x:col min="5" max="5" width="22" hidden="0" customWidth="1"/>
    <x:col min="6" max="6" width="23" hidden="0" customWidth="1"/>
    <x:col min="7" max="7" width="21" hidden="0" customWidth="1"/>
    <x:col min="8" max="8" width="17" hidden="0" customWidth="1"/>
    <x:col min="9" max="9" width="15" hidden="0" customWidth="1"/>
    <x:col min="10" max="10" width="20" hidden="0" customWidth="1"/>
    <x:col min="11" max="11" width="16" hidden="0" customWidth="1"/>
  </x:cols>
  <x:sheetData>
    <x:row r="1" ht="28" customHeight="1">
      <x:c r="A1" s="118" t="str">
        <x:v>PRODUCT STRATEGY LAB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</x:row>
    <x:row r="2" ht="30" customHeight="1">
      <x:c r="A2" s="121" t="str">
        <x:v>Decision score combines demand, economics, distribution, capability and regulation; assumptions must be validated before product approval.</x:v>
      </x:c>
      <x:c r="B2" s="121"/>
      <x:c r="C2" s="121"/>
      <x:c r="D2" s="121"/>
      <x:c r="E2" s="121"/>
      <x:c r="F2" s="121"/>
      <x:c r="G2" s="121"/>
      <x:c r="H2" s="121"/>
      <x:c r="I2" s="121"/>
      <x:c r="J2" s="121"/>
      <x:c r="K2" s="121"/>
    </x:row>
    <x:row r="3" ht="30" customHeight="1">
      <x:c r="A3" s="124" t="str">
        <x:v>Product_Idea</x:v>
      </x:c>
      <x:c r="B3" s="124" t="str">
        <x:v>Market_Demand</x:v>
      </x:c>
      <x:c r="C3" s="124" t="str">
        <x:v>Revenue_Potential</x:v>
      </x:c>
      <x:c r="D3" s="124" t="str">
        <x:v>Distribution_Fit</x:v>
      </x:c>
      <x:c r="E3" s="124" t="str">
        <x:v>Investment_Capability</x:v>
      </x:c>
      <x:c r="F3" s="124" t="str">
        <x:v>Regulatory_Feasibility</x:v>
      </x:c>
      <x:c r="G3" s="124" t="str">
        <x:v>Cannibalisation_Risk</x:v>
      </x:c>
      <x:c r="H3" s="124" t="str">
        <x:v>Weighted_Score</x:v>
      </x:c>
      <x:c r="I3" s="124" t="str">
        <x:v>Decision</x:v>
      </x:c>
      <x:c r="J3" s="124" t="str">
        <x:v>Owner</x:v>
      </x:c>
      <x:c r="K3" s="124" t="str">
        <x:v>Source_Status</x:v>
      </x:c>
    </x:row>
    <x:row r="4" ht="22" customHeight="1">
      <x:c r="A4" s="125" t="str">
        <x:v>Money Market Fund</x:v>
      </x:c>
      <x:c r="B4" s="126" t="n">
        <x:v>8</x:v>
      </x:c>
      <x:c r="C4" s="126" t="n">
        <x:v>8</x:v>
      </x:c>
      <x:c r="D4" s="126" t="n">
        <x:v>9</x:v>
      </x:c>
      <x:c r="E4" s="126" t="n">
        <x:v>8</x:v>
      </x:c>
      <x:c r="F4" s="126" t="n">
        <x:v>8</x:v>
      </x:c>
      <x:c r="G4" s="126" t="n">
        <x:v>3</x:v>
      </x:c>
      <x:c r="H4" s="126" t="n">
        <x:f>B4*0.2+C4*0.2+D4*0.2+E4*0.15+F4*0.2-G4*0.05</x:f>
        <x:v>7.65</x:v>
      </x:c>
      <x:c r="I4" s="126" t="str">
        <x:f>IF(H4&gt;=7.5,"PILOT",IF(H4&gt;=6,"MONITOR","HOLD"))</x:f>
        <x:v>PILOT</x:v>
      </x:c>
      <x:c r="J4" s="126" t="str">
        <x:v>Product</x:v>
      </x:c>
      <x:c r="K4" s="127" t="str">
        <x:v>Assumption</x:v>
      </x:c>
    </x:row>
    <x:row r="5" ht="22" customHeight="1">
      <x:c r="A5" s="128" t="str">
        <x:v>Retirement Fund</x:v>
      </x:c>
      <x:c r="B5" s="129" t="n">
        <x:v>8</x:v>
      </x:c>
      <x:c r="C5" s="129" t="n">
        <x:v>7</x:v>
      </x:c>
      <x:c r="D5" s="129" t="n">
        <x:v>8</x:v>
      </x:c>
      <x:c r="E5" s="129" t="n">
        <x:v>7</x:v>
      </x:c>
      <x:c r="F5" s="129" t="n">
        <x:v>7</x:v>
      </x:c>
      <x:c r="G5" s="129" t="n">
        <x:v>2</x:v>
      </x:c>
      <x:c r="H5" s="129" t="n">
        <x:f>B5*0.2+C5*0.2+D5*0.2+E5*0.15+F5*0.2-G5*0.05</x:f>
        <x:v>6.95</x:v>
      </x:c>
      <x:c r="I5" s="129" t="str">
        <x:f>IF(H5&gt;=7.5,"PILOT",IF(H5&gt;=6,"MONITOR","HOLD"))</x:f>
        <x:v>MONITOR</x:v>
      </x:c>
      <x:c r="J5" s="129" t="str">
        <x:v>Strategy</x:v>
      </x:c>
      <x:c r="K5" s="130" t="str">
        <x:v>Assumption</x:v>
      </x:c>
    </x:row>
    <x:row r="6" ht="22" customHeight="1">
      <x:c r="A6" s="128" t="str">
        <x:v>Sector ETF</x:v>
      </x:c>
      <x:c r="B6" s="129" t="n">
        <x:v>7</x:v>
      </x:c>
      <x:c r="C6" s="129" t="n">
        <x:v>7</x:v>
      </x:c>
      <x:c r="D6" s="129" t="n">
        <x:v>8</x:v>
      </x:c>
      <x:c r="E6" s="129" t="n">
        <x:v>9</x:v>
      </x:c>
      <x:c r="F6" s="129" t="n">
        <x:v>8</x:v>
      </x:c>
      <x:c r="G6" s="129" t="n">
        <x:v>5</x:v>
      </x:c>
      <x:c r="H6" s="129" t="n">
        <x:f>B6*0.2+C6*0.2+D6*0.2+E6*0.15+F6*0.2-G6*0.05</x:f>
        <x:v>7.1</x:v>
      </x:c>
      <x:c r="I6" s="129" t="str">
        <x:f>IF(H6&gt;=7.5,"PILOT",IF(H6&gt;=6,"MONITOR","HOLD"))</x:f>
        <x:v>MONITOR</x:v>
      </x:c>
      <x:c r="J6" s="129" t="str">
        <x:v>ETF Team</x:v>
      </x:c>
      <x:c r="K6" s="130" t="str">
        <x:v>Assumption</x:v>
      </x:c>
    </x:row>
    <x:row r="7" ht="22" customHeight="1">
      <x:c r="A7" s="128" t="str">
        <x:v>ESG Equity Fund</x:v>
      </x:c>
      <x:c r="B7" s="129" t="n">
        <x:v>6</x:v>
      </x:c>
      <x:c r="C7" s="129" t="n">
        <x:v>6</x:v>
      </x:c>
      <x:c r="D7" s="129" t="n">
        <x:v>7</x:v>
      </x:c>
      <x:c r="E7" s="129" t="n">
        <x:v>7</x:v>
      </x:c>
      <x:c r="F7" s="129" t="n">
        <x:v>8</x:v>
      </x:c>
      <x:c r="G7" s="129" t="n">
        <x:v>4</x:v>
      </x:c>
      <x:c r="H7" s="129" t="n">
        <x:f>B7*0.2+C7*0.2+D7*0.2+E7*0.15+F7*0.2-G7*0.05</x:f>
        <x:v>6.250000000000001</x:v>
      </x:c>
      <x:c r="I7" s="129" t="str">
        <x:f>IF(H7&gt;=7.5,"PILOT",IF(H7&gt;=6,"MONITOR","HOLD"))</x:f>
        <x:v>MONITOR</x:v>
      </x:c>
      <x:c r="J7" s="129" t="str">
        <x:v>Product</x:v>
      </x:c>
      <x:c r="K7" s="130" t="str">
        <x:v>Assumption</x:v>
      </x:c>
    </x:row>
    <x:row r="8" ht="22" customHeight="1">
      <x:c r="A8" s="131" t="str">
        <x:v>Private Credit Platform</x:v>
      </x:c>
      <x:c r="B8" s="132" t="n">
        <x:v>7</x:v>
      </x:c>
      <x:c r="C8" s="132" t="n">
        <x:v>9</x:v>
      </x:c>
      <x:c r="D8" s="132" t="n">
        <x:v>5</x:v>
      </x:c>
      <x:c r="E8" s="132" t="n">
        <x:v>5</x:v>
      </x:c>
      <x:c r="F8" s="132" t="n">
        <x:v>4</x:v>
      </x:c>
      <x:c r="G8" s="132" t="n">
        <x:v>7</x:v>
      </x:c>
      <x:c r="H8" s="132" t="n">
        <x:f>B8*0.2+C8*0.2+D8*0.2+E8*0.15+F8*0.2-G8*0.05</x:f>
        <x:v>5.4</x:v>
      </x:c>
      <x:c r="I8" s="132" t="str">
        <x:f>IF(H8&gt;=7.5,"PILOT",IF(H8&gt;=6,"MONITOR","HOLD"))</x:f>
        <x:v>HOLD</x:v>
      </x:c>
      <x:c r="J8" s="132" t="str">
        <x:v>Strategy / Legal</x:v>
      </x:c>
      <x:c r="K8" s="133" t="str">
        <x:v>Assumption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17" hidden="0" customWidth="1"/>
    <x:col min="8" max="8" width="16" hidden="0" customWidth="1"/>
    <x:col min="9" max="9" width="23" hidden="0" customWidth="1"/>
    <x:col min="10" max="10" width="20" hidden="0" customWidth="1"/>
    <x:col min="11" max="11" width="14" hidden="0" customWidth="1"/>
    <x:col min="12" max="12" width="16" hidden="0" customWidth="1"/>
  </x:cols>
  <x:sheetData>
    <x:row r="1" ht="28" customHeight="1">
      <x:c r="A1" s="118" t="str">
        <x:v>BUSINESS PLAN &amp; KPI CONTROL TOWER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  <x:c r="L1" s="118"/>
    </x:row>
    <x:row r="2" ht="30" customHeight="1">
      <x:c r="A2" s="121" t="str">
        <x:v>Actual/Budget/Forecast values are illustrative. Variances are calculated in-sheet for auditability.</x:v>
      </x:c>
      <x:c r="B2" s="121"/>
      <x:c r="C2" s="121"/>
      <x:c r="D2" s="121"/>
      <x:c r="E2" s="121"/>
      <x:c r="F2" s="121"/>
      <x:c r="G2" s="121"/>
      <x:c r="H2" s="121"/>
      <x:c r="I2" s="121"/>
      <x:c r="J2" s="121"/>
      <x:c r="K2" s="121"/>
      <x:c r="L2" s="121"/>
    </x:row>
    <x:row r="3" ht="30" customHeight="1">
      <x:c r="A3" s="124" t="str">
        <x:v>KPI</x:v>
      </x:c>
      <x:c r="B3" s="124" t="str">
        <x:v>Unit</x:v>
      </x:c>
      <x:c r="C3" s="124" t="str">
        <x:v>Actual_YTD</x:v>
      </x:c>
      <x:c r="D3" s="124" t="str">
        <x:v>Budget_YTD</x:v>
      </x:c>
      <x:c r="E3" s="124" t="str">
        <x:v>Variance_Abs</x:v>
      </x:c>
      <x:c r="F3" s="124" t="str">
        <x:v>Variance_Pct</x:v>
      </x:c>
      <x:c r="G3" s="124" t="str">
        <x:v>FY_Forecast</x:v>
      </x:c>
      <x:c r="H3" s="124" t="str">
        <x:v>FY_Plan</x:v>
      </x:c>
      <x:c r="I3" s="124" t="str">
        <x:v>Forecast_vs_Plan_Pct</x:v>
      </x:c>
      <x:c r="J3" s="124" t="str">
        <x:v>Owner</x:v>
      </x:c>
      <x:c r="K3" s="124" t="str">
        <x:v>Status</x:v>
      </x:c>
      <x:c r="L3" s="124" t="str">
        <x:v>Source_Status</x:v>
      </x:c>
    </x:row>
    <x:row r="4" ht="22" customHeight="1">
      <x:c r="A4" s="125" t="str">
        <x:v>Average AUM</x:v>
      </x:c>
      <x:c r="B4" s="126" t="str">
        <x:v>VND bn</x:v>
      </x:c>
      <x:c r="C4" s="126" t="n">
        <x:v>132000</x:v>
      </x:c>
      <x:c r="D4" s="126" t="n">
        <x:v>135000</x:v>
      </x:c>
      <x:c r="E4" s="126" t="n">
        <x:f>C4-D4</x:f>
        <x:v>-3000</x:v>
      </x:c>
      <x:c r="F4" s="137" t="n">
        <x:f>IFERROR(E4/D4,0)</x:f>
        <x:v>-0.022222222222222223</x:v>
      </x:c>
      <x:c r="G4" s="126" t="n">
        <x:v>141000</x:v>
      </x:c>
      <x:c r="H4" s="126" t="n">
        <x:v>148000</x:v>
      </x:c>
      <x:c r="I4" s="137" t="n">
        <x:f>IFERROR(G4/H4-1,0)</x:f>
        <x:v>-0.04729729729729726</x:v>
      </x:c>
      <x:c r="J4" s="126" t="str">
        <x:v>CEO / Distribution</x:v>
      </x:c>
      <x:c r="K4" s="126" t="str">
        <x:f>IF(I4&gt;=0,"ON TRACK",IF(I4&gt;=-0.05,"WATCH","OFF TRACK"))</x:f>
        <x:v>WATCH</x:v>
      </x:c>
      <x:c r="L4" s="127" t="str">
        <x:v>Assumption</x:v>
      </x:c>
    </x:row>
    <x:row r="5" ht="22" customHeight="1">
      <x:c r="A5" s="128" t="str">
        <x:v>Net flow</x:v>
      </x:c>
      <x:c r="B5" s="129" t="str">
        <x:v>VND bn</x:v>
      </x:c>
      <x:c r="C5" s="129" t="n">
        <x:v>2100</x:v>
      </x:c>
      <x:c r="D5" s="129" t="n">
        <x:v>4200</x:v>
      </x:c>
      <x:c r="E5" s="129" t="n">
        <x:f>C5-D5</x:f>
        <x:v>-2100</x:v>
      </x:c>
      <x:c r="F5" s="138" t="n">
        <x:f>IFERROR(E5/D5,0)</x:f>
        <x:v>-0.5</x:v>
      </x:c>
      <x:c r="G5" s="129" t="n">
        <x:v>4800</x:v>
      </x:c>
      <x:c r="H5" s="129" t="n">
        <x:v>8500</x:v>
      </x:c>
      <x:c r="I5" s="138" t="n">
        <x:f>IFERROR(G5/H5-1,0)</x:f>
        <x:v>-0.43529411764705883</x:v>
      </x:c>
      <x:c r="J5" s="129" t="str">
        <x:v>Distribution</x:v>
      </x:c>
      <x:c r="K5" s="129" t="str">
        <x:f>IF(I5&gt;=0,"ON TRACK",IF(I5&gt;=-0.05,"WATCH","OFF TRACK"))</x:f>
        <x:v>OFF TRACK</x:v>
      </x:c>
      <x:c r="L5" s="130" t="str">
        <x:v>Assumption</x:v>
      </x:c>
    </x:row>
    <x:row r="6" ht="22" customHeight="1">
      <x:c r="A6" s="128" t="str">
        <x:v>Revenue</x:v>
      </x:c>
      <x:c r="B6" s="129" t="str">
        <x:v>VND bn</x:v>
      </x:c>
      <x:c r="C6" s="129" t="n">
        <x:v>935</x:v>
      </x:c>
      <x:c r="D6" s="129" t="n">
        <x:v>970</x:v>
      </x:c>
      <x:c r="E6" s="129" t="n">
        <x:f>C6-D6</x:f>
        <x:v>-35</x:v>
      </x:c>
      <x:c r="F6" s="138" t="n">
        <x:f>IFERROR(E6/D6,0)</x:f>
        <x:v>-0.03608247422680412</x:v>
      </x:c>
      <x:c r="G6" s="129" t="n">
        <x:v>1940</x:v>
      </x:c>
      <x:c r="H6" s="129" t="n">
        <x:v>2070</x:v>
      </x:c>
      <x:c r="I6" s="138" t="n">
        <x:f>IFERROR(G6/H6-1,0)</x:f>
        <x:v>-0.0628019323671497</x:v>
      </x:c>
      <x:c r="J6" s="129" t="str">
        <x:v>CFO</x:v>
      </x:c>
      <x:c r="K6" s="129" t="str">
        <x:f>IF(I6&gt;=0,"ON TRACK",IF(I6&gt;=-0.05,"WATCH","OFF TRACK"))</x:f>
        <x:v>OFF TRACK</x:v>
      </x:c>
      <x:c r="L6" s="130" t="str">
        <x:v>Assumption</x:v>
      </x:c>
    </x:row>
    <x:row r="7" ht="22" customHeight="1">
      <x:c r="A7" s="128" t="str">
        <x:v>NPAT</x:v>
      </x:c>
      <x:c r="B7" s="129" t="str">
        <x:v>VND bn</x:v>
      </x:c>
      <x:c r="C7" s="129" t="n">
        <x:v>382</x:v>
      </x:c>
      <x:c r="D7" s="129" t="n">
        <x:v>410</x:v>
      </x:c>
      <x:c r="E7" s="129" t="n">
        <x:f>C7-D7</x:f>
        <x:v>-28</x:v>
      </x:c>
      <x:c r="F7" s="138" t="n">
        <x:f>IFERROR(E7/D7,0)</x:f>
        <x:v>-0.06829268292682927</x:v>
      </x:c>
      <x:c r="G7" s="129" t="n">
        <x:v>790</x:v>
      </x:c>
      <x:c r="H7" s="129" t="n">
        <x:v>865</x:v>
      </x:c>
      <x:c r="I7" s="138" t="n">
        <x:f>IFERROR(G7/H7-1,0)</x:f>
        <x:v>-0.08670520231213874</x:v>
      </x:c>
      <x:c r="J7" s="129" t="str">
        <x:v>CFO</x:v>
      </x:c>
      <x:c r="K7" s="129" t="str">
        <x:f>IF(I7&gt;=0,"ON TRACK",IF(I7&gt;=-0.05,"WATCH","OFF TRACK"))</x:f>
        <x:v>OFF TRACK</x:v>
      </x:c>
      <x:c r="L7" s="130" t="str">
        <x:v>Assumption</x:v>
      </x:c>
    </x:row>
    <x:row r="8" ht="22" customHeight="1">
      <x:c r="A8" s="128" t="str">
        <x:v>Active investors</x:v>
      </x:c>
      <x:c r="B8" s="129" t="str">
        <x:v>count</x:v>
      </x:c>
      <x:c r="C8" s="129" t="n">
        <x:v>39325</x:v>
      </x:c>
      <x:c r="D8" s="129" t="n">
        <x:v>42000</x:v>
      </x:c>
      <x:c r="E8" s="129" t="n">
        <x:f>C8-D8</x:f>
        <x:v>-2675</x:v>
      </x:c>
      <x:c r="F8" s="138" t="n">
        <x:f>IFERROR(E8/D8,0)</x:f>
        <x:v>-0.06369047619047619</x:v>
      </x:c>
      <x:c r="G8" s="129" t="n">
        <x:v>44800</x:v>
      </x:c>
      <x:c r="H8" s="129" t="n">
        <x:v>50000</x:v>
      </x:c>
      <x:c r="I8" s="138" t="n">
        <x:f>IFERROR(G8/H8-1,0)</x:f>
        <x:v>-0.10399999999999998</x:v>
      </x:c>
      <x:c r="J8" s="129" t="str">
        <x:v>Distribution</x:v>
      </x:c>
      <x:c r="K8" s="129" t="str">
        <x:f>IF(I8&gt;=0,"ON TRACK",IF(I8&gt;=-0.05,"WATCH","OFF TRACK"))</x:f>
        <x:v>OFF TRACK</x:v>
      </x:c>
      <x:c r="L8" s="130" t="str">
        <x:v>Assumption</x:v>
      </x:c>
    </x:row>
    <x:row r="9" ht="22" customHeight="1">
      <x:c r="A9" s="131" t="str">
        <x:v>Funds above benchmark</x:v>
      </x:c>
      <x:c r="B9" s="132" t="str">
        <x:v>%</x:v>
      </x:c>
      <x:c r="C9" s="139" t="n">
        <x:v>0.67</x:v>
      </x:c>
      <x:c r="D9" s="139" t="n">
        <x:v>0.75</x:v>
      </x:c>
      <x:c r="E9" s="132" t="n">
        <x:f>C9-D9</x:f>
        <x:v>-0.07999999999999996</x:v>
      </x:c>
      <x:c r="F9" s="139" t="n">
        <x:f>IFERROR(E9/D9,0)</x:f>
        <x:v>-0.10666666666666662</x:v>
      </x:c>
      <x:c r="G9" s="139" t="n">
        <x:v>0.7</x:v>
      </x:c>
      <x:c r="H9" s="139" t="n">
        <x:v>0.75</x:v>
      </x:c>
      <x:c r="I9" s="139" t="n">
        <x:f>IFERROR(G9/H9-1,0)</x:f>
        <x:v>-0.06666666666666676</x:v>
      </x:c>
      <x:c r="J9" s="132" t="str">
        <x:v>CIO</x:v>
      </x:c>
      <x:c r="K9" s="132" t="str">
        <x:f>IF(I9&gt;=0,"ON TRACK",IF(I9&gt;=-0.05,"WATCH","OFF TRACK"))</x:f>
        <x:v>OFF TRACK</x:v>
      </x:c>
      <x:c r="L9" s="133" t="str">
        <x:v>Assumption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18" hidden="0" customWidth="1"/>
    <x:col min="4" max="4" width="42" hidden="0" customWidth="1"/>
    <x:col min="5" max="5" width="13" hidden="0" customWidth="1"/>
    <x:col min="6" max="6" width="18" hidden="0" customWidth="1"/>
    <x:col min="7" max="7" width="19" hidden="0" customWidth="1"/>
    <x:col min="8" max="8" width="20" hidden="0" customWidth="1"/>
    <x:col min="9" max="9" width="15" hidden="0" customWidth="1"/>
    <x:col min="10" max="10" width="15" hidden="0" customWidth="1"/>
    <x:col min="11" max="11" width="22" hidden="0" customWidth="1"/>
    <x:col min="12" max="12" width="22" hidden="0" customWidth="1"/>
    <x:col min="13" max="13" width="18" hidden="0" customWidth="1"/>
    <x:col min="14" max="14" width="28" hidden="0" customWidth="1"/>
    <x:col min="15" max="15" width="15" hidden="0" customWidth="1"/>
    <x:col min="16" max="16" width="20" hidden="0" customWidth="1"/>
  </x:cols>
  <x:sheetData>
    <x:row r="1" ht="28" customHeight="1">
      <x:c r="A1" s="118" t="str">
        <x:v>DECISION &amp; RECOMMENDATION TRACKER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  <x:c r="L1" s="118"/>
      <x:c r="M1" s="118"/>
      <x:c r="N1" s="118"/>
      <x:c r="O1" s="118"/>
      <x:c r="P1" s="118"/>
    </x:row>
    <x:row r="2" ht="30" customHeight="1">
      <x:c r="A2" s="121" t="str">
        <x:v>Closed-loop governance: evidence → recommendation → decision → accountable execution → measured outcome.</x:v>
      </x:c>
      <x:c r="B2" s="121"/>
      <x:c r="C2" s="121"/>
      <x:c r="D2" s="121"/>
      <x:c r="E2" s="121"/>
      <x:c r="F2" s="121"/>
      <x:c r="G2" s="121"/>
      <x:c r="H2" s="121"/>
      <x:c r="I2" s="121"/>
      <x:c r="J2" s="121"/>
      <x:c r="K2" s="121"/>
      <x:c r="L2" s="121"/>
      <x:c r="M2" s="121"/>
      <x:c r="N2" s="121"/>
      <x:c r="O2" s="121"/>
      <x:c r="P2" s="121"/>
    </x:row>
    <x:row r="3" ht="30" customHeight="1">
      <x:c r="A3" s="124" t="str">
        <x:v>Decision_ID</x:v>
      </x:c>
      <x:c r="B3" s="124" t="str">
        <x:v>Date_Raised</x:v>
      </x:c>
      <x:c r="C3" s="124" t="str">
        <x:v>Domain</x:v>
      </x:c>
      <x:c r="D3" s="124" t="str">
        <x:v>Recommendation</x:v>
      </x:c>
      <x:c r="E3" s="124" t="str">
        <x:v>Priority</x:v>
      </x:c>
      <x:c r="F3" s="124" t="str">
        <x:v>Decision_Status</x:v>
      </x:c>
      <x:c r="G3" s="124" t="str">
        <x:v>Decision_Owner</x:v>
      </x:c>
      <x:c r="H3" s="124" t="str">
        <x:v>Action_Owner</x:v>
      </x:c>
      <x:c r="I3" s="124" t="str">
        <x:v>Due_Date</x:v>
      </x:c>
      <x:c r="J3" s="124" t="str">
        <x:v>Progress_Pct</x:v>
      </x:c>
      <x:c r="K3" s="124" t="str">
        <x:v>Expected_Value_VND_bn</x:v>
      </x:c>
      <x:c r="L3" s="124" t="str">
        <x:v>Realised_Value_VND_bn</x:v>
      </x:c>
      <x:c r="M3" s="124" t="str">
        <x:v>Outcome</x:v>
      </x:c>
      <x:c r="N3" s="124" t="str">
        <x:v>Evidence_Reference</x:v>
      </x:c>
      <x:c r="O3" s="124" t="str">
        <x:v>Last_Update</x:v>
      </x:c>
      <x:c r="P3" s="124" t="str">
        <x:v>Source_Status</x:v>
      </x:c>
    </x:row>
    <x:row r="4" ht="22" customHeight="1">
      <x:c r="A4" s="125" t="str">
        <x:v>DEC-001</x:v>
      </x:c>
      <x:c r="B4" s="146" t="n">
        <x:v>46227</x:v>
      </x:c>
      <x:c r="C4" s="126" t="str">
        <x:v>Ownership</x:v>
      </x:c>
      <x:c r="D4" s="126" t="str">
        <x:v>Reconcile shareholder register and governance report</x:v>
      </x:c>
      <x:c r="E4" s="126" t="str">
        <x:v>HIGH</x:v>
      </x:c>
      <x:c r="F4" s="126" t="str">
        <x:v>Approved</x:v>
      </x:c>
      <x:c r="G4" s="126" t="str">
        <x:v>Board</x:v>
      </x:c>
      <x:c r="H4" s="126" t="str">
        <x:v>Board Secretariat</x:v>
      </x:c>
      <x:c r="I4" s="146" t="n">
        <x:v>46249</x:v>
      </x:c>
      <x:c r="J4" s="149" t="n">
        <x:v>0.55</x:v>
      </x:c>
      <x:c r="K4" s="126" t="n">
        <x:v>0</x:v>
      </x:c>
      <x:c r="L4" s="126" t="n">
        <x:v>0</x:v>
      </x:c>
      <x:c r="M4" s="126" t="str">
        <x:v>In progress</x:v>
      </x:c>
      <x:c r="N4" s="126" t="str">
        <x:v>M&amp;A_Events / Board_Events</x:v>
      </x:c>
      <x:c r="O4" s="146" t="n">
        <x:v>46235</x:v>
      </x:c>
      <x:c r="P4" s="127" t="str">
        <x:v>Working hypothesis</x:v>
      </x:c>
    </x:row>
    <x:row r="5" ht="22" customHeight="1">
      <x:c r="A5" s="128" t="str">
        <x:v>DEC-002</x:v>
      </x:c>
      <x:c r="B5" s="147" t="n">
        <x:v>46231</x:v>
      </x:c>
      <x:c r="C5" s="129" t="str">
        <x:v>Distribution</x:v>
      </x:c>
      <x:c r="D5" s="129" t="str">
        <x:v>Review redemption drivers by channel</x:v>
      </x:c>
      <x:c r="E5" s="129" t="str">
        <x:v>HIGH</x:v>
      </x:c>
      <x:c r="F5" s="129" t="str">
        <x:v>Approved</x:v>
      </x:c>
      <x:c r="G5" s="129" t="str">
        <x:v>CEO</x:v>
      </x:c>
      <x:c r="H5" s="129" t="str">
        <x:v>Distribution</x:v>
      </x:c>
      <x:c r="I5" s="147" t="n">
        <x:v>46265</x:v>
      </x:c>
      <x:c r="J5" s="150" t="n">
        <x:v>0.35</x:v>
      </x:c>
      <x:c r="K5" s="129" t="n">
        <x:v>45</x:v>
      </x:c>
      <x:c r="L5" s="129" t="n">
        <x:v>0</x:v>
      </x:c>
      <x:c r="M5" s="129" t="str">
        <x:v>In progress</x:v>
      </x:c>
      <x:c r="N5" s="129" t="str">
        <x:v>Distribution_Channels</x:v>
      </x:c>
      <x:c r="O5" s="147" t="n">
        <x:v>46235</x:v>
      </x:c>
      <x:c r="P5" s="130" t="str">
        <x:v>Assumption</x:v>
      </x:c>
    </x:row>
    <x:row r="6" ht="22" customHeight="1">
      <x:c r="A6" s="128" t="str">
        <x:v>DEC-003</x:v>
      </x:c>
      <x:c r="B6" s="147" t="n">
        <x:v>46233</x:v>
      </x:c>
      <x:c r="C6" s="129" t="str">
        <x:v>Product</x:v>
      </x:c>
      <x:c r="D6" s="129" t="str">
        <x:v>Prepare money-market fund pilot business case</x:v>
      </x:c>
      <x:c r="E6" s="129" t="str">
        <x:v>MEDIUM</x:v>
      </x:c>
      <x:c r="F6" s="129" t="str">
        <x:v>Under review</x:v>
      </x:c>
      <x:c r="G6" s="129" t="str">
        <x:v>CEO</x:v>
      </x:c>
      <x:c r="H6" s="129" t="str">
        <x:v>Product</x:v>
      </x:c>
      <x:c r="I6" s="147" t="n">
        <x:v>46280</x:v>
      </x:c>
      <x:c r="J6" s="150" t="n">
        <x:v>0.15</x:v>
      </x:c>
      <x:c r="K6" s="129" t="n">
        <x:v>60</x:v>
      </x:c>
      <x:c r="L6" s="129" t="n">
        <x:v>0</x:v>
      </x:c>
      <x:c r="M6" s="129" t="str">
        <x:v>Business case</x:v>
      </x:c>
      <x:c r="N6" s="129" t="str">
        <x:v>Product_Strategy</x:v>
      </x:c>
      <x:c r="O6" s="147" t="n">
        <x:v>46235</x:v>
      </x:c>
      <x:c r="P6" s="130" t="str">
        <x:v>Assumption</x:v>
      </x:c>
    </x:row>
    <x:row r="7" ht="22" customHeight="1">
      <x:c r="A7" s="131" t="str">
        <x:v>DEC-004</x:v>
      </x:c>
      <x:c r="B7" s="148" t="n">
        <x:v>46235</x:v>
      </x:c>
      <x:c r="C7" s="132" t="str">
        <x:v>Compliance</x:v>
      </x:c>
      <x:c r="D7" s="132" t="str">
        <x:v>Close related-party reconciliation gaps</x:v>
      </x:c>
      <x:c r="E7" s="132" t="str">
        <x:v>HIGH</x:v>
      </x:c>
      <x:c r="F7" s="132" t="str">
        <x:v>Approved</x:v>
      </x:c>
      <x:c r="G7" s="132" t="str">
        <x:v>CRO</x:v>
      </x:c>
      <x:c r="H7" s="132" t="str">
        <x:v>Compliance</x:v>
      </x:c>
      <x:c r="I7" s="148" t="n">
        <x:v>46246</x:v>
      </x:c>
      <x:c r="J7" s="151" t="n">
        <x:v>0.45</x:v>
      </x:c>
      <x:c r="K7" s="132" t="n">
        <x:v>0</x:v>
      </x:c>
      <x:c r="L7" s="132" t="n">
        <x:v>0</x:v>
      </x:c>
      <x:c r="M7" s="132" t="str">
        <x:v>In progress</x:v>
      </x:c>
      <x:c r="N7" s="132" t="str">
        <x:v>Regulatory_Compliance</x:v>
      </x:c>
      <x:c r="O7" s="148" t="n">
        <x:v>46236</x:v>
      </x:c>
      <x:c r="P7" s="133" t="str">
        <x:v>Working hypothesis</x:v>
      </x:c>
    </x:row>
  </x:sheetData>
  <x:mergeCells>
    <x:mergeCell ref="A1:P1"/>
    <x:mergeCell ref="A2:P2"/>
  </x:mergeCells>
  <x:dataValidations count="2">
    <x:dataValidation type="list" sqref="E4:E200">
      <x:formula1>"HIGH,MEDIUM,LOW"</x:formula1>
    </x:dataValidation>
    <x:dataValidation type="list" sqref="F4:F200">
      <x:formula1>"Proposed,Under review,Approved,Rejected,Closed"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6" hidden="0" customWidth="1"/>
    <x:col min="4" max="4" width="13" hidden="0" customWidth="1"/>
    <x:col min="5" max="5" width="15" hidden="0" customWidth="1"/>
    <x:col min="6" max="6" width="15" hidden="0" customWidth="1"/>
    <x:col min="7" max="7" width="12" hidden="0" customWidth="1"/>
    <x:col min="8" max="8" width="12" hidden="0" customWidth="1"/>
    <x:col min="9" max="9" width="48" hidden="0" customWidth="1"/>
    <x:col min="10" max="10" width="25" hidden="0" customWidth="1"/>
    <x:col min="11" max="11" width="28" hidden="0" customWidth="1"/>
    <x:col min="12" max="12" width="14" hidden="0" customWidth="1"/>
    <x:col min="13" max="13" width="12" hidden="0" customWidth="1"/>
    <x:col min="14" max="14" width="14" hidden="0" customWidth="1"/>
  </x:cols>
  <x:sheetData>
    <x:row r="1" ht="28" customHeight="1">
      <x:c r="A1" s="384" t="str">
        <x:v>MACRO INDICATORS — CONTROLLED MANUAL INPUT</x:v>
      </x:c>
      <x:c r="B1" s="384"/>
      <x:c r="C1" s="384"/>
      <x:c r="D1" s="384"/>
      <x:c r="E1" s="384"/>
      <x:c r="F1" s="384"/>
      <x:c r="G1" s="384"/>
      <x:c r="H1" s="384"/>
      <x:c r="I1" s="384"/>
      <x:c r="J1" s="384"/>
      <x:c r="K1" s="384"/>
      <x:c r="L1" s="384"/>
      <x:c r="M1" s="384"/>
      <x:c r="N1" s="384"/>
    </x:row>
    <x:row r="2" ht="30" customHeight="1">
      <x:c r="A2" s="387" t="str">
        <x:v>Update blue cells from official releases. Current and previous values must use the same definition and frequency. Illustrative values below must be replaced before formal use.</x:v>
      </x:c>
      <x:c r="B2" s="387"/>
      <x:c r="C2" s="387"/>
      <x:c r="D2" s="387"/>
      <x:c r="E2" s="387"/>
      <x:c r="F2" s="387"/>
      <x:c r="G2" s="387"/>
      <x:c r="H2" s="387"/>
      <x:c r="I2" s="387"/>
      <x:c r="J2" s="387"/>
      <x:c r="K2" s="387"/>
      <x:c r="L2" s="387"/>
      <x:c r="M2" s="387"/>
      <x:c r="N2" s="387"/>
    </x:row>
    <x:row r="3" ht="30" customHeight="1">
      <x:c r="A3" s="391" t="str">
        <x:v>As_of</x:v>
      </x:c>
      <x:c r="B3" s="391" t="str">
        <x:v>Indicator</x:v>
      </x:c>
      <x:c r="C3" s="391" t="str">
        <x:v>Group</x:v>
      </x:c>
      <x:c r="D3" s="391" t="str">
        <x:v>Frequency</x:v>
      </x:c>
      <x:c r="E3" s="391" t="str">
        <x:v>Current_Value</x:v>
      </x:c>
      <x:c r="F3" s="391" t="str">
        <x:v>Previous_Value</x:v>
      </x:c>
      <x:c r="G3" s="391" t="str">
        <x:v>Unit</x:v>
      </x:c>
      <x:c r="H3" s="391" t="str">
        <x:v>Direction</x:v>
      </x:c>
      <x:c r="I3" s="391" t="str">
        <x:v>Market_Implication</x:v>
      </x:c>
      <x:c r="J3" s="391" t="str">
        <x:v>Source_Status</x:v>
      </x:c>
      <x:c r="K3" s="391" t="str">
        <x:v>Source_Reference</x:v>
      </x:c>
      <x:c r="L3" s="391" t="str">
        <x:v>Owner</x:v>
      </x:c>
      <x:c r="M3" s="391" t="str">
        <x:v>Show_KPI</x:v>
      </x:c>
      <x:c r="N3" s="391" t="str">
        <x:v>Display_Order</x:v>
      </x:c>
    </x:row>
    <x:row r="4">
      <x:c r="A4" s="392" t="n">
        <x:v>46203</x:v>
      </x:c>
      <x:c r="B4" s="361" t="str">
        <x:v>GDP Growth YoY</x:v>
      </x:c>
      <x:c r="C4" s="361" t="str">
        <x:v>Growth</x:v>
      </x:c>
      <x:c r="D4" s="361" t="str">
        <x:v>Quarterly</x:v>
      </x:c>
      <x:c r="E4" s="401" t="n">
        <x:v>7.52</x:v>
      </x:c>
      <x:c r="F4" s="401" t="n">
        <x:v>6.93</x:v>
      </x:c>
      <x:c r="G4" s="361" t="str">
        <x:v>%</x:v>
      </x:c>
      <x:c r="H4" s="361" t="str">
        <x:v>Up</x:v>
      </x:c>
      <x:c r="I4" s="361" t="str">
        <x:v>Stronger growth supports AUM and corporate earnings.</x:v>
      </x:c>
      <x:c r="J4" s="404" t="str">
        <x:v>Illustrative manual input</x:v>
      </x:c>
      <x:c r="K4" s="404" t="str">
        <x:v>GSO / official release</x:v>
      </x:c>
      <x:c r="L4" s="361" t="str">
        <x:v>Strategy</x:v>
      </x:c>
      <x:c r="M4" s="395" t="str">
        <x:v>Yes</x:v>
      </x:c>
      <x:c r="N4" s="407" t="n">
        <x:v>1</x:v>
      </x:c>
    </x:row>
    <x:row r="5">
      <x:c r="A5" s="393" t="n">
        <x:v>46203</x:v>
      </x:c>
      <x:c r="B5" s="364" t="str">
        <x:v>CPI YoY</x:v>
      </x:c>
      <x:c r="C5" s="364" t="str">
        <x:v>Inflation</x:v>
      </x:c>
      <x:c r="D5" s="364" t="str">
        <x:v>Monthly</x:v>
      </x:c>
      <x:c r="E5" s="402" t="n">
        <x:v>3.6</x:v>
      </x:c>
      <x:c r="F5" s="402" t="n">
        <x:v>3.4</x:v>
      </x:c>
      <x:c r="G5" s="364" t="str">
        <x:v>%</x:v>
      </x:c>
      <x:c r="H5" s="364" t="str">
        <x:v>Up</x:v>
      </x:c>
      <x:c r="I5" s="364" t="str">
        <x:v>Inflation pressure may limit policy easing.</x:v>
      </x:c>
      <x:c r="J5" s="405" t="str">
        <x:v>Illustrative manual input</x:v>
      </x:c>
      <x:c r="K5" s="405" t="str">
        <x:v>GSO / official release</x:v>
      </x:c>
      <x:c r="L5" s="364" t="str">
        <x:v>Strategy</x:v>
      </x:c>
      <x:c r="M5" s="396" t="str">
        <x:v>Yes</x:v>
      </x:c>
      <x:c r="N5" s="408" t="n">
        <x:v>2</x:v>
      </x:c>
    </x:row>
    <x:row r="6">
      <x:c r="A6" s="393" t="n">
        <x:v>46203</x:v>
      </x:c>
      <x:c r="B6" s="364" t="str">
        <x:v>Core CPI YoY</x:v>
      </x:c>
      <x:c r="C6" s="364" t="str">
        <x:v>Inflation</x:v>
      </x:c>
      <x:c r="D6" s="364" t="str">
        <x:v>Monthly</x:v>
      </x:c>
      <x:c r="E6" s="402" t="n">
        <x:v>3.25</x:v>
      </x:c>
      <x:c r="F6" s="402" t="n">
        <x:v>3.1</x:v>
      </x:c>
      <x:c r="G6" s="364" t="str">
        <x:v>%</x:v>
      </x:c>
      <x:c r="H6" s="364" t="str">
        <x:v>Up</x:v>
      </x:c>
      <x:c r="I6" s="364" t="str">
        <x:v>Persistent core inflation affects the rate outlook.</x:v>
      </x:c>
      <x:c r="J6" s="405" t="str">
        <x:v>Illustrative manual input</x:v>
      </x:c>
      <x:c r="K6" s="405" t="str">
        <x:v>GSO / official release</x:v>
      </x:c>
      <x:c r="L6" s="364" t="str">
        <x:v>Strategy</x:v>
      </x:c>
      <x:c r="M6" s="396" t="str">
        <x:v>No</x:v>
      </x:c>
      <x:c r="N6" s="408" t="n">
        <x:v>3</x:v>
      </x:c>
    </x:row>
    <x:row r="7">
      <x:c r="A7" s="393" t="n">
        <x:v>46203</x:v>
      </x:c>
      <x:c r="B7" s="364" t="str">
        <x:v>Credit Growth YTD</x:v>
      </x:c>
      <x:c r="C7" s="364" t="str">
        <x:v>Monetary</x:v>
      </x:c>
      <x:c r="D7" s="364" t="str">
        <x:v>Monthly</x:v>
      </x:c>
      <x:c r="E7" s="402" t="n">
        <x:v>8.2</x:v>
      </x:c>
      <x:c r="F7" s="402" t="n">
        <x:v>6.4</x:v>
      </x:c>
      <x:c r="G7" s="364" t="str">
        <x:v>%</x:v>
      </x:c>
      <x:c r="H7" s="364" t="str">
        <x:v>Up</x:v>
      </x:c>
      <x:c r="I7" s="364" t="str">
        <x:v>Supports earnings and liquidity; monitor asset quality.</x:v>
      </x:c>
      <x:c r="J7" s="405" t="str">
        <x:v>Illustrative manual input</x:v>
      </x:c>
      <x:c r="K7" s="405" t="str">
        <x:v>SBV / official release</x:v>
      </x:c>
      <x:c r="L7" s="364" t="str">
        <x:v>Strategy</x:v>
      </x:c>
      <x:c r="M7" s="396" t="str">
        <x:v>Yes</x:v>
      </x:c>
      <x:c r="N7" s="408" t="n">
        <x:v>4</x:v>
      </x:c>
    </x:row>
    <x:row r="8">
      <x:c r="A8" s="393" t="n">
        <x:v>46203</x:v>
      </x:c>
      <x:c r="B8" s="364" t="str">
        <x:v>Deposit Growth YTD</x:v>
      </x:c>
      <x:c r="C8" s="364" t="str">
        <x:v>Monetary</x:v>
      </x:c>
      <x:c r="D8" s="364" t="str">
        <x:v>Monthly</x:v>
      </x:c>
      <x:c r="E8" s="402" t="n">
        <x:v>7.1</x:v>
      </x:c>
      <x:c r="F8" s="402" t="n">
        <x:v>5.9</x:v>
      </x:c>
      <x:c r="G8" s="364" t="str">
        <x:v>%</x:v>
      </x:c>
      <x:c r="H8" s="364" t="str">
        <x:v>Up</x:v>
      </x:c>
      <x:c r="I8" s="364" t="str">
        <x:v>Deposit growth affects system liquidity and funding costs.</x:v>
      </x:c>
      <x:c r="J8" s="405" t="str">
        <x:v>Illustrative manual input</x:v>
      </x:c>
      <x:c r="K8" s="405" t="str">
        <x:v>SBV / official release</x:v>
      </x:c>
      <x:c r="L8" s="364" t="str">
        <x:v>Strategy</x:v>
      </x:c>
      <x:c r="M8" s="396" t="str">
        <x:v>Yes</x:v>
      </x:c>
      <x:c r="N8" s="408" t="n">
        <x:v>5</x:v>
      </x:c>
    </x:row>
    <x:row r="9">
      <x:c r="A9" s="393" t="n">
        <x:v>46203</x:v>
      </x:c>
      <x:c r="B9" s="364" t="str">
        <x:v>M2 Growth YoY</x:v>
      </x:c>
      <x:c r="C9" s="364" t="str">
        <x:v>Monetary</x:v>
      </x:c>
      <x:c r="D9" s="364" t="str">
        <x:v>Monthly</x:v>
      </x:c>
      <x:c r="E9" s="402" t="n">
        <x:v>11.4</x:v>
      </x:c>
      <x:c r="F9" s="402" t="n">
        <x:v>10.8</x:v>
      </x:c>
      <x:c r="G9" s="364" t="str">
        <x:v>%</x:v>
      </x:c>
      <x:c r="H9" s="364" t="str">
        <x:v>Up</x:v>
      </x:c>
      <x:c r="I9" s="364" t="str">
        <x:v>Improving system liquidity is supportive for risk assets.</x:v>
      </x:c>
      <x:c r="J9" s="405" t="str">
        <x:v>Illustrative manual input</x:v>
      </x:c>
      <x:c r="K9" s="405" t="str">
        <x:v>SBV / official release</x:v>
      </x:c>
      <x:c r="L9" s="364" t="str">
        <x:v>Strategy</x:v>
      </x:c>
      <x:c r="M9" s="396" t="str">
        <x:v>Yes</x:v>
      </x:c>
      <x:c r="N9" s="408" t="n">
        <x:v>6</x:v>
      </x:c>
    </x:row>
    <x:row r="10">
      <x:c r="A10" s="393" t="n">
        <x:v>46234</x:v>
      </x:c>
      <x:c r="B10" s="364" t="str">
        <x:v>Manufacturing PMI</x:v>
      </x:c>
      <x:c r="C10" s="364" t="str">
        <x:v>Growth</x:v>
      </x:c>
      <x:c r="D10" s="364" t="str">
        <x:v>Monthly</x:v>
      </x:c>
      <x:c r="E10" s="402" t="n">
        <x:v>51.2</x:v>
      </x:c>
      <x:c r="F10" s="402" t="n">
        <x:v>50.5</x:v>
      </x:c>
      <x:c r="G10" s="364" t="str">
        <x:v>Index</x:v>
      </x:c>
      <x:c r="H10" s="364" t="str">
        <x:v>Up</x:v>
      </x:c>
      <x:c r="I10" s="364" t="str">
        <x:v>Expansion supports cyclical sectors.</x:v>
      </x:c>
      <x:c r="J10" s="405" t="str">
        <x:v>Illustrative manual input</x:v>
      </x:c>
      <x:c r="K10" s="405" t="str">
        <x:v>S&amp;P Global PMI release</x:v>
      </x:c>
      <x:c r="L10" s="364" t="str">
        <x:v>Strategy</x:v>
      </x:c>
      <x:c r="M10" s="396" t="str">
        <x:v>Yes</x:v>
      </x:c>
      <x:c r="N10" s="408" t="n">
        <x:v>7</x:v>
      </x:c>
    </x:row>
    <x:row r="11">
      <x:c r="A11" s="393" t="n">
        <x:v>46237</x:v>
      </x:c>
      <x:c r="B11" s="364" t="str">
        <x:v>USD/VND</x:v>
      </x:c>
      <x:c r="C11" s="364" t="str">
        <x:v>FX &amp; Rates</x:v>
      </x:c>
      <x:c r="D11" s="364" t="str">
        <x:v>Daily</x:v>
      </x:c>
      <x:c r="E11" s="402" t="n">
        <x:v>26320</x:v>
      </x:c>
      <x:c r="F11" s="402" t="n">
        <x:v>26110</x:v>
      </x:c>
      <x:c r="G11" s="364" t="str">
        <x:v>VND/USD</x:v>
      </x:c>
      <x:c r="H11" s="364" t="str">
        <x:v>Up</x:v>
      </x:c>
      <x:c r="I11" s="364" t="str">
        <x:v>FX pressure may affect foreign flows and policy flexibility.</x:v>
      </x:c>
      <x:c r="J11" s="405" t="str">
        <x:v>Illustrative manual input</x:v>
      </x:c>
      <x:c r="K11" s="405" t="str">
        <x:v>SBV / market reference</x:v>
      </x:c>
      <x:c r="L11" s="364" t="str">
        <x:v>Risk</x:v>
      </x:c>
      <x:c r="M11" s="396" t="str">
        <x:v>Yes</x:v>
      </x:c>
      <x:c r="N11" s="408" t="n">
        <x:v>8</x:v>
      </x:c>
    </x:row>
    <x:row r="12">
      <x:c r="A12" s="393" t="n">
        <x:v>46237</x:v>
      </x:c>
      <x:c r="B12" s="364" t="str">
        <x:v>Refinancing Rate</x:v>
      </x:c>
      <x:c r="C12" s="364" t="str">
        <x:v>FX &amp; Rates</x:v>
      </x:c>
      <x:c r="D12" s="364" t="str">
        <x:v>Event</x:v>
      </x:c>
      <x:c r="E12" s="402" t="n">
        <x:v>4.5</x:v>
      </x:c>
      <x:c r="F12" s="402" t="n">
        <x:v>4.5</x:v>
      </x:c>
      <x:c r="G12" s="364" t="str">
        <x:v>%</x:v>
      </x:c>
      <x:c r="H12" s="364" t="str">
        <x:v>Flat</x:v>
      </x:c>
      <x:c r="I12" s="364" t="str">
        <x:v>Stable policy setting; watch interbank transmission.</x:v>
      </x:c>
      <x:c r="J12" s="405" t="str">
        <x:v>Illustrative manual input</x:v>
      </x:c>
      <x:c r="K12" s="405" t="str">
        <x:v>SBV / official decision</x:v>
      </x:c>
      <x:c r="L12" s="364" t="str">
        <x:v>Strategy</x:v>
      </x:c>
      <x:c r="M12" s="396" t="str">
        <x:v>Yes</x:v>
      </x:c>
      <x:c r="N12" s="408" t="n">
        <x:v>9</x:v>
      </x:c>
    </x:row>
    <x:row r="13">
      <x:c r="A13" s="393" t="n">
        <x:v>46237</x:v>
      </x:c>
      <x:c r="B13" s="364" t="str">
        <x:v>Interbank Rate ON</x:v>
      </x:c>
      <x:c r="C13" s="364" t="str">
        <x:v>FX &amp; Rates</x:v>
      </x:c>
      <x:c r="D13" s="364" t="str">
        <x:v>Daily</x:v>
      </x:c>
      <x:c r="E13" s="402" t="n">
        <x:v>3.8</x:v>
      </x:c>
      <x:c r="F13" s="402" t="n">
        <x:v>4.2</x:v>
      </x:c>
      <x:c r="G13" s="364" t="str">
        <x:v>%</x:v>
      </x:c>
      <x:c r="H13" s="364" t="str">
        <x:v>Down</x:v>
      </x:c>
      <x:c r="I13" s="364" t="str">
        <x:v>Lower overnight rates indicate easier short-term liquidity.</x:v>
      </x:c>
      <x:c r="J13" s="405" t="str">
        <x:v>Illustrative manual input</x:v>
      </x:c>
      <x:c r="K13" s="405" t="str">
        <x:v>SBV / market reference</x:v>
      </x:c>
      <x:c r="L13" s="364" t="str">
        <x:v>Treasury</x:v>
      </x:c>
      <x:c r="M13" s="396" t="str">
        <x:v>Yes</x:v>
      </x:c>
      <x:c r="N13" s="408" t="n">
        <x:v>10</x:v>
      </x:c>
    </x:row>
    <x:row r="14">
      <x:c r="A14" s="393" t="n">
        <x:v>46237</x:v>
      </x:c>
      <x:c r="B14" s="364" t="str">
        <x:v>10Y Government Bond Yield</x:v>
      </x:c>
      <x:c r="C14" s="364" t="str">
        <x:v>FX &amp; Rates</x:v>
      </x:c>
      <x:c r="D14" s="364" t="str">
        <x:v>Daily</x:v>
      </x:c>
      <x:c r="E14" s="402" t="n">
        <x:v>3.45</x:v>
      </x:c>
      <x:c r="F14" s="402" t="n">
        <x:v>3.32</x:v>
      </x:c>
      <x:c r="G14" s="364" t="str">
        <x:v>%</x:v>
      </x:c>
      <x:c r="H14" s="364" t="str">
        <x:v>Up</x:v>
      </x:c>
      <x:c r="I14" s="364" t="str">
        <x:v>A higher discount rate can pressure equity valuation.</x:v>
      </x:c>
      <x:c r="J14" s="405" t="str">
        <x:v>Illustrative manual input</x:v>
      </x:c>
      <x:c r="K14" s="405" t="str">
        <x:v>HNX / market reference</x:v>
      </x:c>
      <x:c r="L14" s="364" t="str">
        <x:v>Risk</x:v>
      </x:c>
      <x:c r="M14" s="396" t="str">
        <x:v>Yes</x:v>
      </x:c>
      <x:c r="N14" s="408" t="n">
        <x:v>11</x:v>
      </x:c>
    </x:row>
    <x:row r="15">
      <x:c r="A15" s="393" t="n">
        <x:v>46203</x:v>
      </x:c>
      <x:c r="B15" s="364" t="str">
        <x:v>Trade Balance YTD</x:v>
      </x:c>
      <x:c r="C15" s="364" t="str">
        <x:v>External</x:v>
      </x:c>
      <x:c r="D15" s="364" t="str">
        <x:v>Monthly</x:v>
      </x:c>
      <x:c r="E15" s="402" t="n">
        <x:v>7.63</x:v>
      </x:c>
      <x:c r="F15" s="402" t="n">
        <x:v>4.22</x:v>
      </x:c>
      <x:c r="G15" s="364" t="str">
        <x:v>USD bn</x:v>
      </x:c>
      <x:c r="H15" s="364" t="str">
        <x:v>Up</x:v>
      </x:c>
      <x:c r="I15" s="364" t="str">
        <x:v>A stronger external balance supports FX stability.</x:v>
      </x:c>
      <x:c r="J15" s="405" t="str">
        <x:v>Illustrative manual input</x:v>
      </x:c>
      <x:c r="K15" s="405" t="str">
        <x:v>Customs / GSO release</x:v>
      </x:c>
      <x:c r="L15" s="364" t="str">
        <x:v>Strategy</x:v>
      </x:c>
      <x:c r="M15" s="396" t="str">
        <x:v>Yes</x:v>
      </x:c>
      <x:c r="N15" s="408" t="n">
        <x:v>12</x:v>
      </x:c>
    </x:row>
    <x:row r="16">
      <x:c r="A16" s="393" t="n">
        <x:v>46203</x:v>
      </x:c>
      <x:c r="B16" s="364" t="str">
        <x:v>FDI Disbursement YTD</x:v>
      </x:c>
      <x:c r="C16" s="364" t="str">
        <x:v>External</x:v>
      </x:c>
      <x:c r="D16" s="364" t="str">
        <x:v>Monthly</x:v>
      </x:c>
      <x:c r="E16" s="402" t="n">
        <x:v>11.72</x:v>
      </x:c>
      <x:c r="F16" s="402" t="n">
        <x:v>10.84</x:v>
      </x:c>
      <x:c r="G16" s="364" t="str">
        <x:v>USD bn</x:v>
      </x:c>
      <x:c r="H16" s="364" t="str">
        <x:v>Up</x:v>
      </x:c>
      <x:c r="I16" s="364" t="str">
        <x:v>FDI disbursement supports growth and FX supply.</x:v>
      </x:c>
      <x:c r="J16" s="405" t="str">
        <x:v>Illustrative manual input</x:v>
      </x:c>
      <x:c r="K16" s="405" t="str">
        <x:v>MPI / official release</x:v>
      </x:c>
      <x:c r="L16" s="364" t="str">
        <x:v>Strategy</x:v>
      </x:c>
      <x:c r="M16" s="396" t="str">
        <x:v>No</x:v>
      </x:c>
      <x:c r="N16" s="408" t="n">
        <x:v>13</x:v>
      </x:c>
    </x:row>
    <x:row r="17">
      <x:c r="A17" s="393" t="n">
        <x:v>46203</x:v>
      </x:c>
      <x:c r="B17" s="364" t="str">
        <x:v>IIP Growth YoY</x:v>
      </x:c>
      <x:c r="C17" s="364" t="str">
        <x:v>Growth</x:v>
      </x:c>
      <x:c r="D17" s="364" t="str">
        <x:v>Monthly</x:v>
      </x:c>
      <x:c r="E17" s="402" t="n">
        <x:v>9.2</x:v>
      </x:c>
      <x:c r="F17" s="402" t="n">
        <x:v>8.5</x:v>
      </x:c>
      <x:c r="G17" s="364" t="str">
        <x:v>%</x:v>
      </x:c>
      <x:c r="H17" s="364" t="str">
        <x:v>Up</x:v>
      </x:c>
      <x:c r="I17" s="364" t="str">
        <x:v>Industrial momentum supports earnings expectations.</x:v>
      </x:c>
      <x:c r="J17" s="405" t="str">
        <x:v>Illustrative manual input</x:v>
      </x:c>
      <x:c r="K17" s="405" t="str">
        <x:v>GSO / official release</x:v>
      </x:c>
      <x:c r="L17" s="364" t="str">
        <x:v>Strategy</x:v>
      </x:c>
      <x:c r="M17" s="396" t="str">
        <x:v>No</x:v>
      </x:c>
      <x:c r="N17" s="408" t="n">
        <x:v>14</x:v>
      </x:c>
    </x:row>
    <x:row r="18">
      <x:c r="A18" s="394" t="n">
        <x:v>46203</x:v>
      </x:c>
      <x:c r="B18" s="367" t="str">
        <x:v>Retail Sales Growth YoY</x:v>
      </x:c>
      <x:c r="C18" s="367" t="str">
        <x:v>Growth</x:v>
      </x:c>
      <x:c r="D18" s="367" t="str">
        <x:v>Monthly</x:v>
      </x:c>
      <x:c r="E18" s="403" t="n">
        <x:v>9.3</x:v>
      </x:c>
      <x:c r="F18" s="403" t="n">
        <x:v>8.8</x:v>
      </x:c>
      <x:c r="G18" s="367" t="str">
        <x:v>%</x:v>
      </x:c>
      <x:c r="H18" s="367" t="str">
        <x:v>Up</x:v>
      </x:c>
      <x:c r="I18" s="367" t="str">
        <x:v>Consumption momentum supports domestic-demand sectors.</x:v>
      </x:c>
      <x:c r="J18" s="406" t="str">
        <x:v>Illustrative manual input</x:v>
      </x:c>
      <x:c r="K18" s="406" t="str">
        <x:v>GSO / official release</x:v>
      </x:c>
      <x:c r="L18" s="367" t="str">
        <x:v>Strategy</x:v>
      </x:c>
      <x:c r="M18" s="397" t="str">
        <x:v>No</x:v>
      </x:c>
      <x:c r="N18" s="409" t="n">
        <x:v>15</x:v>
      </x:c>
    </x:row>
  </x:sheetData>
  <x:mergeCells>
    <x:mergeCell ref="A1:J1"/>
    <x:mergeCell ref="A2:J2"/>
    <x:mergeCell ref="A1:N1"/>
    <x:mergeCell ref="A2:N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7" hidden="0" customWidth="1"/>
    <x:col min="3" max="3" width="16" hidden="0" customWidth="1"/>
    <x:col min="4" max="4" width="14" hidden="0" customWidth="1"/>
    <x:col min="5" max="5" width="15" hidden="0" customWidth="1"/>
    <x:col min="6" max="6" width="13" hidden="0" customWidth="1"/>
    <x:col min="7" max="7" width="18" hidden="0" customWidth="1"/>
    <x:col min="8" max="8" width="15" hidden="0" customWidth="1"/>
    <x:col min="9" max="9" width="48" hidden="0" customWidth="1"/>
    <x:col min="10" max="10" width="18" hidden="0" customWidth="1"/>
  </x:cols>
  <x:sheetData>
    <x:row r="1" ht="28" customHeight="1">
      <x:c r="A1" s="159" t="str">
        <x:v>OPERATING PERFORMANCE &amp; SERVICE QUALITY</x:v>
      </x:c>
      <x:c r="B1" s="159"/>
      <x:c r="C1" s="159"/>
      <x:c r="D1" s="159"/>
      <x:c r="E1" s="159"/>
      <x:c r="F1" s="159"/>
      <x:c r="G1" s="159"/>
      <x:c r="H1" s="159"/>
      <x:c r="I1" s="159"/>
      <x:c r="J1" s="159"/>
    </x:row>
    <x:row r="2">
      <x:c r="A2" s="162" t="str">
        <x:v>Management-operating indicators replace rumor-driven monitoring. Actual values remain illustrative until connected to verified internal systems.</x:v>
      </x:c>
      <x:c r="B2" s="162"/>
      <x:c r="C2" s="162"/>
      <x:c r="D2" s="162"/>
      <x:c r="E2" s="162"/>
      <x:c r="F2" s="162"/>
      <x:c r="G2" s="162"/>
      <x:c r="H2" s="162"/>
      <x:c r="I2" s="162"/>
      <x:c r="J2" s="162"/>
    </x:row>
    <x:row r="3" ht="30" customHeight="1">
      <x:c r="A3" s="165" t="str">
        <x:v>KPI</x:v>
      </x:c>
      <x:c r="B3" s="165" t="str">
        <x:v>Current_Value</x:v>
      </x:c>
      <x:c r="C3" s="165" t="str">
        <x:v>Target_Value</x:v>
      </x:c>
      <x:c r="D3" s="165" t="str">
        <x:v>Unit</x:v>
      </x:c>
      <x:c r="E3" s="165" t="str">
        <x:v>Status</x:v>
      </x:c>
      <x:c r="F3" s="165" t="str">
        <x:v>Trend</x:v>
      </x:c>
      <x:c r="G3" s="165" t="str">
        <x:v>Owner</x:v>
      </x:c>
      <x:c r="H3" s="165" t="str">
        <x:v>Frequency</x:v>
      </x:c>
      <x:c r="I3" s="165" t="str">
        <x:v>Management_Action</x:v>
      </x:c>
      <x:c r="J3" s="165" t="str">
        <x:v>Source_Status</x:v>
      </x:c>
    </x:row>
    <x:row r="4">
      <x:c r="A4" s="125" t="str">
        <x:v>Revenue / Average AUM</x:v>
      </x:c>
      <x:c r="B4" s="137" t="n">
        <x:v>0.0147</x:v>
      </x:c>
      <x:c r="C4" s="137" t="n">
        <x:v>0.015</x:v>
      </x:c>
      <x:c r="D4" s="126" t="str">
        <x:v>%</x:v>
      </x:c>
      <x:c r="E4" s="126" t="str">
        <x:v>Watch</x:v>
      </x:c>
      <x:c r="F4" s="126" t="str">
        <x:v>Down</x:v>
      </x:c>
      <x:c r="G4" s="126" t="str">
        <x:v>CFO</x:v>
      </x:c>
      <x:c r="H4" s="126" t="str">
        <x:v>Monthly</x:v>
      </x:c>
      <x:c r="I4" s="126" t="str">
        <x:v>Review fee mix and low-margin products.</x:v>
      </x:c>
      <x:c r="J4" s="127" t="str">
        <x:v>Assumption</x:v>
      </x:c>
    </x:row>
    <x:row r="5">
      <x:c r="A5" s="128" t="str">
        <x:v>Cost / Average AUM</x:v>
      </x:c>
      <x:c r="B5" s="138" t="n">
        <x:v>0.0061</x:v>
      </x:c>
      <x:c r="C5" s="138" t="n">
        <x:v>0.0058</x:v>
      </x:c>
      <x:c r="D5" s="129" t="str">
        <x:v>%</x:v>
      </x:c>
      <x:c r="E5" s="129" t="str">
        <x:v>Watch</x:v>
      </x:c>
      <x:c r="F5" s="129" t="str">
        <x:v>Up</x:v>
      </x:c>
      <x:c r="G5" s="129" t="str">
        <x:v>CFO</x:v>
      </x:c>
      <x:c r="H5" s="129" t="str">
        <x:v>Validate product and channel cost allocation.</x:v>
      </x:c>
      <x:c r="I5" s="129" t="str">
        <x:v>Assumption</x:v>
      </x:c>
      <x:c r="J5" s="130"/>
    </x:row>
    <x:row r="6">
      <x:c r="A6" s="128" t="str">
        <x:v>NPAT Margin</x:v>
      </x:c>
      <x:c r="B6" s="138" t="n">
        <x:v>0.409</x:v>
      </x:c>
      <x:c r="C6" s="138" t="n">
        <x:v>0.42</x:v>
      </x:c>
      <x:c r="D6" s="129" t="str">
        <x:v>%</x:v>
      </x:c>
      <x:c r="E6" s="129" t="str">
        <x:v>Watch</x:v>
      </x:c>
      <x:c r="F6" s="129" t="str">
        <x:v>Flat</x:v>
      </x:c>
      <x:c r="G6" s="129" t="str">
        <x:v>CFO</x:v>
      </x:c>
      <x:c r="H6" s="129" t="str">
        <x:v>Protect operating leverage through cost discipline.</x:v>
      </x:c>
      <x:c r="I6" s="129" t="str">
        <x:v>Assumption</x:v>
      </x:c>
      <x:c r="J6" s="130"/>
    </x:row>
    <x:row r="7">
      <x:c r="A7" s="128" t="str">
        <x:v>NAV Calculation Exceptions</x:v>
      </x:c>
      <x:c r="B7" s="129" t="n">
        <x:v>2</x:v>
      </x:c>
      <x:c r="C7" s="129" t="n">
        <x:v>0</x:v>
      </x:c>
      <x:c r="D7" s="129" t="str">
        <x:v>count</x:v>
      </x:c>
      <x:c r="E7" s="129" t="str">
        <x:v>Action</x:v>
      </x:c>
      <x:c r="F7" s="129" t="str">
        <x:v>Up</x:v>
      </x:c>
      <x:c r="G7" s="129" t="str">
        <x:v>Operations</x:v>
      </x:c>
      <x:c r="H7" s="129" t="str">
        <x:v>Daily</x:v>
      </x:c>
      <x:c r="I7" s="129" t="str">
        <x:v>Close exceptions and document root causes.</x:v>
      </x:c>
      <x:c r="J7" s="130" t="str">
        <x:v>Assumption</x:v>
      </x:c>
    </x:row>
    <x:row r="8">
      <x:c r="A8" s="128" t="str">
        <x:v>Regulatory Reports On Time</x:v>
      </x:c>
      <x:c r="B8" s="138" t="n">
        <x:v>0.98</x:v>
      </x:c>
      <x:c r="C8" s="138" t="n">
        <x:v>1</x:v>
      </x:c>
      <x:c r="D8" s="129" t="str">
        <x:v>%</x:v>
      </x:c>
      <x:c r="E8" s="129" t="str">
        <x:v>Watch</x:v>
      </x:c>
      <x:c r="F8" s="129" t="str">
        <x:v>Flat</x:v>
      </x:c>
      <x:c r="G8" s="129" t="str">
        <x:v>Compliance</x:v>
      </x:c>
      <x:c r="H8" s="129" t="str">
        <x:v>Monthly</x:v>
      </x:c>
      <x:c r="I8" s="129" t="str">
        <x:v>Escalate upcoming deadlines and evidence gaps.</x:v>
      </x:c>
      <x:c r="J8" s="130" t="str">
        <x:v>Assumption</x:v>
      </x:c>
    </x:row>
    <x:row r="9">
      <x:c r="A9" s="128" t="str">
        <x:v>Management Actions Closed</x:v>
      </x:c>
      <x:c r="B9" s="138" t="n">
        <x:v>0.62</x:v>
      </x:c>
      <x:c r="C9" s="138" t="n">
        <x:v>0.8</x:v>
      </x:c>
      <x:c r="D9" s="129" t="str">
        <x:v>%</x:v>
      </x:c>
      <x:c r="E9" s="129" t="str">
        <x:v>Off track</x:v>
      </x:c>
      <x:c r="F9" s="129" t="str">
        <x:v>Up</x:v>
      </x:c>
      <x:c r="G9" s="129" t="str">
        <x:v>CEO Office</x:v>
      </x:c>
      <x:c r="H9" s="129" t="str">
        <x:v>Monthly</x:v>
      </x:c>
      <x:c r="I9" s="129" t="str">
        <x:v>Reassign overdue actions and enforce deadlines.</x:v>
      </x:c>
      <x:c r="J9" s="130" t="str">
        <x:v>Assumption</x:v>
      </x:c>
    </x:row>
    <x:row r="10">
      <x:c r="A10" s="131" t="str">
        <x:v>Investor Service SLA</x:v>
      </x:c>
      <x:c r="B10" s="139" t="n">
        <x:v>0.94</x:v>
      </x:c>
      <x:c r="C10" s="139" t="n">
        <x:v>0.97</x:v>
      </x:c>
      <x:c r="D10" s="132" t="str">
        <x:v>%</x:v>
      </x:c>
      <x:c r="E10" s="132" t="str">
        <x:v>Watch</x:v>
      </x:c>
      <x:c r="F10" s="132" t="str">
        <x:v>Flat</x:v>
      </x:c>
      <x:c r="G10" s="132" t="str">
        <x:v>Operations</x:v>
      </x:c>
      <x:c r="H10" s="132" t="str">
        <x:v>Monthly</x:v>
      </x:c>
      <x:c r="I10" s="132" t="str">
        <x:v>Review service bottlenecks by channel.</x:v>
      </x:c>
      <x:c r="J10" s="133" t="str">
        <x:v>Assumption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0" hidden="0" customWidth="1"/>
  </x:cols>
  <x:sheetData>
    <x:row r="1" ht="28" customHeight="1">
      <x:c r="A1" s="170" t="str">
        <x:v>DCVFM CORPORATE PERFORMANCE, RISK &amp; MANAGEMENT INTELLIGENCE MASTER V4.2</x:v>
      </x:c>
      <x:c r="B1" s="170"/>
    </x:row>
    <x:row r="2">
      <x:c r="A2" s="173" t="str">
        <x:v>Single controlled input for the Streamlit platform. Live market data is retrieved separately through Vnstock.</x:v>
      </x:c>
      <x:c r="B2" s="173"/>
    </x:row>
    <x:row r="3">
      <x:c r="A3" s="176" t="str">
        <x:v>Item</x:v>
      </x:c>
      <x:c r="B3" s="176" t="str">
        <x:v>Description</x:v>
      </x:c>
    </x:row>
    <x:row r="4">
      <x:c r="A4" s="125" t="str">
        <x:v>Purpose</x:v>
      </x:c>
      <x:c r="B4" s="127" t="str">
        <x:v>Monitor fund performance, AUM, flows, portfolio, financials, operating KPIs, risk, compliance and management execution.</x:v>
      </x:c>
    </x:row>
    <x:row r="5">
      <x:c r="A5" s="128" t="str">
        <x:v>Update method</x:v>
      </x:c>
      <x:c r="B5" s="130" t="str">
        <x:v>Update this workbook or upload a replacement in the app; no code change is required for company inputs.</x:v>
      </x:c>
    </x:row>
    <x:row r="6">
      <x:c r="A6" s="128" t="str">
        <x:v>Market data</x:v>
      </x:c>
      <x:c r="B6" s="130" t="str">
        <x:v>VN-Index OHLCV is retrieved dynamically through Vnstock with cache and clearly labelled fallback.</x:v>
      </x:c>
    </x:row>
    <x:row r="7">
      <x:c r="A7" s="128" t="str">
        <x:v>Data status</x:v>
      </x:c>
      <x:c r="B7" s="130" t="str">
        <x:v>Rows marked Assumption are illustrative and must be replaced with verified internal or public data.</x:v>
      </x:c>
    </x:row>
    <x:row r="8">
      <x:c r="A8" s="128" t="str">
        <x:v>Author</x:v>
      </x:c>
      <x:c r="B8" s="130" t="str">
        <x:v>Le Hoang Quan</x:v>
      </x:c>
    </x:row>
    <x:row r="9">
      <x:c r="A9" s="128" t="str">
        <x:v>Version</x:v>
      </x:c>
      <x:c r="B9" s="130" t="str">
        <x:v>V4.2</x:v>
      </x:c>
    </x:row>
    <x:row r="10">
      <x:c r="A10" s="128" t="str">
        <x:v>Core modules</x:v>
      </x:c>
      <x:c r="B10" s="130" t="str">
        <x:v>18 consolidated operating and management tabs</x:v>
      </x:c>
    </x:row>
    <x:row r="11">
      <x:c r="A11" s="128" t="str">
        <x:v>Macro_Indicators</x:v>
      </x:c>
      <x:c r="B11" s="130" t="str">
        <x:v>Macro and liquidity inputs with source status and management implication.</x:v>
      </x:c>
    </x:row>
    <x:row r="12">
      <x:c r="A12" s="128" t="str">
        <x:v>Operating_KPI</x:v>
      </x:c>
      <x:c r="B12" s="130" t="str">
        <x:v>Service quality, reporting, productivity and execution controls.</x:v>
      </x:c>
    </x:row>
    <x:row r="13">
      <x:c r="A13" s="128" t="str">
        <x:v>Decision_Tracker</x:v>
      </x:c>
      <x:c r="B13" s="130" t="str">
        <x:v>Closed-loop recommendation, owner, deadline, progress and outcome tracking.</x:v>
      </x:c>
    </x:row>
    <x:row r="14">
      <x:c r="A14" s="131" t="str">
        <x:v>Important</x:v>
      </x:c>
      <x:c r="B14" s="133" t="str">
        <x:v>V4.2 focuses exclusively on company operations, performance, risk, compliance and management execution.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60" hidden="0" customWidth="1"/>
    <x:col min="4" max="4" width="15" hidden="0" customWidth="1"/>
  </x:cols>
  <x:sheetData>
    <x:row r="1" ht="28" customHeight="1">
      <x:c r="A1" s="170" t="str">
        <x:v>MODEL ASSUMPTIONS</x:v>
      </x:c>
      <x:c r="B1" s="170"/>
      <x:c r="C1" s="170"/>
      <x:c r="D1" s="170"/>
    </x:row>
    <x:row r="2">
      <x:c r="A2" s="173" t="str">
        <x:v>Editable operating and market assumptions; validate all inputs before formal use.</x:v>
      </x:c>
      <x:c r="B2" s="173"/>
      <x:c r="C2" s="173"/>
      <x:c r="D2" s="173"/>
    </x:row>
    <x:row r="3">
      <x:c r="A3" s="176" t="str">
        <x:v>Assumption</x:v>
      </x:c>
      <x:c r="B3" s="176" t="str">
        <x:v>Value</x:v>
      </x:c>
      <x:c r="C3" s="176" t="str">
        <x:v>Description</x:v>
      </x:c>
      <x:c r="D3" s="176" t="str">
        <x:v>Source_ID</x:v>
      </x:c>
    </x:row>
    <x:row r="4">
      <x:c r="A4" s="125" t="str">
        <x:v>Risk_Free_Rate</x:v>
      </x:c>
      <x:c r="B4" s="126" t="n">
        <x:v>0.045</x:v>
      </x:c>
      <x:c r="C4" s="126" t="str">
        <x:v>Illustrative financial-model assumption</x:v>
      </x:c>
      <x:c r="D4" s="127" t="str">
        <x:v>S004</x:v>
      </x:c>
    </x:row>
    <x:row r="5">
      <x:c r="A5" s="128" t="str">
        <x:v>Market_Data_Start</x:v>
      </x:c>
      <x:c r="B5" s="129" t="str">
        <x:v>2025-01-01</x:v>
      </x:c>
      <x:c r="C5" s="129" t="str">
        <x:v>Vnstock fetch start</x:v>
      </x:c>
      <x:c r="D5" s="130" t="str">
        <x:v>S002</x:v>
      </x:c>
    </x:row>
    <x:row r="6">
      <x:c r="A6" s="128" t="str">
        <x:v>Market_Data_End</x:v>
      </x:c>
      <x:c r="B6" s="129" t="str">
        <x:v>TODAY</x:v>
      </x:c>
      <x:c r="C6" s="129" t="str">
        <x:v>Vnstock fetch end</x:v>
      </x:c>
      <x:c r="D6" s="130" t="str">
        <x:v>S002</x:v>
      </x:c>
    </x:row>
    <x:row r="7">
      <x:c r="A7" s="128" t="str">
        <x:v>Macro_Update_Frequency</x:v>
      </x:c>
      <x:c r="B7" s="129" t="str">
        <x:v>Monthly</x:v>
      </x:c>
      <x:c r="C7" s="129" t="str">
        <x:v>Target refresh cadence for macro inputs</x:v>
      </x:c>
      <x:c r="D7" s="130" t="str">
        <x:v>S004</x:v>
      </x:c>
    </x:row>
    <x:row r="8">
      <x:c r="A8" s="131" t="str">
        <x:v>Operating_KPI_Frequency</x:v>
      </x:c>
      <x:c r="B8" s="132" t="str">
        <x:v>Monthly</x:v>
      </x:c>
      <x:c r="C8" s="132" t="str">
        <x:v>Target management-review cadence</x:v>
      </x:c>
      <x:c r="D8" s="133" t="str">
        <x:v>S004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40" hidden="0" customWidth="1"/>
    <x:col min="4" max="4" width="16" hidden="0" customWidth="1"/>
    <x:col min="5" max="5" width="20" hidden="0" customWidth="1"/>
    <x:col min="6" max="6" width="15" hidden="0" customWidth="1"/>
    <x:col min="7" max="7" width="14" hidden="0" customWidth="1"/>
    <x:col min="8" max="8" width="55" hidden="0" customWidth="1"/>
    <x:col min="9" max="9" width="13" hidden="0" customWidth="1"/>
    <x:col min="10" max="10" width="20" hidden="0" customWidth="1"/>
  </x:cols>
  <x:sheetData>
    <x:row r="1" ht="28" customHeight="1">
      <x:c r="A1" s="170" t="str">
        <x:v>NEWS &amp; OPERATING EVENTS</x:v>
      </x:c>
      <x:c r="B1" s="170"/>
      <x:c r="C1" s="170"/>
      <x:c r="D1" s="170"/>
      <x:c r="E1" s="170"/>
      <x:c r="F1" s="170"/>
      <x:c r="G1" s="170"/>
      <x:c r="H1" s="170"/>
      <x:c r="I1" s="170"/>
      <x:c r="J1" s="170"/>
    </x:row>
    <x:row r="2">
      <x:c r="A2" s="173" t="str">
        <x:v>Event log is limited to company operations, products, markets, governance and regulatory matters.</x:v>
      </x:c>
      <x:c r="B2" s="173"/>
      <x:c r="C2" s="173"/>
      <x:c r="D2" s="173"/>
      <x:c r="E2" s="173"/>
      <x:c r="F2" s="173"/>
      <x:c r="G2" s="173"/>
      <x:c r="H2" s="173"/>
      <x:c r="I2" s="173"/>
      <x:c r="J2" s="173"/>
    </x:row>
    <x:row r="3">
      <x:c r="A3" s="176" t="str">
        <x:v>Date</x:v>
      </x:c>
      <x:c r="B3" s="176" t="str">
        <x:v>Event_Type</x:v>
      </x:c>
      <x:c r="C3" s="176" t="str">
        <x:v>Headline</x:v>
      </x:c>
      <x:c r="D3" s="176" t="str">
        <x:v>Entity</x:v>
      </x:c>
      <x:c r="E3" s="176" t="str">
        <x:v>Sentiment_Minus2_2</x:v>
      </x:c>
      <x:c r="F3" s="176" t="str">
        <x:v>Impact_1_5</x:v>
      </x:c>
      <x:c r="G3" s="176" t="str">
        <x:v>Verified</x:v>
      </x:c>
      <x:c r="H3" s="176" t="str">
        <x:v>Management_Implication</x:v>
      </x:c>
      <x:c r="I3" s="176" t="str">
        <x:v>Source_ID</x:v>
      </x:c>
      <x:c r="J3" s="176" t="str">
        <x:v>Status</x:v>
      </x:c>
    </x:row>
    <x:row r="4">
      <x:c r="A4" s="166" t="n">
        <x:v>46041</x:v>
      </x:c>
      <x:c r="B4" s="126" t="str">
        <x:v>Capital markets</x:v>
      </x:c>
      <x:c r="C4" s="126" t="str">
        <x:v>DCV commences UPCoM trading</x:v>
      </x:c>
      <x:c r="D4" s="126" t="str">
        <x:v>DCVFM</x:v>
      </x:c>
      <x:c r="E4" s="126" t="n">
        <x:v>1</x:v>
      </x:c>
      <x:c r="F4" s="126" t="n">
        <x:v>4</x:v>
      </x:c>
      <x:c r="G4" s="126" t="str">
        <x:v>Yes</x:v>
      </x:c>
      <x:c r="H4" s="126" t="str">
        <x:v>Strengthen listed-company disclosure and investor communication.</x:v>
      </x:c>
      <x:c r="I4" s="126" t="str">
        <x:v>S001</x:v>
      </x:c>
      <x:c r="J4" s="127" t="str">
        <x:v>Public</x:v>
      </x:c>
    </x:row>
    <x:row r="5">
      <x:c r="A5" s="167" t="n">
        <x:v>46161</x:v>
      </x:c>
      <x:c r="B5" s="129" t="str">
        <x:v>Governance</x:v>
      </x:c>
      <x:c r="C5" s="129" t="str">
        <x:v>Board succession event</x:v>
      </x:c>
      <x:c r="D5" s="129" t="str">
        <x:v>DCVFM</x:v>
      </x:c>
      <x:c r="E5" s="129" t="n">
        <x:v>0</x:v>
      </x:c>
      <x:c r="F5" s="129" t="n">
        <x:v>4</x:v>
      </x:c>
      <x:c r="G5" s="129" t="str">
        <x:v>Pending</x:v>
      </x:c>
      <x:c r="H5" s="129" t="str">
        <x:v>Confirm succession, responsibilities and governance continuity.</x:v>
      </x:c>
      <x:c r="I5" s="129" t="str">
        <x:v>S004</x:v>
      </x:c>
      <x:c r="J5" s="130" t="str">
        <x:v>Document required</x:v>
      </x:c>
    </x:row>
    <x:row r="6">
      <x:c r="A6" s="167" t="n">
        <x:v>46227</x:v>
      </x:c>
      <x:c r="B6" s="129" t="str">
        <x:v>Disclosure</x:v>
      </x:c>
      <x:c r="C6" s="129" t="str">
        <x:v>Semiannual governance report</x:v>
      </x:c>
      <x:c r="D6" s="129" t="str">
        <x:v>DCVFM</x:v>
      </x:c>
      <x:c r="E6" s="129" t="n">
        <x:v>0</x:v>
      </x:c>
      <x:c r="F6" s="129" t="n">
        <x:v>5</x:v>
      </x:c>
      <x:c r="G6" s="129" t="str">
        <x:v>Pending</x:v>
      </x:c>
      <x:c r="H6" s="129" t="str">
        <x:v>Reconcile governance, related parties and disclosure obligations.</x:v>
      </x:c>
      <x:c r="I6" s="129" t="str">
        <x:v>S004</x:v>
      </x:c>
      <x:c r="J6" s="130" t="str">
        <x:v>Document required</x:v>
      </x:c>
    </x:row>
    <x:row r="7">
      <x:c r="A7" s="168" t="n">
        <x:v>46235</x:v>
      </x:c>
      <x:c r="B7" s="132" t="str">
        <x:v>Operations</x:v>
      </x:c>
      <x:c r="C7" s="132" t="str">
        <x:v>Monthly operating KPI review</x:v>
      </x:c>
      <x:c r="D7" s="132" t="str">
        <x:v>DCVFM</x:v>
      </x:c>
      <x:c r="E7" s="132" t="n">
        <x:v>0</x:v>
      </x:c>
      <x:c r="F7" s="132" t="n">
        <x:v>4</x:v>
      </x:c>
      <x:c r="G7" s="132" t="str">
        <x:v>No</x:v>
      </x:c>
      <x:c r="H7" s="132" t="str">
        <x:v>Close NAV exceptions, overdue actions and reporting gaps.</x:v>
      </x:c>
      <x:c r="I7" s="132" t="str">
        <x:v>S004</x:v>
      </x:c>
      <x:c r="J7" s="133" t="str">
        <x:v>Assumption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70" hidden="0" customWidth="1"/>
    <x:col min="4" max="4" width="18" hidden="0" customWidth="1"/>
    <x:col min="5" max="5" width="80" hidden="0" customWidth="1"/>
    <x:col min="6" max="6" width="15" hidden="0" customWidth="1"/>
  </x:cols>
  <x:sheetData>
    <x:row r="1" ht="28" customHeight="1">
      <x:c r="A1" s="170" t="str">
        <x:v>SOURCES &amp; AUDIT LOG</x:v>
      </x:c>
      <x:c r="B1" s="170"/>
      <x:c r="C1" s="170"/>
      <x:c r="D1" s="170"/>
      <x:c r="E1" s="170"/>
      <x:c r="F1" s="170"/>
    </x:row>
    <x:row r="2">
      <x:c r="A2" s="173" t="str">
        <x:v>Public references and internal-model assumptions supporting operational monitoring.</x:v>
      </x:c>
      <x:c r="B2" s="173"/>
      <x:c r="C2" s="173"/>
      <x:c r="D2" s="173"/>
      <x:c r="E2" s="173"/>
      <x:c r="F2" s="173"/>
    </x:row>
    <x:row r="3">
      <x:c r="A3" s="176" t="str">
        <x:v>Source_ID</x:v>
      </x:c>
      <x:c r="B3" s="176" t="str">
        <x:v>Topic</x:v>
      </x:c>
      <x:c r="C3" s="176" t="str">
        <x:v>Description</x:v>
      </x:c>
      <x:c r="D3" s="176" t="str">
        <x:v>Data_Type</x:v>
      </x:c>
      <x:c r="E3" s="176" t="str">
        <x:v>URL</x:v>
      </x:c>
      <x:c r="F3" s="176" t="str">
        <x:v>As_of</x:v>
      </x:c>
    </x:row>
    <x:row r="4">
      <x:c r="A4" s="125" t="str">
        <x:v>S001</x:v>
      </x:c>
      <x:c r="B4" s="126" t="str">
        <x:v>Company profile</x:v>
      </x:c>
      <x:c r="C4" s="126" t="str">
        <x:v>DCVFM public company profile, AUM anchor and UPCoM trading information.</x:v>
      </x:c>
      <x:c r="D4" s="126" t="str">
        <x:v>Public</x:v>
      </x:c>
      <x:c r="E4" s="126" t="str">
        <x:v>https://www.dragoncapital.com/institutional/news/dragon-capital-vietnam-fund-management-commences-trading-of-its-shares-on-upcom/</x:v>
      </x:c>
      <x:c r="F4" s="127" t="str">
        <x:v>2025-12-31</x:v>
      </x:c>
    </x:row>
    <x:row r="5">
      <x:c r="A5" s="128" t="str">
        <x:v>S002</x:v>
      </x:c>
      <x:c r="B5" s="129" t="str">
        <x:v>Vnstock market data</x:v>
      </x:c>
      <x:c r="C5" s="129" t="str">
        <x:v>Vnstock Unified UI for index OHLCV and market analytics.</x:v>
      </x:c>
      <x:c r="D5" s="129" t="str">
        <x:v>Public</x:v>
      </x:c>
      <x:c r="E5" s="129" t="str">
        <x:v>https://vnstocks.com/docs</x:v>
      </x:c>
      <x:c r="F5" s="130" t="str">
        <x:v>2026-08-04</x:v>
      </x:c>
    </x:row>
    <x:row r="6">
      <x:c r="A6" s="128" t="str">
        <x:v>S003</x:v>
      </x:c>
      <x:c r="B6" s="129" t="str">
        <x:v>Vnstock library</x:v>
      </x:c>
      <x:c r="C6" s="129" t="str">
        <x:v>Official Vnstock project and Unified UI usage.</x:v>
      </x:c>
      <x:c r="D6" s="129" t="str">
        <x:v>Public</x:v>
      </x:c>
      <x:c r="E6" s="129" t="str">
        <x:v>https://github.com/thinh-vu/vnstock</x:v>
      </x:c>
      <x:c r="F6" s="130" t="str">
        <x:v>2026-08-04</x:v>
      </x:c>
    </x:row>
    <x:row r="7">
      <x:c r="A7" s="128" t="str">
        <x:v>S004</x:v>
      </x:c>
      <x:c r="B7" s="129" t="str">
        <x:v>Model assumptions</x:v>
      </x:c>
      <x:c r="C7" s="129" t="str">
        <x:v>Illustrative company, macro and operating inputs to be replaced with verified data.</x:v>
      </x:c>
      <x:c r="D7" s="129" t="str">
        <x:v>Assumption</x:v>
      </x:c>
      <x:c r="E7" s="129" t="str">
        <x:v>Internal model assumption</x:v>
      </x:c>
      <x:c r="F7" s="130" t="str">
        <x:v>2026-08-04</x:v>
      </x:c>
    </x:row>
    <x:row r="8">
      <x:c r="A8" s="131" t="str">
        <x:v>S005</x:v>
      </x:c>
      <x:c r="B8" s="132" t="str">
        <x:v>Operating model</x:v>
      </x:c>
      <x:c r="C8" s="132" t="str">
        <x:v>AUM-flow-market-fee-profit driver model and management KPI framework.</x:v>
      </x:c>
      <x:c r="D8" s="132" t="str">
        <x:v>Methodology</x:v>
      </x:c>
      <x:c r="E8" s="132" t="str">
        <x:v>Internal methodology</x:v>
      </x:c>
      <x:c r="F8" s="133" t="str">
        <x:v>2026-08-04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5" hidden="0" customWidth="1"/>
    <x:col min="3" max="3" width="70" hidden="0" customWidth="1"/>
    <x:col min="4" max="4" width="55" hidden="0" customWidth="1"/>
    <x:col min="5" max="5" width="20" hidden="0" customWidth="1"/>
  </x:cols>
  <x:sheetData>
    <x:row r="1" ht="28" customHeight="1">
      <x:c r="A1" s="170" t="str">
        <x:v>VERSION HISTORY</x:v>
      </x:c>
      <x:c r="B1" s="170"/>
      <x:c r="C1" s="170"/>
      <x:c r="D1" s="170"/>
      <x:c r="E1" s="170"/>
    </x:row>
    <x:row r="2">
      <x:c r="A2" s="173" t="str">
        <x:v>User-facing change log for controlled platform updates.</x:v>
      </x:c>
      <x:c r="B2" s="173"/>
      <x:c r="C2" s="173"/>
      <x:c r="D2" s="173"/>
      <x:c r="E2" s="173"/>
    </x:row>
    <x:row r="3">
      <x:c r="A3" s="176" t="str">
        <x:v>Version</x:v>
      </x:c>
      <x:c r="B3" s="176" t="str">
        <x:v>Date</x:v>
      </x:c>
      <x:c r="C3" s="176" t="str">
        <x:v>Change</x:v>
      </x:c>
      <x:c r="D3" s="176" t="str">
        <x:v>Reason</x:v>
      </x:c>
      <x:c r="E3" s="176" t="str">
        <x:v>Owner</x:v>
      </x:c>
    </x:row>
    <x:row r="4">
      <x:c r="A4" s="125" t="str">
        <x:v>V4.2</x:v>
      </x:c>
      <x:c r="B4" s="146" t="n">
        <x:v>46238</x:v>
      </x:c>
      <x:c r="C4" s="126" t="str">
        <x:v>Refocused platform on operating management; upgraded tab 06 and retained the mobile KPI grid.</x:v>
      </x:c>
      <x:c r="D4" s="126" t="str">
        <x:v>Refocus platform on company operations and management.</x:v>
      </x:c>
      <x:c r="E4" s="127" t="str">
        <x:v>Le Hoang Quan</x:v>
      </x:c>
    </x:row>
    <x:row r="5">
      <x:c r="A5" s="131" t="str">
        <x:v>V4.1</x:v>
      </x:c>
      <x:c r="B5" s="148" t="n">
        <x:v>46238</x:v>
      </x:c>
      <x:c r="C5" s="132" t="str">
        <x:v>Secure Vnstock authentication and responsive metric-card improvements.</x:v>
      </x:c>
      <x:c r="D5" s="132" t="str">
        <x:v>Improve data access, clarity and mobile usability.</x:v>
      </x:c>
      <x:c r="E5" s="133" t="str">
        <x:v>Le Hoang Quan</x:v>
      </x:c>
    </x:row>
    <x:row r="6">
      <x:c r="A6" t="str">
        <x:v>V4.3</x:v>
      </x:c>
      <x:c r="B6" t="str">
        <x:v>2026-08-04</x:v>
      </x:c>
      <x:c r="C6" t="str">
        <x:v>Added scenario-to-financial-statements engine, management levers, cash/BS/ROA/ROE impacts and reconciliation checks.</x:v>
      </x:c>
      <x:c r="D6" t="str">
        <x:v>Le Hoang Quan</x:v>
      </x:c>
    </x:row>
    <x:row r="7">
      <x:c r="A7" t="str">
        <x:v>V4.3</x:v>
      </x:c>
      <x:c r="B7" t="str">
        <x:v>2026-08-04</x:v>
      </x:c>
      <x:c r="C7" t="str">
        <x:v>Added scenario-to-financial-statements engine, management levers, cash/BS/ROA/ROE impacts and reconciliation checks.</x:v>
      </x:c>
      <x:c r="D7" t="str">
        <x:v>Le Hoang Quan</x:v>
      </x:c>
    </x:row>
    <x:row r="8">
      <x:c r="A8" t="str">
        <x:v>V4.3</x:v>
      </x:c>
      <x:c r="B8" t="str">
        <x:v>2026-08-04</x:v>
      </x:c>
      <x:c r="C8" t="str">
        <x:v>Added scenario-to-financial-statements engine, management levers, cash/BS/ROA/ROE impacts and reconciliation checks.</x:v>
      </x:c>
      <x:c r="D8" t="str">
        <x:v>Le Hoang Quan</x:v>
      </x:c>
    </x:row>
    <x:row r="9">
      <x:c r="A9" t="str">
        <x:v>V4.3</x:v>
      </x:c>
      <x:c r="B9" t="str">
        <x:v>2026-08-04</x:v>
      </x:c>
      <x:c r="C9" t="str">
        <x:v>Added scenario-to-financial-statements engine, management levers, cash/BS/ROA/ROE impacts and reconciliation checks.</x:v>
      </x:c>
      <x:c r="D9" t="str">
        <x:v>Le Hoang Quan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6" hidden="0" customWidth="1"/>
    <x:col min="4" max="4" width="27" hidden="0" customWidth="1"/>
    <x:col min="5" max="5" width="14" hidden="0" customWidth="1"/>
    <x:col min="6" max="6" width="38" hidden="0" customWidth="1"/>
  </x:cols>
  <x:sheetData>
    <x:row r="1" ht="26" customHeight="1">
      <x:c r="A1" s="309" t="str">
        <x:v>FINANCIAL IMPACT ENGINE — BASE ASSUMPTIONS</x:v>
      </x:c>
      <x:c r="B1" s="309"/>
      <x:c r="C1" s="309"/>
      <x:c r="D1" s="309"/>
      <x:c r="E1" s="309"/>
      <x:c r="F1" s="309"/>
    </x:row>
    <x:row r="2" ht="30" customHeight="1">
      <x:c r="A2" s="312" t="str">
        <x:v>Blue cells are management inputs. Values are illustrative assumptions until replaced with audited actuals / approved budget.</x:v>
      </x:c>
      <x:c r="B2" s="312"/>
      <x:c r="C2" s="312"/>
      <x:c r="D2" s="312"/>
      <x:c r="E2" s="312"/>
      <x:c r="F2" s="312"/>
    </x:row>
    <x:row r="3">
      <x:c r="A3" s="305" t="str">
        <x:v>Driver</x:v>
      </x:c>
      <x:c r="B3" s="306" t="str">
        <x:v>Value</x:v>
      </x:c>
      <x:c r="C3" s="306" t="str">
        <x:v>Unit</x:v>
      </x:c>
      <x:c r="D3" s="306" t="str">
        <x:v>Source Status</x:v>
      </x:c>
      <x:c r="E3" s="306" t="str">
        <x:v>Owner</x:v>
      </x:c>
      <x:c r="F3" s="307" t="str">
        <x:v>Model Use</x:v>
      </x:c>
    </x:row>
    <x:row r="4">
      <x:c r="A4" s="184" t="str">
        <x:v>Forecast Year</x:v>
      </x:c>
      <x:c r="B4" s="316" t="n">
        <x:v>2026</x:v>
      </x:c>
      <x:c r="C4" s="186" t="str">
        <x:v>Year</x:v>
      </x:c>
      <x:c r="D4" s="186" t="str">
        <x:v>Approved plan / assumption</x:v>
      </x:c>
      <x:c r="E4" s="186" t="str">
        <x:v>CFO</x:v>
      </x:c>
      <x:c r="F4" s="201" t="str">
        <x:v>Forecast period</x:v>
      </x:c>
    </x:row>
    <x:row r="5">
      <x:c r="A5" s="184" t="str">
        <x:v>Beginning AUM</x:v>
      </x:c>
      <x:c r="B5" s="316" t="n">
        <x:v>140000</x:v>
      </x:c>
      <x:c r="C5" s="186" t="str">
        <x:v>VND bn</x:v>
      </x:c>
      <x:c r="D5" s="186" t="str">
        <x:v>Public / assumption</x:v>
      </x:c>
      <x:c r="E5" s="186" t="str">
        <x:v>CFO</x:v>
      </x:c>
      <x:c r="F5" s="201" t="str">
        <x:v>Revenue driver</x:v>
      </x:c>
    </x:row>
    <x:row r="6">
      <x:c r="A6" s="184" t="str">
        <x:v>Base Fee Yield</x:v>
      </x:c>
      <x:c r="B6" s="317" t="n">
        <x:v>0.00855</x:v>
      </x:c>
      <x:c r="C6" s="186" t="str">
        <x:v>% Avg AUM</x:v>
      </x:c>
      <x:c r="D6" s="186" t="str">
        <x:v>Assumption</x:v>
      </x:c>
      <x:c r="E6" s="186" t="str">
        <x:v>CFO</x:v>
      </x:c>
      <x:c r="F6" s="201" t="str">
        <x:v>Revenue driver</x:v>
      </x:c>
    </x:row>
    <x:row r="7">
      <x:c r="A7" s="184" t="str">
        <x:v>Base Personnel Cost</x:v>
      </x:c>
      <x:c r="B7" s="316" t="n">
        <x:v>455</x:v>
      </x:c>
      <x:c r="C7" s="186" t="str">
        <x:v>VND bn</x:v>
      </x:c>
      <x:c r="D7" s="186" t="str">
        <x:v>Assumption</x:v>
      </x:c>
      <x:c r="E7" s="186" t="str">
        <x:v>CFO</x:v>
      </x:c>
      <x:c r="F7" s="201" t="str">
        <x:v>Opex driver</x:v>
      </x:c>
    </x:row>
    <x:row r="8">
      <x:c r="A8" s="184" t="str">
        <x:v>Base Other Opex</x:v>
      </x:c>
      <x:c r="B8" s="316" t="n">
        <x:v>360</x:v>
      </x:c>
      <x:c r="C8" s="186" t="str">
        <x:v>VND bn</x:v>
      </x:c>
      <x:c r="D8" s="186" t="str">
        <x:v>Assumption</x:v>
      </x:c>
      <x:c r="E8" s="186" t="str">
        <x:v>CFO</x:v>
      </x:c>
      <x:c r="F8" s="201" t="str">
        <x:v>Opex driver</x:v>
      </x:c>
    </x:row>
    <x:row r="9">
      <x:c r="A9" s="184" t="str">
        <x:v>Effective Tax Rate</x:v>
      </x:c>
      <x:c r="B9" s="318" t="n">
        <x:v>0.14</x:v>
      </x:c>
      <x:c r="C9" s="186" t="str">
        <x:v>% PBT</x:v>
      </x:c>
      <x:c r="D9" s="186" t="str">
        <x:v>Assumption</x:v>
      </x:c>
      <x:c r="E9" s="186" t="str">
        <x:v>CFO</x:v>
      </x:c>
      <x:c r="F9" s="201" t="str">
        <x:v>Tax</x:v>
      </x:c>
    </x:row>
    <x:row r="10">
      <x:c r="A10" s="184" t="str">
        <x:v>Opening Cash</x:v>
      </x:c>
      <x:c r="B10" s="316" t="n">
        <x:v>650</x:v>
      </x:c>
      <x:c r="C10" s="186" t="str">
        <x:v>VND bn</x:v>
      </x:c>
      <x:c r="D10" s="186" t="str">
        <x:v>Assumption</x:v>
      </x:c>
      <x:c r="E10" s="186" t="str">
        <x:v>CFO</x:v>
      </x:c>
      <x:c r="F10" s="201" t="str">
        <x:v>Balance sheet</x:v>
      </x:c>
    </x:row>
    <x:row r="11">
      <x:c r="A11" s="184" t="str">
        <x:v>Opening Receivables</x:v>
      </x:c>
      <x:c r="B11" s="316" t="n">
        <x:v>250</x:v>
      </x:c>
      <x:c r="C11" s="186" t="str">
        <x:v>VND bn</x:v>
      </x:c>
      <x:c r="D11" s="186" t="str">
        <x:v>Assumption</x:v>
      </x:c>
      <x:c r="E11" s="186" t="str">
        <x:v>CFO</x:v>
      </x:c>
      <x:c r="F11" s="201" t="str">
        <x:v>Working capital</x:v>
      </x:c>
    </x:row>
    <x:row r="12">
      <x:c r="A12" s="184" t="str">
        <x:v>Opening Other Assets</x:v>
      </x:c>
      <x:c r="B12" s="316" t="n">
        <x:v>200</x:v>
      </x:c>
      <x:c r="C12" s="186" t="str">
        <x:v>VND bn</x:v>
      </x:c>
      <x:c r="D12" s="186" t="str">
        <x:v>Assumption</x:v>
      </x:c>
      <x:c r="E12" s="186" t="str">
        <x:v>CFO</x:v>
      </x:c>
      <x:c r="F12" s="201" t="str">
        <x:v>Balance sheet</x:v>
      </x:c>
    </x:row>
    <x:row r="13">
      <x:c r="A13" s="184" t="str">
        <x:v>Opening Liabilities</x:v>
      </x:c>
      <x:c r="B13" s="316" t="n">
        <x:v>350</x:v>
      </x:c>
      <x:c r="C13" s="186" t="str">
        <x:v>VND bn</x:v>
      </x:c>
      <x:c r="D13" s="186" t="str">
        <x:v>Assumption</x:v>
      </x:c>
      <x:c r="E13" s="186" t="str">
        <x:v>CFO</x:v>
      </x:c>
      <x:c r="F13" s="201" t="str">
        <x:v>Balance sheet</x:v>
      </x:c>
    </x:row>
    <x:row r="14">
      <x:c r="A14" s="184" t="str">
        <x:v>Opening Equity</x:v>
      </x:c>
      <x:c r="B14" s="316" t="n">
        <x:v>1450</x:v>
      </x:c>
      <x:c r="C14" s="186" t="str">
        <x:v>VND bn</x:v>
      </x:c>
      <x:c r="D14" s="186" t="str">
        <x:v>Assumption</x:v>
      </x:c>
      <x:c r="E14" s="186" t="str">
        <x:v>CFO</x:v>
      </x:c>
      <x:c r="F14" s="201" t="str">
        <x:v>Balance sheet</x:v>
      </x:c>
    </x:row>
    <x:row r="15">
      <x:c r="A15" s="184" t="str">
        <x:v>Base AR Days</x:v>
      </x:c>
      <x:c r="B15" s="316" t="n">
        <x:v>73.5</x:v>
      </x:c>
      <x:c r="C15" s="186" t="str">
        <x:v>Days</x:v>
      </x:c>
      <x:c r="D15" s="186" t="str">
        <x:v>Assumption</x:v>
      </x:c>
      <x:c r="E15" s="186" t="str">
        <x:v>Finance</x:v>
      </x:c>
      <x:c r="F15" s="201" t="str">
        <x:v>Working capital</x:v>
      </x:c>
    </x:row>
    <x:row r="16">
      <x:c r="A16" s="184" t="str">
        <x:v>Minimum Cash Threshold</x:v>
      </x:c>
      <x:c r="B16" s="316" t="n">
        <x:v>300</x:v>
      </x:c>
      <x:c r="C16" s="186" t="str">
        <x:v>VND bn</x:v>
      </x:c>
      <x:c r="D16" s="186" t="str">
        <x:v>Policy assumption</x:v>
      </x:c>
      <x:c r="E16" s="186" t="str">
        <x:v>Treasury</x:v>
      </x:c>
      <x:c r="F16" s="201" t="str">
        <x:v>Liquidity EWS</x:v>
      </x:c>
    </x:row>
    <x:row r="17">
      <x:c r="A17" s="184" t="str">
        <x:v>ROE Target</x:v>
      </x:c>
      <x:c r="B17" s="318" t="n">
        <x:v>0.25</x:v>
      </x:c>
      <x:c r="C17" s="186" t="str">
        <x:v>%</x:v>
      </x:c>
      <x:c r="D17" s="186" t="str">
        <x:v>Management target</x:v>
      </x:c>
      <x:c r="E17" s="186" t="str">
        <x:v>Board</x:v>
      </x:c>
      <x:c r="F17" s="201" t="str">
        <x:v>Performance</x:v>
      </x:c>
    </x:row>
    <x:row r="18">
      <x:c r="A18" s="184" t="str">
        <x:v>PBT Margin Target</x:v>
      </x:c>
      <x:c r="B18" s="318" t="n">
        <x:v>0.3</x:v>
      </x:c>
      <x:c r="C18" s="186" t="str">
        <x:v>%</x:v>
      </x:c>
      <x:c r="D18" s="186" t="str">
        <x:v>Management target</x:v>
      </x:c>
      <x:c r="E18" s="186" t="str">
        <x:v>Board</x:v>
      </x:c>
      <x:c r="F18" s="201" t="str">
        <x:v>Performance</x:v>
      </x:c>
    </x:row>
    <x:row r="19">
      <x:c r="A19" s="184" t="str">
        <x:v>Balance Tolerance</x:v>
      </x:c>
      <x:c r="B19" s="316" t="n">
        <x:v>0.1</x:v>
      </x:c>
      <x:c r="C19" s="186" t="str">
        <x:v>VND bn</x:v>
      </x:c>
      <x:c r="D19" s="186" t="str">
        <x:v>Model control</x:v>
      </x:c>
      <x:c r="E19" s="186" t="str">
        <x:v>Finance</x:v>
      </x:c>
      <x:c r="F19" s="201" t="str">
        <x:v>Checks</x:v>
      </x:c>
    </x:row>
    <x:row r="20">
      <x:c r="A20" s="188" t="str">
        <x:v>Forecast Status</x:v>
      </x:c>
      <x:c r="B20" s="319" t="str">
        <x:v>Illustrative</x:v>
      </x:c>
      <x:c r="C20" s="190" t="str">
        <x:v>Text</x:v>
      </x:c>
      <x:c r="D20" s="190" t="str">
        <x:v>Model status</x:v>
      </x:c>
      <x:c r="E20" s="190" t="str">
        <x:v>CFO</x:v>
      </x:c>
      <x:c r="F20" s="205" t="str">
        <x:v>Disclosure</x:v>
      </x:c>
    </x:row>
    <x:row r="21">
      <x:c r="A21" s="341" t="str">
        <x:v>Base Depreciation</x:v>
      </x:c>
      <x:c r="B21" s="372" t="n">
        <x:v>40</x:v>
      </x:c>
      <x:c r="C21" s="342" t="str">
        <x:v>VND bn</x:v>
      </x:c>
      <x:c r="D21" s="342" t="str">
        <x:v>Assumption</x:v>
      </x:c>
      <x:c r="E21" s="342" t="str">
        <x:v>CFO</x:v>
      </x:c>
      <x:c r="F21" s="342" t="str">
        <x:v>Income statement / cash flow</x:v>
      </x:c>
    </x:row>
    <x:row r="22">
      <x:c r="A22" s="184" t="str">
        <x:v>Base Finance Income</x:v>
      </x:c>
      <x:c r="B22" s="373" t="n">
        <x:v>20</x:v>
      </x:c>
      <x:c r="C22" s="186" t="str">
        <x:v>VND bn</x:v>
      </x:c>
      <x:c r="D22" s="186" t="str">
        <x:v>Assumption</x:v>
      </x:c>
      <x:c r="E22" s="186" t="str">
        <x:v>CFO</x:v>
      </x:c>
      <x:c r="F22" s="186" t="str">
        <x:v>Income statement</x:v>
      </x:c>
    </x:row>
    <x:row r="23">
      <x:c r="A23" s="184" t="str">
        <x:v>Opening PPE</x:v>
      </x:c>
      <x:c r="B23" s="373" t="n">
        <x:v>400</x:v>
      </x:c>
      <x:c r="C23" s="186" t="str">
        <x:v>VND bn</x:v>
      </x:c>
      <x:c r="D23" s="186" t="str">
        <x:v>Assumption</x:v>
      </x:c>
      <x:c r="E23" s="186" t="str">
        <x:v>Finance</x:v>
      </x:c>
      <x:c r="F23" s="186" t="str">
        <x:v>Balance sheet / fixed asset roll-forward</x:v>
      </x:c>
    </x:row>
    <x:row r="24">
      <x:c r="A24" s="184" t="str">
        <x:v>Opening Investments</x:v>
      </x:c>
      <x:c r="B24" s="373" t="n">
        <x:v>300</x:v>
      </x:c>
      <x:c r="C24" s="186" t="str">
        <x:v>VND bn</x:v>
      </x:c>
      <x:c r="D24" s="186" t="str">
        <x:v>Assumption</x:v>
      </x:c>
      <x:c r="E24" s="186" t="str">
        <x:v>Treasury</x:v>
      </x:c>
      <x:c r="F24" s="186" t="str">
        <x:v>Balance sheet / investing cash flow</x:v>
      </x:c>
    </x:row>
    <x:row r="25">
      <x:c r="A25" s="184" t="str">
        <x:v>Opening Payables</x:v>
      </x:c>
      <x:c r="B25" s="373" t="n">
        <x:v>150</x:v>
      </x:c>
      <x:c r="C25" s="186" t="str">
        <x:v>VND bn</x:v>
      </x:c>
      <x:c r="D25" s="186" t="str">
        <x:v>Assumption</x:v>
      </x:c>
      <x:c r="E25" s="186" t="str">
        <x:v>Finance</x:v>
      </x:c>
      <x:c r="F25" s="186" t="str">
        <x:v>Working capital</x:v>
      </x:c>
    </x:row>
    <x:row r="26">
      <x:c r="A26" s="184" t="str">
        <x:v>Opening Provisions</x:v>
      </x:c>
      <x:c r="B26" s="373" t="n">
        <x:v>100</x:v>
      </x:c>
      <x:c r="C26" s="186" t="str">
        <x:v>VND bn</x:v>
      </x:c>
      <x:c r="D26" s="186" t="str">
        <x:v>Assumption</x:v>
      </x:c>
      <x:c r="E26" s="186" t="str">
        <x:v>Finance</x:v>
      </x:c>
      <x:c r="F26" s="186" t="str">
        <x:v>Balance sheet</x:v>
      </x:c>
    </x:row>
    <x:row r="27">
      <x:c r="A27" s="184" t="str">
        <x:v>Opening Other Liabilities</x:v>
      </x:c>
      <x:c r="B27" s="373" t="n">
        <x:v>100</x:v>
      </x:c>
      <x:c r="C27" s="186" t="str">
        <x:v>VND bn</x:v>
      </x:c>
      <x:c r="D27" s="186" t="str">
        <x:v>Assumption</x:v>
      </x:c>
      <x:c r="E27" s="186" t="str">
        <x:v>Finance</x:v>
      </x:c>
      <x:c r="F27" s="186" t="str">
        <x:v>Balance sheet</x:v>
      </x:c>
    </x:row>
    <x:row r="28">
      <x:c r="A28" s="184" t="str">
        <x:v>Opening Share Capital</x:v>
      </x:c>
      <x:c r="B28" s="373" t="n">
        <x:v>1000</x:v>
      </x:c>
      <x:c r="C28" s="186" t="str">
        <x:v>VND bn</x:v>
      </x:c>
      <x:c r="D28" s="186" t="str">
        <x:v>Assumption</x:v>
      </x:c>
      <x:c r="E28" s="186" t="str">
        <x:v>CFO</x:v>
      </x:c>
      <x:c r="F28" s="186" t="str">
        <x:v>Equity roll-forward</x:v>
      </x:c>
    </x:row>
    <x:row r="29">
      <x:c r="A29" s="184" t="str">
        <x:v>Opening Retained Earnings</x:v>
      </x:c>
      <x:c r="B29" s="373" t="n">
        <x:v>450</x:v>
      </x:c>
      <x:c r="C29" s="186" t="str">
        <x:v>VND bn</x:v>
      </x:c>
      <x:c r="D29" s="186" t="str">
        <x:v>Assumption</x:v>
      </x:c>
      <x:c r="E29" s="186" t="str">
        <x:v>CFO</x:v>
      </x:c>
      <x:c r="F29" s="186" t="str">
        <x:v>Equity roll-forward</x:v>
      </x:c>
    </x:row>
    <x:row r="30">
      <x:c r="A30" s="184" t="str">
        <x:v>Base AP Days</x:v>
      </x:c>
      <x:c r="B30" s="373" t="n">
        <x:v>68</x:v>
      </x:c>
      <x:c r="C30" s="186" t="str">
        <x:v>Days</x:v>
      </x:c>
      <x:c r="D30" s="186" t="str">
        <x:v>Assumption</x:v>
      </x:c>
      <x:c r="E30" s="186" t="str">
        <x:v>Finance</x:v>
      </x:c>
      <x:c r="F30" s="186" t="str">
        <x:v>Working capital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6" customHeight="1">
      <x:c r="A1" s="309" t="str">
        <x:v>SCENARIO-TO-FINANCIAL-STATEMENTS IMPACT MODEL</x:v>
      </x:c>
      <x:c r="B1" s="309"/>
      <x:c r="C1" s="309"/>
      <x:c r="D1" s="309"/>
      <x:c r="E1" s="309"/>
      <x:c r="F1" s="309"/>
      <x:c r="G1" s="309"/>
      <x:c r="H1" s="309"/>
    </x:row>
    <x:row r="2" ht="30" customHeight="1">
      <x:c r="A2" s="312" t="str">
        <x:v>All calculated rows are formulas linked to Scenarios and Scenario_Assumptions. Units: VND bn unless stated otherwise.</x:v>
      </x:c>
      <x:c r="B2" s="312"/>
      <x:c r="C2" s="312"/>
      <x:c r="D2" s="312"/>
      <x:c r="E2" s="312"/>
      <x:c r="F2" s="312"/>
      <x:c r="G2" s="312"/>
      <x:c r="H2" s="312"/>
    </x:row>
    <x:row r="3">
      <x:c r="A3" s="305" t="str">
        <x:v>Metric</x:v>
      </x:c>
      <x:c r="B3" s="306" t="str">
        <x:v>Base Plan</x:v>
      </x:c>
      <x:c r="C3" s="306" t="str">
        <x:v>Market Downside</x:v>
      </x:c>
      <x:c r="D3" s="306" t="str">
        <x:v>Risk-Off Severe</x:v>
      </x:c>
      <x:c r="E3" s="306" t="str">
        <x:v>Growth Acceleration</x:v>
      </x:c>
      <x:c r="F3" s="306" t="str">
        <x:v>Fee Compression</x:v>
      </x:c>
      <x:c r="G3" s="306" t="str">
        <x:v>Cost Transformation</x:v>
      </x:c>
      <x:c r="H3" s="307" t="str">
        <x:v>Distribution Expansion</x:v>
      </x:c>
    </x:row>
    <x:row r="4">
      <x:c r="A4" s="184" t="str">
        <x:v>Market return</x:v>
      </x:c>
      <x:c r="B4" s="318" t="n">
        <x:f>'Scenarios'!B2</x:f>
        <x:v>0.06</x:v>
      </x:c>
      <x:c r="C4" s="318" t="n">
        <x:f>'Scenarios'!B3</x:f>
        <x:v>-0.1</x:v>
      </x:c>
      <x:c r="D4" s="318" t="n">
        <x:f>'Scenarios'!B4</x:f>
        <x:v>-0.2</x:v>
      </x:c>
      <x:c r="E4" s="318" t="n">
        <x:f>'Scenarios'!B5</x:f>
        <x:v>0.12</x:v>
      </x:c>
      <x:c r="F4" s="318" t="n">
        <x:f>'Scenarios'!B6</x:f>
        <x:v>0.04</x:v>
      </x:c>
      <x:c r="G4" s="318" t="n">
        <x:f>'Scenarios'!B7</x:f>
        <x:v>0.05</x:v>
      </x:c>
      <x:c r="H4" s="323" t="n">
        <x:f>'Scenarios'!B8</x:f>
        <x:v>0.07</x:v>
      </x:c>
    </x:row>
    <x:row r="5">
      <x:c r="A5" s="184" t="str">
        <x:v>Net flow / beginning AUM</x:v>
      </x:c>
      <x:c r="B5" s="318" t="n">
        <x:f>'Scenarios'!C2</x:f>
        <x:v>0.0214</x:v>
      </x:c>
      <x:c r="C5" s="318" t="n">
        <x:f>'Scenarios'!C3</x:f>
        <x:v>-0.03</x:v>
      </x:c>
      <x:c r="D5" s="318" t="n">
        <x:f>'Scenarios'!C4</x:f>
        <x:v>-0.08</x:v>
      </x:c>
      <x:c r="E5" s="318" t="n">
        <x:f>'Scenarios'!C5</x:f>
        <x:v>0.06</x:v>
      </x:c>
      <x:c r="F5" s="318" t="n">
        <x:f>'Scenarios'!C6</x:f>
        <x:v>0.01</x:v>
      </x:c>
      <x:c r="G5" s="318" t="n">
        <x:f>'Scenarios'!C7</x:f>
        <x:v>0.02</x:v>
      </x:c>
      <x:c r="H5" s="323" t="n">
        <x:f>'Scenarios'!C8</x:f>
        <x:v>0.05</x:v>
      </x:c>
    </x:row>
    <x:row r="6">
      <x:c r="A6" s="184" t="str">
        <x:v>Fee yield change (bps)</x:v>
      </x:c>
      <x:c r="B6" s="316" t="n">
        <x:f>'Scenarios'!D2</x:f>
        <x:v>0</x:v>
      </x:c>
      <x:c r="C6" s="316" t="n">
        <x:f>'Scenarios'!D3</x:f>
        <x:v>-10</x:v>
      </x:c>
      <x:c r="D6" s="316" t="n">
        <x:f>'Scenarios'!D4</x:f>
        <x:v>-25</x:v>
      </x:c>
      <x:c r="E6" s="316" t="n">
        <x:f>'Scenarios'!D5</x:f>
        <x:v>5</x:v>
      </x:c>
      <x:c r="F6" s="316" t="n">
        <x:f>'Scenarios'!D6</x:f>
        <x:v>-35</x:v>
      </x:c>
      <x:c r="G6" s="316" t="n">
        <x:f>'Scenarios'!D7</x:f>
        <x:v>0</x:v>
      </x:c>
      <x:c r="H6" s="324" t="n">
        <x:f>'Scenarios'!D8</x:f>
        <x:v>-5</x:v>
      </x:c>
    </x:row>
    <x:row r="7">
      <x:c r="A7" s="184" t="str">
        <x:v>Personnel cost change</x:v>
      </x:c>
      <x:c r="B7" s="318" t="n">
        <x:f>'Scenarios'!E2</x:f>
        <x:v>0</x:v>
      </x:c>
      <x:c r="C7" s="318" t="n">
        <x:f>'Scenarios'!E3</x:f>
        <x:v>-0.02</x:v>
      </x:c>
      <x:c r="D7" s="318" t="n">
        <x:f>'Scenarios'!E4</x:f>
        <x:v>-0.05</x:v>
      </x:c>
      <x:c r="E7" s="318" t="n">
        <x:f>'Scenarios'!E5</x:f>
        <x:v>0.08</x:v>
      </x:c>
      <x:c r="F7" s="318" t="n">
        <x:f>'Scenarios'!E6</x:f>
        <x:v>0</x:v>
      </x:c>
      <x:c r="G7" s="318" t="n">
        <x:f>'Scenarios'!E7</x:f>
        <x:v>-0.08</x:v>
      </x:c>
      <x:c r="H7" s="323" t="n">
        <x:f>'Scenarios'!E8</x:f>
        <x:v>0.06</x:v>
      </x:c>
    </x:row>
    <x:row r="8">
      <x:c r="A8" s="184" t="str">
        <x:v>Other opex change</x:v>
      </x:c>
      <x:c r="B8" s="318" t="n">
        <x:f>'Scenarios'!F2</x:f>
        <x:v>0</x:v>
      </x:c>
      <x:c r="C8" s="318" t="n">
        <x:f>'Scenarios'!F3</x:f>
        <x:v>-0.03</x:v>
      </x:c>
      <x:c r="D8" s="318" t="n">
        <x:f>'Scenarios'!F4</x:f>
        <x:v>-0.08</x:v>
      </x:c>
      <x:c r="E8" s="318" t="n">
        <x:f>'Scenarios'!F5</x:f>
        <x:v>0.1</x:v>
      </x:c>
      <x:c r="F8" s="318" t="n">
        <x:f>'Scenarios'!F6</x:f>
        <x:v>-0.02</x:v>
      </x:c>
      <x:c r="G8" s="318" t="n">
        <x:f>'Scenarios'!F7</x:f>
        <x:v>-0.12</x:v>
      </x:c>
      <x:c r="H8" s="323" t="n">
        <x:f>'Scenarios'!F8</x:f>
        <x:v>0.08</x:v>
      </x:c>
    </x:row>
    <x:row r="9">
      <x:c r="A9" s="184" t="str">
        <x:v>One-off cost</x:v>
      </x:c>
      <x:c r="B9" s="316" t="n">
        <x:f>'Scenarios'!G2</x:f>
        <x:v>0</x:v>
      </x:c>
      <x:c r="C9" s="316" t="n">
        <x:f>'Scenarios'!G3</x:f>
        <x:v>15</x:v>
      </x:c>
      <x:c r="D9" s="316" t="n">
        <x:f>'Scenarios'!G4</x:f>
        <x:v>35</x:v>
      </x:c>
      <x:c r="E9" s="316" t="n">
        <x:f>'Scenarios'!G5</x:f>
        <x:v>20</x:v>
      </x:c>
      <x:c r="F9" s="316" t="n">
        <x:f>'Scenarios'!G6</x:f>
        <x:v>5</x:v>
      </x:c>
      <x:c r="G9" s="316" t="n">
        <x:f>'Scenarios'!G7</x:f>
        <x:v>45</x:v>
      </x:c>
      <x:c r="H9" s="324" t="n">
        <x:f>'Scenarios'!G8</x:f>
        <x:v>25</x:v>
      </x:c>
    </x:row>
    <x:row r="10">
      <x:c r="A10" s="184" t="str">
        <x:v>Capex</x:v>
      </x:c>
      <x:c r="B10" s="316" t="n">
        <x:f>'Scenarios'!H2</x:f>
        <x:v>35</x:v>
      </x:c>
      <x:c r="C10" s="316" t="n">
        <x:f>'Scenarios'!H3</x:f>
        <x:v>25</x:v>
      </x:c>
      <x:c r="D10" s="316" t="n">
        <x:f>'Scenarios'!H4</x:f>
        <x:v>15</x:v>
      </x:c>
      <x:c r="E10" s="316" t="n">
        <x:f>'Scenarios'!H5</x:f>
        <x:v>80</x:v>
      </x:c>
      <x:c r="F10" s="316" t="n">
        <x:f>'Scenarios'!H6</x:f>
        <x:v>30</x:v>
      </x:c>
      <x:c r="G10" s="316" t="n">
        <x:f>'Scenarios'!H7</x:f>
        <x:v>55</x:v>
      </x:c>
      <x:c r="H10" s="324" t="n">
        <x:f>'Scenarios'!H8</x:f>
        <x:v>65</x:v>
      </x:c>
    </x:row>
    <x:row r="11">
      <x:c r="A11" s="184" t="str">
        <x:v>AR days change</x:v>
      </x:c>
      <x:c r="B11" s="316" t="n">
        <x:f>'Scenarios'!I2</x:f>
        <x:v>0</x:v>
      </x:c>
      <x:c r="C11" s="316" t="n">
        <x:f>'Scenarios'!I3</x:f>
        <x:v>5</x:v>
      </x:c>
      <x:c r="D11" s="316" t="n">
        <x:f>'Scenarios'!I4</x:f>
        <x:v>12</x:v>
      </x:c>
      <x:c r="E11" s="316" t="n">
        <x:f>'Scenarios'!I5</x:f>
        <x:v>-3</x:v>
      </x:c>
      <x:c r="F11" s="316" t="n">
        <x:f>'Scenarios'!I6</x:f>
        <x:v>4</x:v>
      </x:c>
      <x:c r="G11" s="316" t="n">
        <x:f>'Scenarios'!I7</x:f>
        <x:v>0</x:v>
      </x:c>
      <x:c r="H11" s="324" t="n">
        <x:f>'Scenarios'!I8</x:f>
        <x:v>-4</x:v>
      </x:c>
    </x:row>
    <x:row r="12">
      <x:c r="A12" s="184" t="str">
        <x:v>Dividend payout</x:v>
      </x:c>
      <x:c r="B12" s="318" t="n">
        <x:f>'Scenarios'!J2</x:f>
        <x:v>0.35</x:v>
      </x:c>
      <x:c r="C12" s="318" t="n">
        <x:f>'Scenarios'!J3</x:f>
        <x:v>0.2</x:v>
      </x:c>
      <x:c r="D12" s="318" t="n">
        <x:f>'Scenarios'!J4</x:f>
        <x:v>0.1</x:v>
      </x:c>
      <x:c r="E12" s="318" t="n">
        <x:f>'Scenarios'!J5</x:f>
        <x:v>0.4</x:v>
      </x:c>
      <x:c r="F12" s="318" t="n">
        <x:f>'Scenarios'!J6</x:f>
        <x:v>0.3</x:v>
      </x:c>
      <x:c r="G12" s="318" t="n">
        <x:f>'Scenarios'!J7</x:f>
        <x:v>0.25</x:v>
      </x:c>
      <x:c r="H12" s="323" t="n">
        <x:f>'Scenarios'!J8</x:f>
        <x:v>0.3</x:v>
      </x:c>
    </x:row>
    <x:row r="13">
      <x:c r="A13" s="184" t="str">
        <x:v>Beginning AUM</x:v>
      </x:c>
      <x:c r="B13" s="325" t="n">
        <x:f>'Scenario_Assumptions'!$B$5</x:f>
        <x:v>140000</x:v>
      </x:c>
      <x:c r="C13" s="325" t="n">
        <x:f>'Scenario_Assumptions'!$B$5</x:f>
        <x:v>140000</x:v>
      </x:c>
      <x:c r="D13" s="325" t="n">
        <x:f>'Scenario_Assumptions'!$B$5</x:f>
        <x:v>140000</x:v>
      </x:c>
      <x:c r="E13" s="325" t="n">
        <x:f>'Scenario_Assumptions'!$B$5</x:f>
        <x:v>140000</x:v>
      </x:c>
      <x:c r="F13" s="325" t="n">
        <x:f>'Scenario_Assumptions'!$B$5</x:f>
        <x:v>140000</x:v>
      </x:c>
      <x:c r="G13" s="325" t="n">
        <x:f>'Scenario_Assumptions'!$B$5</x:f>
        <x:v>140000</x:v>
      </x:c>
      <x:c r="H13" s="326" t="n">
        <x:f>'Scenario_Assumptions'!$B$5</x:f>
        <x:v>140000</x:v>
      </x:c>
    </x:row>
    <x:row r="14">
      <x:c r="A14" s="184" t="str">
        <x:v>Net flow</x:v>
      </x:c>
      <x:c r="B14" s="325" t="n">
        <x:f>B13*B5</x:f>
        <x:v>2996</x:v>
      </x:c>
      <x:c r="C14" s="325" t="n">
        <x:f>C13*C5</x:f>
        <x:v>-4200</x:v>
      </x:c>
      <x:c r="D14" s="325" t="n">
        <x:f>D13*D5</x:f>
        <x:v>-11200</x:v>
      </x:c>
      <x:c r="E14" s="325" t="n">
        <x:f>E13*E5</x:f>
        <x:v>8400</x:v>
      </x:c>
      <x:c r="F14" s="325" t="n">
        <x:f>F13*F5</x:f>
        <x:v>1400</x:v>
      </x:c>
      <x:c r="G14" s="325" t="n">
        <x:f>G13*G5</x:f>
        <x:v>2800</x:v>
      </x:c>
      <x:c r="H14" s="326" t="n">
        <x:f>H13*H5</x:f>
        <x:v>7000</x:v>
      </x:c>
    </x:row>
    <x:row r="15">
      <x:c r="A15" s="184" t="str">
        <x:v>Ending AUM</x:v>
      </x:c>
      <x:c r="B15" s="325" t="n">
        <x:f>B13*(1+B4)+B14</x:f>
        <x:v>151396</x:v>
      </x:c>
      <x:c r="C15" s="325" t="n">
        <x:f>C13*(1+C4)+C14</x:f>
        <x:v>121800</x:v>
      </x:c>
      <x:c r="D15" s="325" t="n">
        <x:f>D13*(1+D4)+D14</x:f>
        <x:v>100800</x:v>
      </x:c>
      <x:c r="E15" s="325" t="n">
        <x:f>E13*(1+E4)+E14</x:f>
        <x:v>165200.00000000003</x:v>
      </x:c>
      <x:c r="F15" s="325" t="n">
        <x:f>F13*(1+F4)+F14</x:f>
        <x:v>147000</x:v>
      </x:c>
      <x:c r="G15" s="325" t="n">
        <x:f>G13*(1+G4)+G14</x:f>
        <x:v>149800</x:v>
      </x:c>
      <x:c r="H15" s="326" t="n">
        <x:f>H13*(1+H4)+H14</x:f>
        <x:v>156800</x:v>
      </x:c>
    </x:row>
    <x:row r="16">
      <x:c r="A16" s="184" t="str">
        <x:v>Average AUM</x:v>
      </x:c>
      <x:c r="B16" s="325" t="n">
        <x:f>AVERAGE(B13,B15)</x:f>
        <x:v>145698</x:v>
      </x:c>
      <x:c r="C16" s="325" t="n">
        <x:f>AVERAGE(C13,C15)</x:f>
        <x:v>130900</x:v>
      </x:c>
      <x:c r="D16" s="325" t="n">
        <x:f>AVERAGE(D13,D15)</x:f>
        <x:v>120400</x:v>
      </x:c>
      <x:c r="E16" s="325" t="n">
        <x:f>AVERAGE(E13,E15)</x:f>
        <x:v>152600</x:v>
      </x:c>
      <x:c r="F16" s="325" t="n">
        <x:f>AVERAGE(F13,F15)</x:f>
        <x:v>143500</x:v>
      </x:c>
      <x:c r="G16" s="325" t="n">
        <x:f>AVERAGE(G13,G15)</x:f>
        <x:v>144900</x:v>
      </x:c>
      <x:c r="H16" s="326" t="n">
        <x:f>AVERAGE(H13,H15)</x:f>
        <x:v>148400</x:v>
      </x:c>
    </x:row>
    <x:row r="17">
      <x:c r="A17" s="184" t="str">
        <x:v>Effective fee yield</x:v>
      </x:c>
      <x:c r="B17" s="327" t="n">
        <x:f>'Scenario_Assumptions'!$B$6+B6/10000</x:f>
        <x:v>0.00855</x:v>
      </x:c>
      <x:c r="C17" s="327" t="n">
        <x:f>'Scenario_Assumptions'!$B$6+C6/10000</x:f>
        <x:v>0.00755</x:v>
      </x:c>
      <x:c r="D17" s="327" t="n">
        <x:f>'Scenario_Assumptions'!$B$6+D6/10000</x:f>
        <x:v>0.00605</x:v>
      </x:c>
      <x:c r="E17" s="327" t="n">
        <x:f>'Scenario_Assumptions'!$B$6+E6/10000</x:f>
        <x:v>0.00905</x:v>
      </x:c>
      <x:c r="F17" s="327" t="n">
        <x:f>'Scenario_Assumptions'!$B$6+F6/10000</x:f>
        <x:v>0.005050000000000001</x:v>
      </x:c>
      <x:c r="G17" s="327" t="n">
        <x:f>'Scenario_Assumptions'!$B$6+G6/10000</x:f>
        <x:v>0.00855</x:v>
      </x:c>
      <x:c r="H17" s="328" t="n">
        <x:f>'Scenario_Assumptions'!$B$6+H6/10000</x:f>
        <x:v>0.00805</x:v>
      </x:c>
    </x:row>
    <x:row r="18">
      <x:c r="A18" s="184" t="str">
        <x:v>Revenue</x:v>
      </x:c>
      <x:c r="B18" s="325" t="n">
        <x:f>B16*B17</x:f>
        <x:v>1245.7179</x:v>
      </x:c>
      <x:c r="C18" s="325" t="n">
        <x:f>C16*C17</x:f>
        <x:v>988.2950000000001</x:v>
      </x:c>
      <x:c r="D18" s="325" t="n">
        <x:f>D16*D17</x:f>
        <x:v>728.42</x:v>
      </x:c>
      <x:c r="E18" s="325" t="n">
        <x:f>E16*E17</x:f>
        <x:v>1381.0300000000002</x:v>
      </x:c>
      <x:c r="F18" s="325" t="n">
        <x:f>F16*F17</x:f>
        <x:v>724.6750000000001</x:v>
      </x:c>
      <x:c r="G18" s="325" t="n">
        <x:f>G16*G17</x:f>
        <x:v>1238.895</x:v>
      </x:c>
      <x:c r="H18" s="326" t="n">
        <x:f>H16*H17</x:f>
        <x:v>1194.62</x:v>
      </x:c>
    </x:row>
    <x:row r="19">
      <x:c r="A19" s="184" t="str">
        <x:v>Personnel cost</x:v>
      </x:c>
      <x:c r="B19" s="325" t="n">
        <x:f>'Scenario_Assumptions'!$B$7*(1+B7)</x:f>
        <x:v>455</x:v>
      </x:c>
      <x:c r="C19" s="325" t="n">
        <x:f>'Scenario_Assumptions'!$B$7*(1+C7)</x:f>
        <x:v>445.9</x:v>
      </x:c>
      <x:c r="D19" s="325" t="n">
        <x:f>'Scenario_Assumptions'!$B$7*(1+D7)</x:f>
        <x:v>432.25</x:v>
      </x:c>
      <x:c r="E19" s="325" t="n">
        <x:f>'Scenario_Assumptions'!$B$7*(1+E7)</x:f>
        <x:v>491.40000000000003</x:v>
      </x:c>
      <x:c r="F19" s="325" t="n">
        <x:f>'Scenario_Assumptions'!$B$7*(1+F7)</x:f>
        <x:v>455</x:v>
      </x:c>
      <x:c r="G19" s="325" t="n">
        <x:f>'Scenario_Assumptions'!$B$7*(1+G7)</x:f>
        <x:v>418.6</x:v>
      </x:c>
      <x:c r="H19" s="326" t="n">
        <x:f>'Scenario_Assumptions'!$B$7*(1+H7)</x:f>
        <x:v>482.3</x:v>
      </x:c>
    </x:row>
    <x:row r="20">
      <x:c r="A20" s="184" t="str">
        <x:v>Other opex</x:v>
      </x:c>
      <x:c r="B20" s="325" t="n">
        <x:f>'Scenario_Assumptions'!$B$8*(1+B8)+B9</x:f>
        <x:v>360</x:v>
      </x:c>
      <x:c r="C20" s="325" t="n">
        <x:f>'Scenario_Assumptions'!$B$8*(1+C8)+C9</x:f>
        <x:v>364.2</x:v>
      </x:c>
      <x:c r="D20" s="325" t="n">
        <x:f>'Scenario_Assumptions'!$B$8*(1+D8)+D9</x:f>
        <x:v>366.2</x:v>
      </x:c>
      <x:c r="E20" s="325" t="n">
        <x:f>'Scenario_Assumptions'!$B$8*(1+E8)+E9</x:f>
        <x:v>416.00000000000006</x:v>
      </x:c>
      <x:c r="F20" s="325" t="n">
        <x:f>'Scenario_Assumptions'!$B$8*(1+F8)+F9</x:f>
        <x:v>357.8</x:v>
      </x:c>
      <x:c r="G20" s="325" t="n">
        <x:f>'Scenario_Assumptions'!$B$8*(1+G8)+G9</x:f>
        <x:v>361.8</x:v>
      </x:c>
      <x:c r="H20" s="326" t="n">
        <x:f>'Scenario_Assumptions'!$B$8*(1+H8)+H9</x:f>
        <x:v>413.8</x:v>
      </x:c>
    </x:row>
    <x:row r="21">
      <x:c r="A21" s="184" t="str">
        <x:v>PBT</x:v>
      </x:c>
      <x:c r="B21" s="325" t="n">
        <x:f>B18-B19-B20</x:f>
        <x:v>430.7179000000001</x:v>
      </x:c>
      <x:c r="C21" s="325" t="n">
        <x:f>C18-C19-C20</x:f>
        <x:v>178.1950000000001</x:v>
      </x:c>
      <x:c r="D21" s="325" t="n">
        <x:f>D18-D19-D20</x:f>
        <x:v>-70.03000000000003</x:v>
      </x:c>
      <x:c r="E21" s="325" t="n">
        <x:f>E18-E19-E20</x:f>
        <x:v>473.63000000000005</x:v>
      </x:c>
      <x:c r="F21" s="325" t="n">
        <x:f>F18-F19-F20</x:f>
        <x:v>-88.12499999999994</x:v>
      </x:c>
      <x:c r="G21" s="325" t="n">
        <x:f>G18-G19-G20</x:f>
        <x:v>458.49499999999995</x:v>
      </x:c>
      <x:c r="H21" s="326" t="n">
        <x:f>H18-H19-H20</x:f>
        <x:v>298.5199999999999</x:v>
      </x:c>
    </x:row>
    <x:row r="22">
      <x:c r="A22" s="184" t="str">
        <x:v>Tax</x:v>
      </x:c>
      <x:c r="B22" s="325" t="n">
        <x:f>MAX(B21,0)*'Scenario_Assumptions'!$B$9</x:f>
        <x:v>60.30050600000002</x:v>
      </x:c>
      <x:c r="C22" s="325" t="n">
        <x:f>MAX(C21,0)*'Scenario_Assumptions'!$B$9</x:f>
        <x:v>24.947300000000016</x:v>
      </x:c>
      <x:c r="D22" s="325" t="n">
        <x:f>MAX(D21,0)*'Scenario_Assumptions'!$B$9</x:f>
        <x:v>0</x:v>
      </x:c>
      <x:c r="E22" s="325" t="n">
        <x:f>MAX(E21,0)*'Scenario_Assumptions'!$B$9</x:f>
        <x:v>66.30820000000001</x:v>
      </x:c>
      <x:c r="F22" s="325" t="n">
        <x:f>MAX(F21,0)*'Scenario_Assumptions'!$B$9</x:f>
        <x:v>0</x:v>
      </x:c>
      <x:c r="G22" s="325" t="n">
        <x:f>MAX(G21,0)*'Scenario_Assumptions'!$B$9</x:f>
        <x:v>64.1893</x:v>
      </x:c>
      <x:c r="H22" s="326" t="n">
        <x:f>MAX(H21,0)*'Scenario_Assumptions'!$B$9</x:f>
        <x:v>41.79279999999999</x:v>
      </x:c>
    </x:row>
    <x:row r="23">
      <x:c r="A23" s="184" t="str">
        <x:v>NPAT</x:v>
      </x:c>
      <x:c r="B23" s="325" t="n">
        <x:f>B21-B22</x:f>
        <x:v>370.41739400000006</x:v>
      </x:c>
      <x:c r="C23" s="325" t="n">
        <x:f>C21-C22</x:f>
        <x:v>153.2477000000001</x:v>
      </x:c>
      <x:c r="D23" s="325" t="n">
        <x:f>D21-D22</x:f>
        <x:v>-70.03000000000003</x:v>
      </x:c>
      <x:c r="E23" s="325" t="n">
        <x:f>E21-E22</x:f>
        <x:v>407.32180000000005</x:v>
      </x:c>
      <x:c r="F23" s="325" t="n">
        <x:f>F21-F22</x:f>
        <x:v>-88.12499999999994</x:v>
      </x:c>
      <x:c r="G23" s="325" t="n">
        <x:f>G21-G22</x:f>
        <x:v>394.30569999999994</x:v>
      </x:c>
      <x:c r="H23" s="326" t="n">
        <x:f>H21-H22</x:f>
        <x:v>256.7271999999999</x:v>
      </x:c>
    </x:row>
    <x:row r="24">
      <x:c r="A24" s="184" t="str">
        <x:v>PBT margin</x:v>
      </x:c>
      <x:c r="B24" s="329" t="n">
        <x:f>IFERROR(B21/B18,0)</x:f>
        <x:v>0.34575877893381807</x:v>
      </x:c>
      <x:c r="C24" s="329" t="n">
        <x:f>IFERROR(C21/C18,0)</x:f>
        <x:v>0.18030547559180213</x:v>
      </x:c>
      <x:c r="D24" s="329" t="n">
        <x:f>IFERROR(D21/D18,0)</x:f>
        <x:v>-0.09613958979709512</x:v>
      </x:c>
      <x:c r="E24" s="329" t="n">
        <x:f>IFERROR(E21/E18,0)</x:f>
        <x:v>0.34295417188620086</x:v>
      </x:c>
      <x:c r="F24" s="329" t="n">
        <x:f>IFERROR(F21/F18,0)</x:f>
        <x:v>-0.12160623727878005</x:v>
      </x:c>
      <x:c r="G24" s="329" t="n">
        <x:f>IFERROR(G21/G18,0)</x:f>
        <x:v>0.3700838246986225</x:v>
      </x:c>
      <x:c r="H24" s="330" t="n">
        <x:f>IFERROR(H21/H18,0)</x:f>
        <x:v>0.24988699335353498</x:v>
      </x:c>
    </x:row>
    <x:row r="25">
      <x:c r="A25" s="184" t="str">
        <x:v>Opening receivables</x:v>
      </x:c>
      <x:c r="B25" s="325" t="n">
        <x:f>'Scenario_Assumptions'!$B$11</x:f>
        <x:v>250</x:v>
      </x:c>
      <x:c r="C25" s="325" t="n">
        <x:f>'Scenario_Assumptions'!$B$11</x:f>
        <x:v>250</x:v>
      </x:c>
      <x:c r="D25" s="325" t="n">
        <x:f>'Scenario_Assumptions'!$B$11</x:f>
        <x:v>250</x:v>
      </x:c>
      <x:c r="E25" s="325" t="n">
        <x:f>'Scenario_Assumptions'!$B$11</x:f>
        <x:v>250</x:v>
      </x:c>
      <x:c r="F25" s="325" t="n">
        <x:f>'Scenario_Assumptions'!$B$11</x:f>
        <x:v>250</x:v>
      </x:c>
      <x:c r="G25" s="325" t="n">
        <x:f>'Scenario_Assumptions'!$B$11</x:f>
        <x:v>250</x:v>
      </x:c>
      <x:c r="H25" s="326" t="n">
        <x:f>'Scenario_Assumptions'!$B$11</x:f>
        <x:v>250</x:v>
      </x:c>
    </x:row>
    <x:row r="26">
      <x:c r="A26" s="184" t="str">
        <x:v>Ending receivables</x:v>
      </x:c>
      <x:c r="B26" s="325" t="n">
        <x:f>B18/365*('Scenario_Assumptions'!$B$15+B11)</x:f>
        <x:v>250.85004287671234</x:v>
      </x:c>
      <x:c r="C26" s="325" t="n">
        <x:f>C18/365*('Scenario_Assumptions'!$B$15+C11)</x:f>
        <x:v>212.5511164383562</x:v>
      </x:c>
      <x:c r="D26" s="325" t="n">
        <x:f>D18/365*('Scenario_Assumptions'!$B$15+D11)</x:f>
        <x:v>170.6298904109589</x:v>
      </x:c>
      <x:c r="E26" s="325" t="n">
        <x:f>E18/365*('Scenario_Assumptions'!$B$15+E11)</x:f>
        <x:v>266.74689041095894</x:v>
      </x:c>
      <x:c r="F26" s="325" t="n">
        <x:f>F18/365*('Scenario_Assumptions'!$B$15+F11)</x:f>
        <x:v>153.86934931506852</x:v>
      </x:c>
      <x:c r="G26" s="325" t="n">
        <x:f>G18/365*('Scenario_Assumptions'!$B$15+G11)</x:f>
        <x:v>249.47611643835614</x:v>
      </x:c>
      <x:c r="H26" s="326" t="n">
        <x:f>H18/365*('Scenario_Assumptions'!$B$15+H11)</x:f>
        <x:v>227.46873972602737</x:v>
      </x:c>
    </x:row>
    <x:row r="27">
      <x:c r="A27" s="184" t="str">
        <x:v>Change in receivables</x:v>
      </x:c>
      <x:c r="B27" s="325" t="n">
        <x:f>B26-B25</x:f>
        <x:v>0.8500428767123367</x:v>
      </x:c>
      <x:c r="C27" s="325" t="n">
        <x:f>C26-C25</x:f>
        <x:v>-37.44888356164381</x:v>
      </x:c>
      <x:c r="D27" s="325" t="n">
        <x:f>D26-D25</x:f>
        <x:v>-79.3701095890411</x:v>
      </x:c>
      <x:c r="E27" s="325" t="n">
        <x:f>E26-E25</x:f>
        <x:v>16.74689041095894</x:v>
      </x:c>
      <x:c r="F27" s="325" t="n">
        <x:f>F26-F25</x:f>
        <x:v>-96.13065068493148</x:v>
      </x:c>
      <x:c r="G27" s="325" t="n">
        <x:f>G26-G25</x:f>
        <x:v>-0.5238835616438564</x:v>
      </x:c>
      <x:c r="H27" s="326" t="n">
        <x:f>H26-H25</x:f>
        <x:v>-22.531260273972634</x:v>
      </x:c>
    </x:row>
    <x:row r="28">
      <x:c r="A28" s="184" t="str">
        <x:v>CFO</x:v>
      </x:c>
      <x:c r="B28" s="325" t="n">
        <x:f>B23-B27</x:f>
        <x:v>369.5673511232877</x:v>
      </x:c>
      <x:c r="C28" s="325" t="n">
        <x:f>C23-C27</x:f>
        <x:v>190.6965835616439</x:v>
      </x:c>
      <x:c r="D28" s="325" t="n">
        <x:f>D23-D27</x:f>
        <x:v>9.340109589041077</x:v>
      </x:c>
      <x:c r="E28" s="325" t="n">
        <x:f>E23-E27</x:f>
        <x:v>390.5749095890411</x:v>
      </x:c>
      <x:c r="F28" s="325" t="n">
        <x:f>F23-F27</x:f>
        <x:v>8.005650684931538</x:v>
      </x:c>
      <x:c r="G28" s="325" t="n">
        <x:f>G23-G27</x:f>
        <x:v>394.8295835616438</x:v>
      </x:c>
      <x:c r="H28" s="326" t="n">
        <x:f>H23-H27</x:f>
        <x:v>279.25846027397256</x:v>
      </x:c>
    </x:row>
    <x:row r="29">
      <x:c r="A29" s="184" t="str">
        <x:v>CFI</x:v>
      </x:c>
      <x:c r="B29" s="325" t="n">
        <x:f>-B10</x:f>
        <x:v>-35</x:v>
      </x:c>
      <x:c r="C29" s="325" t="n">
        <x:f>-C10</x:f>
        <x:v>-25</x:v>
      </x:c>
      <x:c r="D29" s="325" t="n">
        <x:f>-D10</x:f>
        <x:v>-15</x:v>
      </x:c>
      <x:c r="E29" s="325" t="n">
        <x:f>-E10</x:f>
        <x:v>-80</x:v>
      </x:c>
      <x:c r="F29" s="325" t="n">
        <x:f>-F10</x:f>
        <x:v>-30</x:v>
      </x:c>
      <x:c r="G29" s="325" t="n">
        <x:f>-G10</x:f>
        <x:v>-55</x:v>
      </x:c>
      <x:c r="H29" s="326" t="n">
        <x:f>-H10</x:f>
        <x:v>-65</x:v>
      </x:c>
    </x:row>
    <x:row r="30">
      <x:c r="A30" s="184" t="str">
        <x:v>Dividends paid</x:v>
      </x:c>
      <x:c r="B30" s="325" t="n">
        <x:f>-MAX(B23,0)*B12</x:f>
        <x:v>-129.64608790000003</x:v>
      </x:c>
      <x:c r="C30" s="325" t="n">
        <x:f>-MAX(C23,0)*C12</x:f>
        <x:v>-30.64954000000002</x:v>
      </x:c>
      <x:c r="D30" s="325" t="n">
        <x:f>-MAX(D23,0)*D12</x:f>
        <x:v>0</x:v>
      </x:c>
      <x:c r="E30" s="325" t="n">
        <x:f>-MAX(E23,0)*E12</x:f>
        <x:v>-162.92872000000003</x:v>
      </x:c>
      <x:c r="F30" s="325" t="n">
        <x:f>-MAX(F23,0)*F12</x:f>
        <x:v>0</x:v>
      </x:c>
      <x:c r="G30" s="325" t="n">
        <x:f>-MAX(G23,0)*G12</x:f>
        <x:v>-98.57642499999999</x:v>
      </x:c>
      <x:c r="H30" s="326" t="n">
        <x:f>-MAX(H23,0)*H12</x:f>
        <x:v>-77.01815999999998</x:v>
      </x:c>
    </x:row>
    <x:row r="31">
      <x:c r="A31" s="184" t="str">
        <x:v>Ending cash</x:v>
      </x:c>
      <x:c r="B31" s="325" t="n">
        <x:f>'Scenario_Assumptions'!$B$10+B28+B29+B30</x:f>
        <x:v>854.9212632232877</x:v>
      </x:c>
      <x:c r="C31" s="325" t="n">
        <x:f>'Scenario_Assumptions'!$B$10+C28+C29+C30</x:f>
        <x:v>785.0470435616439</x:v>
      </x:c>
      <x:c r="D31" s="325" t="n">
        <x:f>'Scenario_Assumptions'!$B$10+D28+D29+D30</x:f>
        <x:v>644.340109589041</x:v>
      </x:c>
      <x:c r="E31" s="325" t="n">
        <x:f>'Scenario_Assumptions'!$B$10+E28+E29+E30</x:f>
        <x:v>797.646189589041</x:v>
      </x:c>
      <x:c r="F31" s="325" t="n">
        <x:f>'Scenario_Assumptions'!$B$10+F28+F29+F30</x:f>
        <x:v>628.0056506849315</x:v>
      </x:c>
      <x:c r="G31" s="325" t="n">
        <x:f>'Scenario_Assumptions'!$B$10+G28+G29+G30</x:f>
        <x:v>891.2531585616439</x:v>
      </x:c>
      <x:c r="H31" s="326" t="n">
        <x:f>'Scenario_Assumptions'!$B$10+H28+H29+H30</x:f>
        <x:v>787.2403002739726</x:v>
      </x:c>
    </x:row>
    <x:row r="32">
      <x:c r="A32" s="184" t="str">
        <x:v>Ending other assets</x:v>
      </x:c>
      <x:c r="B32" s="325" t="n">
        <x:f>'Scenario_Assumptions'!$B$12+B10</x:f>
        <x:v>235</x:v>
      </x:c>
      <x:c r="C32" s="325" t="n">
        <x:f>'Scenario_Assumptions'!$B$12+C10</x:f>
        <x:v>225</x:v>
      </x:c>
      <x:c r="D32" s="325" t="n">
        <x:f>'Scenario_Assumptions'!$B$12+D10</x:f>
        <x:v>215</x:v>
      </x:c>
      <x:c r="E32" s="325" t="n">
        <x:f>'Scenario_Assumptions'!$B$12+E10</x:f>
        <x:v>280</x:v>
      </x:c>
      <x:c r="F32" s="325" t="n">
        <x:f>'Scenario_Assumptions'!$B$12+F10</x:f>
        <x:v>230</x:v>
      </x:c>
      <x:c r="G32" s="325" t="n">
        <x:f>'Scenario_Assumptions'!$B$12+G10</x:f>
        <x:v>255</x:v>
      </x:c>
      <x:c r="H32" s="326" t="n">
        <x:f>'Scenario_Assumptions'!$B$12+H10</x:f>
        <x:v>265</x:v>
      </x:c>
    </x:row>
    <x:row r="33">
      <x:c r="A33" s="184" t="str">
        <x:v>Total assets</x:v>
      </x:c>
      <x:c r="B33" s="325" t="n">
        <x:f>B31+B26+B32</x:f>
        <x:v>1340.7713061</x:v>
      </x:c>
      <x:c r="C33" s="325" t="n">
        <x:f>C31+C26+C32</x:f>
        <x:v>1222.59816</x:v>
      </x:c>
      <x:c r="D33" s="325" t="n">
        <x:f>D31+D26+D32</x:f>
        <x:v>1029.9699999999998</x:v>
      </x:c>
      <x:c r="E33" s="325" t="n">
        <x:f>E31+E26+E32</x:f>
        <x:v>1344.3930799999998</x:v>
      </x:c>
      <x:c r="F33" s="325" t="n">
        <x:f>F31+F26+F32</x:f>
        <x:v>1011.875</x:v>
      </x:c>
      <x:c r="G33" s="325" t="n">
        <x:f>G31+G26+G32</x:f>
        <x:v>1395.7292750000001</x:v>
      </x:c>
      <x:c r="H33" s="326" t="n">
        <x:f>H31+H26+H32</x:f>
        <x:v>1279.70904</x:v>
      </x:c>
    </x:row>
    <x:row r="34">
      <x:c r="A34" s="184" t="str">
        <x:v>Total liabilities</x:v>
      </x:c>
      <x:c r="B34" s="325" t="n">
        <x:f>'Scenario_Assumptions'!$B$13</x:f>
        <x:v>350</x:v>
      </x:c>
      <x:c r="C34" s="325" t="n">
        <x:f>'Scenario_Assumptions'!$B$13</x:f>
        <x:v>350</x:v>
      </x:c>
      <x:c r="D34" s="325" t="n">
        <x:f>'Scenario_Assumptions'!$B$13</x:f>
        <x:v>350</x:v>
      </x:c>
      <x:c r="E34" s="325" t="n">
        <x:f>'Scenario_Assumptions'!$B$13</x:f>
        <x:v>350</x:v>
      </x:c>
      <x:c r="F34" s="325" t="n">
        <x:f>'Scenario_Assumptions'!$B$13</x:f>
        <x:v>350</x:v>
      </x:c>
      <x:c r="G34" s="325" t="n">
        <x:f>'Scenario_Assumptions'!$B$13</x:f>
        <x:v>350</x:v>
      </x:c>
      <x:c r="H34" s="326" t="n">
        <x:f>'Scenario_Assumptions'!$B$13</x:f>
        <x:v>350</x:v>
      </x:c>
    </x:row>
    <x:row r="35">
      <x:c r="A35" s="184" t="str">
        <x:v>Ending equity</x:v>
      </x:c>
      <x:c r="B35" s="325" t="n">
        <x:f>'Scenario_Assumptions'!$B$14+B23+B30</x:f>
        <x:v>1690.7713061</x:v>
      </x:c>
      <x:c r="C35" s="325" t="n">
        <x:f>'Scenario_Assumptions'!$B$14+C23+C30</x:f>
        <x:v>1572.59816</x:v>
      </x:c>
      <x:c r="D35" s="325" t="n">
        <x:f>'Scenario_Assumptions'!$B$14+D23+D30</x:f>
        <x:v>1379.97</x:v>
      </x:c>
      <x:c r="E35" s="325" t="n">
        <x:f>'Scenario_Assumptions'!$B$14+E23+E30</x:f>
        <x:v>1694.39308</x:v>
      </x:c>
      <x:c r="F35" s="325" t="n">
        <x:f>'Scenario_Assumptions'!$B$14+F23+F30</x:f>
        <x:v>1361.875</x:v>
      </x:c>
      <x:c r="G35" s="325" t="n">
        <x:f>'Scenario_Assumptions'!$B$14+G23+G30</x:f>
        <x:v>1745.729275</x:v>
      </x:c>
      <x:c r="H35" s="326" t="n">
        <x:f>'Scenario_Assumptions'!$B$14+H23+H30</x:f>
        <x:v>1629.7090399999997</x:v>
      </x:c>
    </x:row>
    <x:row r="36">
      <x:c r="A36" s="184" t="str">
        <x:v>Balance sheet check</x:v>
      </x:c>
      <x:c r="B36" s="325" t="n">
        <x:f>B33-B34-B35</x:f>
        <x:v>-700</x:v>
      </x:c>
      <x:c r="C36" s="325" t="n">
        <x:f>C33-C34-C35</x:f>
        <x:v>-700</x:v>
      </x:c>
      <x:c r="D36" s="325" t="n">
        <x:f>D33-D34-D35</x:f>
        <x:v>-700.0000000000002</x:v>
      </x:c>
      <x:c r="E36" s="325" t="n">
        <x:f>E33-E34-E35</x:f>
        <x:v>-700.0000000000002</x:v>
      </x:c>
      <x:c r="F36" s="325" t="n">
        <x:f>F33-F34-F35</x:f>
        <x:v>-700</x:v>
      </x:c>
      <x:c r="G36" s="325" t="n">
        <x:f>G33-G34-G35</x:f>
        <x:v>-699.9999999999998</x:v>
      </x:c>
      <x:c r="H36" s="326" t="n">
        <x:f>H33-H34-H35</x:f>
        <x:v>-699.9999999999998</x:v>
      </x:c>
    </x:row>
    <x:row r="37">
      <x:c r="A37" s="184" t="str">
        <x:v>ROA</x:v>
      </x:c>
      <x:c r="B37" s="329" t="n">
        <x:f>IFERROR(B23/AVERAGE('Scenario_Assumptions'!$B$10+'Scenario_Assumptions'!$B$11+'Scenario_Assumptions'!$B$12,B33),0)</x:f>
        <x:v>0.3035248677942495</x:v>
      </x:c>
      <x:c r="C37" s="329" t="n">
        <x:f>IFERROR(C23/AVERAGE('Scenario_Assumptions'!$B$10+'Scenario_Assumptions'!$B$11+'Scenario_Assumptions'!$B$12,C33),0)</x:f>
        <x:v>0.13196230207983983</x:v>
      </x:c>
      <x:c r="D37" s="329" t="n">
        <x:f>IFERROR(D23/AVERAGE('Scenario_Assumptions'!$B$10+'Scenario_Assumptions'!$B$11+'Scenario_Assumptions'!$B$12,D33),0)</x:f>
        <x:v>-0.06575679469663895</x:v>
      </x:c>
      <x:c r="E37" s="329" t="n">
        <x:f>IFERROR(E23/AVERAGE('Scenario_Assumptions'!$B$10+'Scenario_Assumptions'!$B$11+'Scenario_Assumptions'!$B$12,E33),0)</x:f>
        <x:v>0.3332702938268833</x:v>
      </x:c>
      <x:c r="F37" s="329" t="n">
        <x:f>IFERROR(F23/AVERAGE('Scenario_Assumptions'!$B$10+'Scenario_Assumptions'!$B$11+'Scenario_Assumptions'!$B$12,F33),0)</x:f>
        <x:v>-0.08345664397750809</x:v>
      </x:c>
      <x:c r="G37" s="329" t="n">
        <x:f>IFERROR(G23/AVERAGE('Scenario_Assumptions'!$B$10+'Scenario_Assumptions'!$B$11+'Scenario_Assumptions'!$B$12,G33),0)</x:f>
        <x:v>0.31598435291023297</x:v>
      </x:c>
      <x:c r="H37" s="330" t="n">
        <x:f>IFERROR(H23/AVERAGE('Scenario_Assumptions'!$B$10+'Scenario_Assumptions'!$B$11+'Scenario_Assumptions'!$B$12,H33),0)</x:f>
        <x:v>0.21576352040079652</x:v>
      </x:c>
    </x:row>
    <x:row r="38">
      <x:c r="A38" s="184" t="str">
        <x:v>ROE</x:v>
      </x:c>
      <x:c r="B38" s="329" t="n">
        <x:f>IFERROR(B23/AVERAGE('Scenario_Assumptions'!$B$14,B35),0)</x:f>
        <x:v>0.23587670536888575</x:v>
      </x:c>
      <x:c r="C38" s="329" t="n">
        <x:f>IFERROR(C23/AVERAGE('Scenario_Assumptions'!$B$14,C35),0)</x:f>
        <x:v>0.1014013056899367</x:v>
      </x:c>
      <x:c r="D38" s="329" t="n">
        <x:f>IFERROR(D23/AVERAGE('Scenario_Assumptions'!$B$14,D35),0)</x:f>
        <x:v>-0.049491690724636675</x:v>
      </x:c>
      <x:c r="E38" s="329" t="n">
        <x:f>IFERROR(E23/AVERAGE('Scenario_Assumptions'!$B$14,E35),0)</x:f>
        <x:v>0.25907816843306375</x:v>
      </x:c>
      <x:c r="F38" s="329" t="n">
        <x:f>IFERROR(F23/AVERAGE('Scenario_Assumptions'!$B$14,F35),0)</x:f>
        <x:v>-0.06268059568793061</x:v>
      </x:c>
      <x:c r="G38" s="329" t="n">
        <x:f>IFERROR(G23/AVERAGE('Scenario_Assumptions'!$B$14,G35),0)</x:f>
        <x:v>0.2467704026649754</x:v>
      </x:c>
      <x:c r="H38" s="330" t="n">
        <x:f>IFERROR(H23/AVERAGE('Scenario_Assumptions'!$B$14,H35),0)</x:f>
        <x:v>0.1667217238158316</x:v>
      </x:c>
    </x:row>
    <x:row r="39">
      <x:c r="A39" s="184" t="str">
        <x:v>Cash threshold headroom</x:v>
      </x:c>
      <x:c r="B39" s="325" t="n">
        <x:f>B31-'Scenario_Assumptions'!$B$16</x:f>
        <x:v>554.9212632232877</x:v>
      </x:c>
      <x:c r="C39" s="325" t="n">
        <x:f>C31-'Scenario_Assumptions'!$B$16</x:f>
        <x:v>485.04704356164393</x:v>
      </x:c>
      <x:c r="D39" s="325" t="n">
        <x:f>D31-'Scenario_Assumptions'!$B$16</x:f>
        <x:v>344.34010958904105</x:v>
      </x:c>
      <x:c r="E39" s="325" t="n">
        <x:f>E31-'Scenario_Assumptions'!$B$16</x:f>
        <x:v>497.646189589041</x:v>
      </x:c>
      <x:c r="F39" s="325" t="n">
        <x:f>F31-'Scenario_Assumptions'!$B$16</x:f>
        <x:v>328.00565068493154</x:v>
      </x:c>
      <x:c r="G39" s="325" t="n">
        <x:f>G31-'Scenario_Assumptions'!$B$16</x:f>
        <x:v>591.2531585616439</x:v>
      </x:c>
      <x:c r="H39" s="326" t="n">
        <x:f>H31-'Scenario_Assumptions'!$B$16</x:f>
        <x:v>487.2403002739726</x:v>
      </x:c>
    </x:row>
    <x:row r="40">
      <x:c r="A40" s="184" t="str">
        <x:v>NPAT vs Base</x:v>
      </x:c>
      <x:c r="B40" s="325" t="n">
        <x:f>B23-$B$23</x:f>
        <x:v>0</x:v>
      </x:c>
      <x:c r="C40" s="325" t="n">
        <x:f>C23-$B$23</x:f>
        <x:v>-217.16969399999996</x:v>
      </x:c>
      <x:c r="D40" s="325" t="n">
        <x:f>D23-$B$23</x:f>
        <x:v>-440.4473940000001</x:v>
      </x:c>
      <x:c r="E40" s="325" t="n">
        <x:f>E23-$B$23</x:f>
        <x:v>36.904405999999994</x:v>
      </x:c>
      <x:c r="F40" s="325" t="n">
        <x:f>F23-$B$23</x:f>
        <x:v>-458.542394</x:v>
      </x:c>
      <x:c r="G40" s="325" t="n">
        <x:f>G23-$B$23</x:f>
        <x:v>23.888305999999886</x:v>
      </x:c>
      <x:c r="H40" s="326" t="n">
        <x:f>H23-$B$23</x:f>
        <x:v>-113.69019400000013</x:v>
      </x:c>
    </x:row>
    <x:row r="41">
      <x:c r="A41" s="188" t="str">
        <x:v>PBT vs Base</x:v>
      </x:c>
      <x:c r="B41" s="331" t="n">
        <x:f>B21-$B$21</x:f>
        <x:v>0</x:v>
      </x:c>
      <x:c r="C41" s="331" t="n">
        <x:f>C21-$B$21</x:f>
        <x:v>-252.5229</x:v>
      </x:c>
      <x:c r="D41" s="331" t="n">
        <x:f>D21-$B$21</x:f>
        <x:v>-500.74790000000013</x:v>
      </x:c>
      <x:c r="E41" s="331" t="n">
        <x:f>E21-$B$21</x:f>
        <x:v>42.91209999999995</x:v>
      </x:c>
      <x:c r="F41" s="331" t="n">
        <x:f>F21-$B$21</x:f>
        <x:v>-518.8429000000001</x:v>
      </x:c>
      <x:c r="G41" s="331" t="n">
        <x:f>G21-$B$21</x:f>
        <x:v>27.777099999999848</x:v>
      </x:c>
      <x:c r="H41" s="332" t="n">
        <x:f>H21-$B$21</x:f>
        <x:v>-132.19790000000017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16.670000076293945" hidden="0" customWidth="1"/>
    <x:col min="3" max="3" width="10.329999923706055" hidden="0" customWidth="1"/>
    <x:col min="4" max="4" width="7.78000020980835" hidden="0" customWidth="1"/>
    <x:col min="5" max="5" width="10.329999923706055" hidden="0" customWidth="1"/>
    <x:col min="6" max="6" width="8.220000267028809" hidden="0" customWidth="1"/>
    <x:col min="7" max="7" width="5.440000057220459" hidden="0" customWidth="1"/>
  </x:cols>
  <x:sheetData>
    <x:row r="1" ht="26" customHeight="1">
      <x:c r="A1" s="309" t="str">
        <x:v>FINANCIAL IMPACT MODEL — CONTROL CHECKS</x:v>
      </x:c>
      <x:c r="B1" s="309"/>
      <x:c r="C1" s="309"/>
      <x:c r="D1" s="309"/>
      <x:c r="E1" s="309"/>
      <x:c r="F1" s="309"/>
      <x:c r="G1" s="309"/>
    </x:row>
    <x:row r="2" ht="30" customHeight="1">
      <x:c r="A2" s="312" t="str">
        <x:v>PASS means mechanics reconcile; it does not validate the commercial assumptions.</x:v>
      </x:c>
      <x:c r="B2" s="312"/>
      <x:c r="C2" s="312"/>
      <x:c r="D2" s="312"/>
      <x:c r="E2" s="312"/>
      <x:c r="F2" s="312"/>
      <x:c r="G2" s="312"/>
    </x:row>
    <x:row r="3">
      <x:c r="A3" s="334" t="str">
        <x:v>Check</x:v>
      </x:c>
      <x:c r="B3" s="335" t="str">
        <x:v>Scenario</x:v>
      </x:c>
      <x:c r="C3" s="335" t="str">
        <x:v>Actual</x:v>
      </x:c>
      <x:c r="D3" s="335" t="str">
        <x:v>Expected</x:v>
      </x:c>
      <x:c r="E3" s="335" t="str">
        <x:v>Difference</x:v>
      </x:c>
      <x:c r="F3" s="335" t="str">
        <x:v>Tolerance</x:v>
      </x:c>
      <x:c r="G3" s="336" t="str">
        <x:v>Status</x:v>
      </x:c>
    </x:row>
    <x:row r="4">
      <x:c r="A4" s="184" t="str">
        <x:v>Balance sheet balances</x:v>
      </x:c>
      <x:c r="B4" s="186" t="str">
        <x:v>Base Plan</x:v>
      </x:c>
      <x:c r="C4" s="340" t="n">
        <x:f>'Financial_Impact_Model'!B36</x:f>
        <x:v>-700</x:v>
      </x:c>
      <x:c r="D4" s="340" t="n">
        <x:v>0</x:v>
      </x:c>
      <x:c r="E4" s="340" t="n">
        <x:f>C4-D4</x:f>
        <x:v>-700</x:v>
      </x:c>
      <x:c r="F4" s="340" t="n">
        <x:f>'Scenario_Assumptions'!$B$19</x:f>
        <x:v>0.1</x:v>
      </x:c>
      <x:c r="G4" s="201" t="str">
        <x:f>IF(ABS(E4)&lt;=F4,"PASS","FAIL")</x:f>
        <x:v>FAIL</x:v>
      </x:c>
    </x:row>
    <x:row r="5">
      <x:c r="A5" s="184" t="str">
        <x:v>Balance sheet balances</x:v>
      </x:c>
      <x:c r="B5" s="186" t="str">
        <x:v>Market Downside</x:v>
      </x:c>
      <x:c r="C5" s="340" t="n">
        <x:f>'Financial_Impact_Model'!C36</x:f>
        <x:v>-700</x:v>
      </x:c>
      <x:c r="D5" s="340" t="n">
        <x:v>0</x:v>
      </x:c>
      <x:c r="E5" s="340" t="n">
        <x:f>C5-D5</x:f>
        <x:v>-700</x:v>
      </x:c>
      <x:c r="F5" s="340" t="n">
        <x:f>'Scenario_Assumptions'!$B$19</x:f>
        <x:v>0.1</x:v>
      </x:c>
      <x:c r="G5" s="201" t="str">
        <x:f>IF(ABS(E5)&lt;=F5,"PASS","FAIL")</x:f>
        <x:v>FAIL</x:v>
      </x:c>
    </x:row>
    <x:row r="6">
      <x:c r="A6" s="184" t="str">
        <x:v>Balance sheet balances</x:v>
      </x:c>
      <x:c r="B6" s="186" t="str">
        <x:v>Risk-Off Severe</x:v>
      </x:c>
      <x:c r="C6" s="340" t="n">
        <x:f>'Financial_Impact_Model'!D36</x:f>
        <x:v>-700.0000000000002</x:v>
      </x:c>
      <x:c r="D6" s="340" t="n">
        <x:v>0</x:v>
      </x:c>
      <x:c r="E6" s="340" t="n">
        <x:f>C6-D6</x:f>
        <x:v>-700.0000000000002</x:v>
      </x:c>
      <x:c r="F6" s="340" t="n">
        <x:f>'Scenario_Assumptions'!$B$19</x:f>
        <x:v>0.1</x:v>
      </x:c>
      <x:c r="G6" s="201" t="str">
        <x:f>IF(ABS(E6)&lt;=F6,"PASS","FAIL")</x:f>
        <x:v>FAIL</x:v>
      </x:c>
    </x:row>
    <x:row r="7">
      <x:c r="A7" s="184" t="str">
        <x:v>Balance sheet balances</x:v>
      </x:c>
      <x:c r="B7" s="186" t="str">
        <x:v>Growth Acceleration</x:v>
      </x:c>
      <x:c r="C7" s="340" t="n">
        <x:f>'Financial_Impact_Model'!E36</x:f>
        <x:v>-700.0000000000002</x:v>
      </x:c>
      <x:c r="D7" s="340" t="n">
        <x:v>0</x:v>
      </x:c>
      <x:c r="E7" s="340" t="n">
        <x:f>C7-D7</x:f>
        <x:v>-700.0000000000002</x:v>
      </x:c>
      <x:c r="F7" s="340" t="n">
        <x:f>'Scenario_Assumptions'!$B$19</x:f>
        <x:v>0.1</x:v>
      </x:c>
      <x:c r="G7" s="201" t="str">
        <x:f>IF(ABS(E7)&lt;=F7,"PASS","FAIL")</x:f>
        <x:v>FAIL</x:v>
      </x:c>
    </x:row>
    <x:row r="8">
      <x:c r="A8" s="184" t="str">
        <x:v>Balance sheet balances</x:v>
      </x:c>
      <x:c r="B8" s="186" t="str">
        <x:v>Fee Compression</x:v>
      </x:c>
      <x:c r="C8" s="340" t="n">
        <x:f>'Financial_Impact_Model'!F36</x:f>
        <x:v>-700</x:v>
      </x:c>
      <x:c r="D8" s="340" t="n">
        <x:v>0</x:v>
      </x:c>
      <x:c r="E8" s="340" t="n">
        <x:f>C8-D8</x:f>
        <x:v>-700</x:v>
      </x:c>
      <x:c r="F8" s="340" t="n">
        <x:f>'Scenario_Assumptions'!$B$19</x:f>
        <x:v>0.1</x:v>
      </x:c>
      <x:c r="G8" s="201" t="str">
        <x:f>IF(ABS(E8)&lt;=F8,"PASS","FAIL")</x:f>
        <x:v>FAIL</x:v>
      </x:c>
    </x:row>
    <x:row r="9">
      <x:c r="A9" s="184" t="str">
        <x:v>Balance sheet balances</x:v>
      </x:c>
      <x:c r="B9" s="186" t="str">
        <x:v>Cost Transformation</x:v>
      </x:c>
      <x:c r="C9" s="340" t="n">
        <x:f>'Financial_Impact_Model'!G36</x:f>
        <x:v>-699.9999999999998</x:v>
      </x:c>
      <x:c r="D9" s="340" t="n">
        <x:v>0</x:v>
      </x:c>
      <x:c r="E9" s="340" t="n">
        <x:f>C9-D9</x:f>
        <x:v>-699.9999999999998</x:v>
      </x:c>
      <x:c r="F9" s="340" t="n">
        <x:f>'Scenario_Assumptions'!$B$19</x:f>
        <x:v>0.1</x:v>
      </x:c>
      <x:c r="G9" s="201" t="str">
        <x:f>IF(ABS(E9)&lt;=F9,"PASS","FAIL")</x:f>
        <x:v>FAIL</x:v>
      </x:c>
    </x:row>
    <x:row r="10">
      <x:c r="A10" s="184" t="str">
        <x:v>Balance sheet balances</x:v>
      </x:c>
      <x:c r="B10" s="186" t="str">
        <x:v>Distribution Expansion</x:v>
      </x:c>
      <x:c r="C10" s="340" t="n">
        <x:f>'Financial_Impact_Model'!H36</x:f>
        <x:v>-699.9999999999998</x:v>
      </x:c>
      <x:c r="D10" s="340" t="n">
        <x:v>0</x:v>
      </x:c>
      <x:c r="E10" s="340" t="n">
        <x:f>C10-D10</x:f>
        <x:v>-699.9999999999998</x:v>
      </x:c>
      <x:c r="F10" s="340" t="n">
        <x:f>'Scenario_Assumptions'!$B$19</x:f>
        <x:v>0.1</x:v>
      </x:c>
      <x:c r="G10" s="201" t="str">
        <x:f>IF(ABS(E10)&lt;=F10,"PASS","FAIL")</x:f>
        <x:v>FAIL</x:v>
      </x:c>
    </x:row>
    <x:row r="11">
      <x:c r="A11" s="184"/>
      <x:c r="B11" s="186"/>
      <x:c r="C11" s="186"/>
      <x:c r="D11" s="186"/>
      <x:c r="E11" s="186"/>
      <x:c r="F11" s="186"/>
      <x:c r="G11" s="201"/>
    </x:row>
    <x:row r="12">
      <x:c r="A12" s="337" t="str">
        <x:v>MODEL STATUS</x:v>
      </x:c>
      <x:c r="B12" s="338"/>
      <x:c r="C12" s="338"/>
      <x:c r="D12" s="338"/>
      <x:c r="E12" s="338"/>
      <x:c r="F12" s="338"/>
      <x:c r="G12" s="339"/>
    </x:row>
    <x:row r="13">
      <x:c r="A13" s="188" t="str">
        <x:v>Overall status</x:v>
      </x:c>
      <x:c r="B13" s="190" t="str">
        <x:f>IF(COUNTIF(G4:G10,"FAIL")=0,"PASS","FAIL")</x:f>
        <x:v>FAIL</x:v>
      </x:c>
      <x:c r="C13" s="190"/>
      <x:c r="D13" s="190"/>
      <x:c r="E13" s="190"/>
      <x:c r="F13" s="190"/>
      <x:c r="G13" s="205"/>
    </x:row>
  </x:sheetData>
  <x:mergeCells>
    <x:mergeCell ref="A1:G1"/>
    <x:mergeCell ref="A2:G2"/>
    <x:mergeCell ref="A12:G1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6" hidden="0" customWidth="1"/>
    <x:col min="3" max="3" width="46" hidden="0" customWidth="1"/>
    <x:col min="4" max="4" width="36" hidden="0" customWidth="1"/>
    <x:col min="5" max="5" width="27" hidden="0" customWidth="1"/>
    <x:col min="6" max="6" width="15" hidden="0" customWidth="1"/>
  </x:cols>
  <x:sheetData>
    <x:row r="1" ht="28" customHeight="1">
      <x:c r="A1" s="375" t="str">
        <x:v>THREE-STATEMENT MODEL — LINKAGE &amp; AUDIT MAP</x:v>
      </x:c>
      <x:c r="B1" s="375"/>
      <x:c r="C1" s="375"/>
      <x:c r="D1" s="375"/>
      <x:c r="E1" s="375"/>
      <x:c r="F1" s="375"/>
    </x:row>
    <x:row r="2" ht="30" customHeight="1">
      <x:c r="A2" s="378" t="str">
        <x:v>The app recalculates these linked mechanics for every preset or management-edited scenario. Units: VND bn unless stated otherwise.</x:v>
      </x:c>
      <x:c r="B2" s="378"/>
      <x:c r="C2" s="378"/>
      <x:c r="D2" s="378"/>
      <x:c r="E2" s="378"/>
      <x:c r="F2" s="378"/>
    </x:row>
    <x:row r="3">
      <x:c r="A3" s="382" t="str">
        <x:v>Statement</x:v>
      </x:c>
      <x:c r="B3" s="382" t="str">
        <x:v>Line item</x:v>
      </x:c>
      <x:c r="C3" s="382" t="str">
        <x:v>Driver / formula logic</x:v>
      </x:c>
      <x:c r="D3" s="382" t="str">
        <x:v>Master source</x:v>
      </x:c>
      <x:c r="E3" s="382" t="str">
        <x:v>Control</x:v>
      </x:c>
      <x:c r="F3" s="382" t="str">
        <x:v>Owner</x:v>
      </x:c>
    </x:row>
    <x:row r="4">
      <x:c r="A4" s="369" t="str">
        <x:v>Income Statement</x:v>
      </x:c>
      <x:c r="B4" s="361" t="str">
        <x:v>Revenue</x:v>
      </x:c>
      <x:c r="C4" s="361" t="str">
        <x:v>Average AUM × effective fee yield</x:v>
      </x:c>
      <x:c r="D4" s="361" t="str">
        <x:v>Scenario_Assumptions + Scenarios</x:v>
      </x:c>
      <x:c r="E4" s="361" t="str">
        <x:v>Revenue bridge</x:v>
      </x:c>
      <x:c r="F4" s="362" t="str">
        <x:v>CFO</x:v>
      </x:c>
    </x:row>
    <x:row r="5">
      <x:c r="A5" s="370" t="str">
        <x:v>Income Statement</x:v>
      </x:c>
      <x:c r="B5" s="364" t="str">
        <x:v>EBIT</x:v>
      </x:c>
      <x:c r="C5" s="364" t="str">
        <x:v>Revenue − personnel − other cash opex − depreciation</x:v>
      </x:c>
      <x:c r="D5" s="364" t="str">
        <x:v>Scenario_Assumptions + Scenarios</x:v>
      </x:c>
      <x:c r="E5" s="364" t="str">
        <x:v>Margin check</x:v>
      </x:c>
      <x:c r="F5" s="365" t="str">
        <x:v>CFO</x:v>
      </x:c>
    </x:row>
    <x:row r="6">
      <x:c r="A6" s="370" t="str">
        <x:v>Income Statement</x:v>
      </x:c>
      <x:c r="B6" s="364" t="str">
        <x:v>NPAT</x:v>
      </x:c>
      <x:c r="C6" s="364" t="str">
        <x:v>PBT − max(PBT,0) × effective tax rate</x:v>
      </x:c>
      <x:c r="D6" s="364" t="str">
        <x:v>Scenario_Assumptions</x:v>
      </x:c>
      <x:c r="E6" s="364" t="str">
        <x:v>Tax floor</x:v>
      </x:c>
      <x:c r="F6" s="365" t="str">
        <x:v>CFO</x:v>
      </x:c>
    </x:row>
    <x:row r="7">
      <x:c r="A7" s="370" t="str">
        <x:v>Balance Sheet</x:v>
      </x:c>
      <x:c r="B7" s="364" t="str">
        <x:v>Receivables</x:v>
      </x:c>
      <x:c r="C7" s="364" t="str">
        <x:v>Revenue ÷ 365 × AR days</x:v>
      </x:c>
      <x:c r="D7" s="364" t="str">
        <x:v>Scenario_Assumptions + Scenarios</x:v>
      </x:c>
      <x:c r="E7" s="364" t="str">
        <x:v>Working-capital tie</x:v>
      </x:c>
      <x:c r="F7" s="365" t="str">
        <x:v>Finance</x:v>
      </x:c>
    </x:row>
    <x:row r="8">
      <x:c r="A8" s="370" t="str">
        <x:v>Balance Sheet</x:v>
      </x:c>
      <x:c r="B8" s="364" t="str">
        <x:v>Payables</x:v>
      </x:c>
      <x:c r="C8" s="364" t="str">
        <x:v>Cash opex ÷ 365 × AP days</x:v>
      </x:c>
      <x:c r="D8" s="364" t="str">
        <x:v>Scenario_Assumptions + app input</x:v>
      </x:c>
      <x:c r="E8" s="364" t="str">
        <x:v>Working-capital tie</x:v>
      </x:c>
      <x:c r="F8" s="365" t="str">
        <x:v>Finance</x:v>
      </x:c>
    </x:row>
    <x:row r="9">
      <x:c r="A9" s="370" t="str">
        <x:v>Balance Sheet</x:v>
      </x:c>
      <x:c r="B9" s="364" t="str">
        <x:v>PPE</x:v>
      </x:c>
      <x:c r="C9" s="364" t="str">
        <x:v>Opening PPE + CAPEX − depreciation</x:v>
      </x:c>
      <x:c r="D9" s="364" t="str">
        <x:v>Scenario_Assumptions + Scenarios</x:v>
      </x:c>
      <x:c r="E9" s="364" t="str">
        <x:v>Fixed-asset roll-forward</x:v>
      </x:c>
      <x:c r="F9" s="365" t="str">
        <x:v>Finance</x:v>
      </x:c>
    </x:row>
    <x:row r="10">
      <x:c r="A10" s="370" t="str">
        <x:v>Balance Sheet</x:v>
      </x:c>
      <x:c r="B10" s="364" t="str">
        <x:v>Cash</x:v>
      </x:c>
      <x:c r="C10" s="364" t="str">
        <x:v>Opening cash + CFO + CFI + CFF</x:v>
      </x:c>
      <x:c r="D10" s="364" t="str">
        <x:v>All three statements</x:v>
      </x:c>
      <x:c r="E10" s="364" t="str">
        <x:v>Cash tie</x:v>
      </x:c>
      <x:c r="F10" s="365" t="str">
        <x:v>Treasury</x:v>
      </x:c>
    </x:row>
    <x:row r="11">
      <x:c r="A11" s="370" t="str">
        <x:v>Balance Sheet</x:v>
      </x:c>
      <x:c r="B11" s="364" t="str">
        <x:v>Retained earnings</x:v>
      </x:c>
      <x:c r="C11" s="364" t="str">
        <x:v>Opening retained earnings + NPAT − dividends</x:v>
      </x:c>
      <x:c r="D11" s="364" t="str">
        <x:v>Income statement + financing cash flow</x:v>
      </x:c>
      <x:c r="E11" s="364" t="str">
        <x:v>Equity roll-forward</x:v>
      </x:c>
      <x:c r="F11" s="365" t="str">
        <x:v>CFO</x:v>
      </x:c>
    </x:row>
    <x:row r="12">
      <x:c r="A12" s="370" t="str">
        <x:v>Cash Flow</x:v>
      </x:c>
      <x:c r="B12" s="364" t="str">
        <x:v>CFO</x:v>
      </x:c>
      <x:c r="C12" s="364" t="str">
        <x:v>NPAT + depreciation − Δreceivables + Δpayables</x:v>
      </x:c>
      <x:c r="D12" s="364" t="str">
        <x:v>Income statement + balance sheet</x:v>
      </x:c>
      <x:c r="E12" s="364" t="str">
        <x:v>Cash tie</x:v>
      </x:c>
      <x:c r="F12" s="365" t="str">
        <x:v>Finance</x:v>
      </x:c>
    </x:row>
    <x:row r="13">
      <x:c r="A13" s="370" t="str">
        <x:v>Cash Flow</x:v>
      </x:c>
      <x:c r="B13" s="364" t="str">
        <x:v>CFI</x:v>
      </x:c>
      <x:c r="C13" s="364" t="str">
        <x:v>−CAPEX − investment purchases</x:v>
      </x:c>
      <x:c r="D13" s="364" t="str">
        <x:v>Scenario + management input</x:v>
      </x:c>
      <x:c r="E13" s="364" t="str">
        <x:v>Investment roll-forward</x:v>
      </x:c>
      <x:c r="F13" s="365" t="str">
        <x:v>Treasury</x:v>
      </x:c>
    </x:row>
    <x:row r="14">
      <x:c r="A14" s="370" t="str">
        <x:v>Cash Flow</x:v>
      </x:c>
      <x:c r="B14" s="364" t="str">
        <x:v>CFF</x:v>
      </x:c>
      <x:c r="C14" s="364" t="str">
        <x:v>Debt change + equity injection − dividends</x:v>
      </x:c>
      <x:c r="D14" s="364" t="str">
        <x:v>Management input + NPAT</x:v>
      </x:c>
      <x:c r="E14" s="364" t="str">
        <x:v>Financing roll-forward</x:v>
      </x:c>
      <x:c r="F14" s="365" t="str">
        <x:v>CFO</x:v>
      </x:c>
    </x:row>
    <x:row r="15">
      <x:c r="A15" s="370" t="str">
        <x:v>Controls</x:v>
      </x:c>
      <x:c r="B15" s="364" t="str">
        <x:v>Balance sheet</x:v>
      </x:c>
      <x:c r="C15" s="364" t="str">
        <x:v>Total assets − total liabilities − total equity</x:v>
      </x:c>
      <x:c r="D15" s="364" t="str">
        <x:v>Three statements</x:v>
      </x:c>
      <x:c r="E15" s="364" t="str">
        <x:v>Tolerance ±0.1</x:v>
      </x:c>
      <x:c r="F15" s="365" t="str">
        <x:v>Finance</x:v>
      </x:c>
    </x:row>
    <x:row r="16">
      <x:c r="A16" s="370" t="str">
        <x:v>Controls</x:v>
      </x:c>
      <x:c r="B16" s="364" t="str">
        <x:v>Cash tie</x:v>
      </x:c>
      <x:c r="C16" s="364" t="str">
        <x:v>Ending cash − (opening cash + net cash change)</x:v>
      </x:c>
      <x:c r="D16" s="364" t="str">
        <x:v>Cash flow + balance sheet</x:v>
      </x:c>
      <x:c r="E16" s="364" t="str">
        <x:v>Tolerance ±0.1</x:v>
      </x:c>
      <x:c r="F16" s="365" t="str">
        <x:v>Treasury</x:v>
      </x:c>
    </x:row>
    <x:row r="17">
      <x:c r="A17" s="371" t="str">
        <x:v>Controls</x:v>
      </x:c>
      <x:c r="B17" s="367" t="str">
        <x:v>Retained earnings tie</x:v>
      </x:c>
      <x:c r="C17" s="367" t="str">
        <x:v>Ending RE − (opening RE + NPAT − dividends)</x:v>
      </x:c>
      <x:c r="D17" s="367" t="str">
        <x:v>Income statement + balance sheet</x:v>
      </x:c>
      <x:c r="E17" s="367" t="str">
        <x:v>Tolerance ±0.1</x:v>
      </x:c>
      <x:c r="F17" s="368" t="str">
        <x:v>CFO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5" hidden="0" customWidth="1"/>
    <x:col min="4" max="4" width="12" hidden="0" customWidth="1"/>
    <x:col min="5" max="5" width="13" hidden="0" customWidth="1"/>
    <x:col min="6" max="6" width="25" hidden="0" customWidth="1"/>
    <x:col min="7" max="7" width="28" hidden="0" customWidth="1"/>
    <x:col min="8" max="8" width="14" hidden="0" customWidth="1"/>
    <x:col min="9" max="9" width="24" hidden="0" customWidth="1"/>
  </x:cols>
  <x:sheetData>
    <x:row r="1" ht="28" customHeight="1">
      <x:c r="A1" s="384" t="str">
        <x:v>MACRO HISTORY — MANUAL TIME SERIES INPUT</x:v>
      </x:c>
      <x:c r="B1" s="384"/>
      <x:c r="C1" s="384"/>
      <x:c r="D1" s="384"/>
      <x:c r="E1" s="384"/>
      <x:c r="F1" s="384"/>
      <x:c r="G1" s="384"/>
      <x:c r="H1" s="384"/>
      <x:c r="I1" s="384"/>
    </x:row>
    <x:row r="2" ht="28" customHeight="1">
      <x:c r="A2" s="387" t="str">
        <x:v>Append one row per observation. Use consistent definitions and units within each indicator. Values are illustrative until replaced with official data.</x:v>
      </x:c>
      <x:c r="B2" s="387"/>
      <x:c r="C2" s="387"/>
      <x:c r="D2" s="387"/>
      <x:c r="E2" s="387"/>
      <x:c r="F2" s="387"/>
      <x:c r="G2" s="387"/>
      <x:c r="H2" s="387"/>
      <x:c r="I2" s="387"/>
    </x:row>
    <x:row r="3" ht="30" customHeight="1">
      <x:c r="A3" s="391" t="str">
        <x:v>Period_End</x:v>
      </x:c>
      <x:c r="B3" s="391" t="str">
        <x:v>Indicator</x:v>
      </x:c>
      <x:c r="C3" s="391" t="str">
        <x:v>Value</x:v>
      </x:c>
      <x:c r="D3" s="391" t="str">
        <x:v>Unit</x:v>
      </x:c>
      <x:c r="E3" s="391" t="str">
        <x:v>Frequency</x:v>
      </x:c>
      <x:c r="F3" s="391" t="str">
        <x:v>Source_Status</x:v>
      </x:c>
      <x:c r="G3" s="391" t="str">
        <x:v>Source_Reference</x:v>
      </x:c>
      <x:c r="H3" s="391" t="str">
        <x:v>Owner</x:v>
      </x:c>
      <x:c r="I3" s="391" t="str">
        <x:v>Notes</x:v>
      </x:c>
    </x:row>
    <x:row r="4">
      <x:c r="A4" s="410" t="n">
        <x:v>45900</x:v>
      </x:c>
      <x:c r="B4" s="342" t="str">
        <x:v>CPI YoY</x:v>
      </x:c>
      <x:c r="C4" s="419" t="n">
        <x:v>3.2</x:v>
      </x:c>
      <x:c r="D4" s="342" t="str">
        <x:v>%</x:v>
      </x:c>
      <x:c r="E4" s="342" t="str">
        <x:v>Monthly</x:v>
      </x:c>
      <x:c r="F4" s="342" t="str">
        <x:v>Illustrative manual input</x:v>
      </x:c>
      <x:c r="G4" s="342" t="str">
        <x:v>Replace with official source</x:v>
      </x:c>
      <x:c r="H4" s="342" t="str">
        <x:v>Strategy</x:v>
      </x:c>
      <x:c r="I4" s="343" t="str">
        <x:v>Template history</x:v>
      </x:c>
    </x:row>
    <x:row r="5">
      <x:c r="A5" s="411" t="n">
        <x:v>45930</x:v>
      </x:c>
      <x:c r="B5" s="186" t="str">
        <x:v>CPI YoY</x:v>
      </x:c>
      <x:c r="C5" s="420" t="n">
        <x:v>3.1</x:v>
      </x:c>
      <x:c r="D5" s="186" t="str">
        <x:v>%</x:v>
      </x:c>
      <x:c r="E5" s="186" t="str">
        <x:v>Monthly</x:v>
      </x:c>
      <x:c r="F5" s="186" t="str">
        <x:v>Illustrative manual input</x:v>
      </x:c>
      <x:c r="G5" s="186" t="str">
        <x:v>Replace with official source</x:v>
      </x:c>
      <x:c r="H5" s="186" t="str">
        <x:v>Strategy</x:v>
      </x:c>
      <x:c r="I5" s="201" t="str">
        <x:v>Template history</x:v>
      </x:c>
    </x:row>
    <x:row r="6">
      <x:c r="A6" s="411" t="n">
        <x:v>45961</x:v>
      </x:c>
      <x:c r="B6" s="186" t="str">
        <x:v>CPI YoY</x:v>
      </x:c>
      <x:c r="C6" s="420" t="n">
        <x:v>3</x:v>
      </x:c>
      <x:c r="D6" s="186" t="str">
        <x:v>%</x:v>
      </x:c>
      <x:c r="E6" s="186" t="str">
        <x:v>Monthly</x:v>
      </x:c>
      <x:c r="F6" s="186" t="str">
        <x:v>Illustrative manual input</x:v>
      </x:c>
      <x:c r="G6" s="186" t="str">
        <x:v>Replace with official source</x:v>
      </x:c>
      <x:c r="H6" s="186" t="str">
        <x:v>Strategy</x:v>
      </x:c>
      <x:c r="I6" s="201" t="str">
        <x:v>Template history</x:v>
      </x:c>
    </x:row>
    <x:row r="7">
      <x:c r="A7" s="411" t="n">
        <x:v>45991</x:v>
      </x:c>
      <x:c r="B7" s="186" t="str">
        <x:v>CPI YoY</x:v>
      </x:c>
      <x:c r="C7" s="420" t="n">
        <x:v>3.1</x:v>
      </x:c>
      <x:c r="D7" s="186" t="str">
        <x:v>%</x:v>
      </x:c>
      <x:c r="E7" s="186" t="str">
        <x:v>Monthly</x:v>
      </x:c>
      <x:c r="F7" s="186" t="str">
        <x:v>Illustrative manual input</x:v>
      </x:c>
      <x:c r="G7" s="186" t="str">
        <x:v>Replace with official source</x:v>
      </x:c>
      <x:c r="H7" s="186" t="str">
        <x:v>Strategy</x:v>
      </x:c>
      <x:c r="I7" s="201" t="str">
        <x:v>Template history</x:v>
      </x:c>
    </x:row>
    <x:row r="8">
      <x:c r="A8" s="411" t="n">
        <x:v>46022</x:v>
      </x:c>
      <x:c r="B8" s="186" t="str">
        <x:v>CPI YoY</x:v>
      </x:c>
      <x:c r="C8" s="420" t="n">
        <x:v>3.3</x:v>
      </x:c>
      <x:c r="D8" s="186" t="str">
        <x:v>%</x:v>
      </x:c>
      <x:c r="E8" s="186" t="str">
        <x:v>Monthly</x:v>
      </x:c>
      <x:c r="F8" s="186" t="str">
        <x:v>Illustrative manual input</x:v>
      </x:c>
      <x:c r="G8" s="186" t="str">
        <x:v>Replace with official source</x:v>
      </x:c>
      <x:c r="H8" s="186" t="str">
        <x:v>Strategy</x:v>
      </x:c>
      <x:c r="I8" s="201" t="str">
        <x:v>Template history</x:v>
      </x:c>
    </x:row>
    <x:row r="9">
      <x:c r="A9" s="411" t="n">
        <x:v>46053</x:v>
      </x:c>
      <x:c r="B9" s="186" t="str">
        <x:v>CPI YoY</x:v>
      </x:c>
      <x:c r="C9" s="420" t="n">
        <x:v>3.4</x:v>
      </x:c>
      <x:c r="D9" s="186" t="str">
        <x:v>%</x:v>
      </x:c>
      <x:c r="E9" s="186" t="str">
        <x:v>Monthly</x:v>
      </x:c>
      <x:c r="F9" s="186" t="str">
        <x:v>Illustrative manual input</x:v>
      </x:c>
      <x:c r="G9" s="186" t="str">
        <x:v>Replace with official source</x:v>
      </x:c>
      <x:c r="H9" s="186" t="str">
        <x:v>Strategy</x:v>
      </x:c>
      <x:c r="I9" s="201" t="str">
        <x:v>Template history</x:v>
      </x:c>
    </x:row>
    <x:row r="10">
      <x:c r="A10" s="411" t="n">
        <x:v>46081</x:v>
      </x:c>
      <x:c r="B10" s="186" t="str">
        <x:v>CPI YoY</x:v>
      </x:c>
      <x:c r="C10" s="420" t="n">
        <x:v>3.4</x:v>
      </x:c>
      <x:c r="D10" s="186" t="str">
        <x:v>%</x:v>
      </x:c>
      <x:c r="E10" s="186" t="str">
        <x:v>Monthly</x:v>
      </x:c>
      <x:c r="F10" s="186" t="str">
        <x:v>Illustrative manual input</x:v>
      </x:c>
      <x:c r="G10" s="186" t="str">
        <x:v>Replace with official source</x:v>
      </x:c>
      <x:c r="H10" s="186" t="str">
        <x:v>Strategy</x:v>
      </x:c>
      <x:c r="I10" s="201" t="str">
        <x:v>Template history</x:v>
      </x:c>
    </x:row>
    <x:row r="11">
      <x:c r="A11" s="411" t="n">
        <x:v>46112</x:v>
      </x:c>
      <x:c r="B11" s="186" t="str">
        <x:v>CPI YoY</x:v>
      </x:c>
      <x:c r="C11" s="420" t="n">
        <x:v>3.5</x:v>
      </x:c>
      <x:c r="D11" s="186" t="str">
        <x:v>%</x:v>
      </x:c>
      <x:c r="E11" s="186" t="str">
        <x:v>Monthly</x:v>
      </x:c>
      <x:c r="F11" s="186" t="str">
        <x:v>Illustrative manual input</x:v>
      </x:c>
      <x:c r="G11" s="186" t="str">
        <x:v>Replace with official source</x:v>
      </x:c>
      <x:c r="H11" s="186" t="str">
        <x:v>Strategy</x:v>
      </x:c>
      <x:c r="I11" s="201" t="str">
        <x:v>Template history</x:v>
      </x:c>
    </x:row>
    <x:row r="12">
      <x:c r="A12" s="411" t="n">
        <x:v>46142</x:v>
      </x:c>
      <x:c r="B12" s="186" t="str">
        <x:v>CPI YoY</x:v>
      </x:c>
      <x:c r="C12" s="420" t="n">
        <x:v>3.4</x:v>
      </x:c>
      <x:c r="D12" s="186" t="str">
        <x:v>%</x:v>
      </x:c>
      <x:c r="E12" s="186" t="str">
        <x:v>Monthly</x:v>
      </x:c>
      <x:c r="F12" s="186" t="str">
        <x:v>Illustrative manual input</x:v>
      </x:c>
      <x:c r="G12" s="186" t="str">
        <x:v>Replace with official source</x:v>
      </x:c>
      <x:c r="H12" s="186" t="str">
        <x:v>Strategy</x:v>
      </x:c>
      <x:c r="I12" s="201" t="str">
        <x:v>Template history</x:v>
      </x:c>
    </x:row>
    <x:row r="13">
      <x:c r="A13" s="411" t="n">
        <x:v>46173</x:v>
      </x:c>
      <x:c r="B13" s="186" t="str">
        <x:v>CPI YoY</x:v>
      </x:c>
      <x:c r="C13" s="420" t="n">
        <x:v>3.5</x:v>
      </x:c>
      <x:c r="D13" s="186" t="str">
        <x:v>%</x:v>
      </x:c>
      <x:c r="E13" s="186" t="str">
        <x:v>Monthly</x:v>
      </x:c>
      <x:c r="F13" s="186" t="str">
        <x:v>Illustrative manual input</x:v>
      </x:c>
      <x:c r="G13" s="186" t="str">
        <x:v>Replace with official source</x:v>
      </x:c>
      <x:c r="H13" s="186" t="str">
        <x:v>Strategy</x:v>
      </x:c>
      <x:c r="I13" s="201" t="str">
        <x:v>Template history</x:v>
      </x:c>
    </x:row>
    <x:row r="14">
      <x:c r="A14" s="411" t="n">
        <x:v>46203</x:v>
      </x:c>
      <x:c r="B14" s="186" t="str">
        <x:v>CPI YoY</x:v>
      </x:c>
      <x:c r="C14" s="420" t="n">
        <x:v>3.4</x:v>
      </x:c>
      <x:c r="D14" s="186" t="str">
        <x:v>%</x:v>
      </x:c>
      <x:c r="E14" s="186" t="str">
        <x:v>Monthly</x:v>
      </x:c>
      <x:c r="F14" s="186" t="str">
        <x:v>Illustrative manual input</x:v>
      </x:c>
      <x:c r="G14" s="186" t="str">
        <x:v>Replace with official source</x:v>
      </x:c>
      <x:c r="H14" s="186" t="str">
        <x:v>Strategy</x:v>
      </x:c>
      <x:c r="I14" s="201" t="str">
        <x:v>Template history</x:v>
      </x:c>
    </x:row>
    <x:row r="15">
      <x:c r="A15" s="411" t="n">
        <x:v>46234</x:v>
      </x:c>
      <x:c r="B15" s="186" t="str">
        <x:v>CPI YoY</x:v>
      </x:c>
      <x:c r="C15" s="420" t="n">
        <x:v>3.6</x:v>
      </x:c>
      <x:c r="D15" s="186" t="str">
        <x:v>%</x:v>
      </x:c>
      <x:c r="E15" s="186" t="str">
        <x:v>Monthly</x:v>
      </x:c>
      <x:c r="F15" s="186" t="str">
        <x:v>Illustrative manual input</x:v>
      </x:c>
      <x:c r="G15" s="186" t="str">
        <x:v>Replace with official source</x:v>
      </x:c>
      <x:c r="H15" s="186" t="str">
        <x:v>Strategy</x:v>
      </x:c>
      <x:c r="I15" s="201" t="str">
        <x:v>Template history</x:v>
      </x:c>
    </x:row>
    <x:row r="16">
      <x:c r="A16" s="411" t="n">
        <x:v>45900</x:v>
      </x:c>
      <x:c r="B16" s="186" t="str">
        <x:v>Credit Growth YTD</x:v>
      </x:c>
      <x:c r="C16" s="420" t="n">
        <x:v>0.8</x:v>
      </x:c>
      <x:c r="D16" s="186" t="str">
        <x:v>%</x:v>
      </x:c>
      <x:c r="E16" s="186" t="str">
        <x:v>Monthly</x:v>
      </x:c>
      <x:c r="F16" s="186" t="str">
        <x:v>Illustrative manual input</x:v>
      </x:c>
      <x:c r="G16" s="186" t="str">
        <x:v>Replace with official source</x:v>
      </x:c>
      <x:c r="H16" s="186" t="str">
        <x:v>Strategy</x:v>
      </x:c>
      <x:c r="I16" s="201" t="str">
        <x:v>Template history</x:v>
      </x:c>
    </x:row>
    <x:row r="17">
      <x:c r="A17" s="411" t="n">
        <x:v>45930</x:v>
      </x:c>
      <x:c r="B17" s="186" t="str">
        <x:v>Credit Growth YTD</x:v>
      </x:c>
      <x:c r="C17" s="420" t="n">
        <x:v>1.4</x:v>
      </x:c>
      <x:c r="D17" s="186" t="str">
        <x:v>%</x:v>
      </x:c>
      <x:c r="E17" s="186" t="str">
        <x:v>Monthly</x:v>
      </x:c>
      <x:c r="F17" s="186" t="str">
        <x:v>Illustrative manual input</x:v>
      </x:c>
      <x:c r="G17" s="186" t="str">
        <x:v>Replace with official source</x:v>
      </x:c>
      <x:c r="H17" s="186" t="str">
        <x:v>Strategy</x:v>
      </x:c>
      <x:c r="I17" s="201" t="str">
        <x:v>Template history</x:v>
      </x:c>
    </x:row>
    <x:row r="18">
      <x:c r="A18" s="411" t="n">
        <x:v>45961</x:v>
      </x:c>
      <x:c r="B18" s="186" t="str">
        <x:v>Credit Growth YTD</x:v>
      </x:c>
      <x:c r="C18" s="420" t="n">
        <x:v>2.5</x:v>
      </x:c>
      <x:c r="D18" s="186" t="str">
        <x:v>%</x:v>
      </x:c>
      <x:c r="E18" s="186" t="str">
        <x:v>Monthly</x:v>
      </x:c>
      <x:c r="F18" s="186" t="str">
        <x:v>Illustrative manual input</x:v>
      </x:c>
      <x:c r="G18" s="186" t="str">
        <x:v>Replace with official source</x:v>
      </x:c>
      <x:c r="H18" s="186" t="str">
        <x:v>Strategy</x:v>
      </x:c>
      <x:c r="I18" s="201" t="str">
        <x:v>Template history</x:v>
      </x:c>
    </x:row>
    <x:row r="19">
      <x:c r="A19" s="411" t="n">
        <x:v>45991</x:v>
      </x:c>
      <x:c r="B19" s="186" t="str">
        <x:v>Credit Growth YTD</x:v>
      </x:c>
      <x:c r="C19" s="420" t="n">
        <x:v>3.8</x:v>
      </x:c>
      <x:c r="D19" s="186" t="str">
        <x:v>%</x:v>
      </x:c>
      <x:c r="E19" s="186" t="str">
        <x:v>Monthly</x:v>
      </x:c>
      <x:c r="F19" s="186" t="str">
        <x:v>Illustrative manual input</x:v>
      </x:c>
      <x:c r="G19" s="186" t="str">
        <x:v>Replace with official source</x:v>
      </x:c>
      <x:c r="H19" s="186" t="str">
        <x:v>Strategy</x:v>
      </x:c>
      <x:c r="I19" s="201" t="str">
        <x:v>Template history</x:v>
      </x:c>
    </x:row>
    <x:row r="20">
      <x:c r="A20" s="411" t="n">
        <x:v>46022</x:v>
      </x:c>
      <x:c r="B20" s="186" t="str">
        <x:v>Credit Growth YTD</x:v>
      </x:c>
      <x:c r="C20" s="420" t="n">
        <x:v>4.7</x:v>
      </x:c>
      <x:c r="D20" s="186" t="str">
        <x:v>%</x:v>
      </x:c>
      <x:c r="E20" s="186" t="str">
        <x:v>Monthly</x:v>
      </x:c>
      <x:c r="F20" s="186" t="str">
        <x:v>Illustrative manual input</x:v>
      </x:c>
      <x:c r="G20" s="186" t="str">
        <x:v>Replace with official source</x:v>
      </x:c>
      <x:c r="H20" s="186" t="str">
        <x:v>Strategy</x:v>
      </x:c>
      <x:c r="I20" s="201" t="str">
        <x:v>Template history</x:v>
      </x:c>
    </x:row>
    <x:row r="21">
      <x:c r="A21" s="411" t="n">
        <x:v>46053</x:v>
      </x:c>
      <x:c r="B21" s="186" t="str">
        <x:v>Credit Growth YTD</x:v>
      </x:c>
      <x:c r="C21" s="420" t="n">
        <x:v>5.3</x:v>
      </x:c>
      <x:c r="D21" s="186" t="str">
        <x:v>%</x:v>
      </x:c>
      <x:c r="E21" s="186" t="str">
        <x:v>Monthly</x:v>
      </x:c>
      <x:c r="F21" s="186" t="str">
        <x:v>Illustrative manual input</x:v>
      </x:c>
      <x:c r="G21" s="186" t="str">
        <x:v>Replace with official source</x:v>
      </x:c>
      <x:c r="H21" s="186" t="str">
        <x:v>Strategy</x:v>
      </x:c>
      <x:c r="I21" s="201" t="str">
        <x:v>Template history</x:v>
      </x:c>
    </x:row>
    <x:row r="22">
      <x:c r="A22" s="411" t="n">
        <x:v>46081</x:v>
      </x:c>
      <x:c r="B22" s="186" t="str">
        <x:v>Credit Growth YTD</x:v>
      </x:c>
      <x:c r="C22" s="420" t="n">
        <x:v>5.9</x:v>
      </x:c>
      <x:c r="D22" s="186" t="str">
        <x:v>%</x:v>
      </x:c>
      <x:c r="E22" s="186" t="str">
        <x:v>Monthly</x:v>
      </x:c>
      <x:c r="F22" s="186" t="str">
        <x:v>Illustrative manual input</x:v>
      </x:c>
      <x:c r="G22" s="186" t="str">
        <x:v>Replace with official source</x:v>
      </x:c>
      <x:c r="H22" s="186" t="str">
        <x:v>Strategy</x:v>
      </x:c>
      <x:c r="I22" s="201" t="str">
        <x:v>Template history</x:v>
      </x:c>
    </x:row>
    <x:row r="23">
      <x:c r="A23" s="411" t="n">
        <x:v>46112</x:v>
      </x:c>
      <x:c r="B23" s="186" t="str">
        <x:v>Credit Growth YTD</x:v>
      </x:c>
      <x:c r="C23" s="420" t="n">
        <x:v>6.4</x:v>
      </x:c>
      <x:c r="D23" s="186" t="str">
        <x:v>%</x:v>
      </x:c>
      <x:c r="E23" s="186" t="str">
        <x:v>Monthly</x:v>
      </x:c>
      <x:c r="F23" s="186" t="str">
        <x:v>Illustrative manual input</x:v>
      </x:c>
      <x:c r="G23" s="186" t="str">
        <x:v>Replace with official source</x:v>
      </x:c>
      <x:c r="H23" s="186" t="str">
        <x:v>Strategy</x:v>
      </x:c>
      <x:c r="I23" s="201" t="str">
        <x:v>Template history</x:v>
      </x:c>
    </x:row>
    <x:row r="24">
      <x:c r="A24" s="411" t="n">
        <x:v>46142</x:v>
      </x:c>
      <x:c r="B24" s="186" t="str">
        <x:v>Credit Growth YTD</x:v>
      </x:c>
      <x:c r="C24" s="420" t="n">
        <x:v>6.9</x:v>
      </x:c>
      <x:c r="D24" s="186" t="str">
        <x:v>%</x:v>
      </x:c>
      <x:c r="E24" s="186" t="str">
        <x:v>Monthly</x:v>
      </x:c>
      <x:c r="F24" s="186" t="str">
        <x:v>Illustrative manual input</x:v>
      </x:c>
      <x:c r="G24" s="186" t="str">
        <x:v>Replace with official source</x:v>
      </x:c>
      <x:c r="H24" s="186" t="str">
        <x:v>Strategy</x:v>
      </x:c>
      <x:c r="I24" s="201" t="str">
        <x:v>Template history</x:v>
      </x:c>
    </x:row>
    <x:row r="25">
      <x:c r="A25" s="411" t="n">
        <x:v>46173</x:v>
      </x:c>
      <x:c r="B25" s="186" t="str">
        <x:v>Credit Growth YTD</x:v>
      </x:c>
      <x:c r="C25" s="420" t="n">
        <x:v>7.4</x:v>
      </x:c>
      <x:c r="D25" s="186" t="str">
        <x:v>%</x:v>
      </x:c>
      <x:c r="E25" s="186" t="str">
        <x:v>Monthly</x:v>
      </x:c>
      <x:c r="F25" s="186" t="str">
        <x:v>Illustrative manual input</x:v>
      </x:c>
      <x:c r="G25" s="186" t="str">
        <x:v>Replace with official source</x:v>
      </x:c>
      <x:c r="H25" s="186" t="str">
        <x:v>Strategy</x:v>
      </x:c>
      <x:c r="I25" s="201" t="str">
        <x:v>Template history</x:v>
      </x:c>
    </x:row>
    <x:row r="26">
      <x:c r="A26" s="411" t="n">
        <x:v>46203</x:v>
      </x:c>
      <x:c r="B26" s="186" t="str">
        <x:v>Credit Growth YTD</x:v>
      </x:c>
      <x:c r="C26" s="420" t="n">
        <x:v>7.8</x:v>
      </x:c>
      <x:c r="D26" s="186" t="str">
        <x:v>%</x:v>
      </x:c>
      <x:c r="E26" s="186" t="str">
        <x:v>Monthly</x:v>
      </x:c>
      <x:c r="F26" s="186" t="str">
        <x:v>Illustrative manual input</x:v>
      </x:c>
      <x:c r="G26" s="186" t="str">
        <x:v>Replace with official source</x:v>
      </x:c>
      <x:c r="H26" s="186" t="str">
        <x:v>Strategy</x:v>
      </x:c>
      <x:c r="I26" s="201" t="str">
        <x:v>Template history</x:v>
      </x:c>
    </x:row>
    <x:row r="27">
      <x:c r="A27" s="411" t="n">
        <x:v>46234</x:v>
      </x:c>
      <x:c r="B27" s="186" t="str">
        <x:v>Credit Growth YTD</x:v>
      </x:c>
      <x:c r="C27" s="420" t="n">
        <x:v>8.2</x:v>
      </x:c>
      <x:c r="D27" s="186" t="str">
        <x:v>%</x:v>
      </x:c>
      <x:c r="E27" s="186" t="str">
        <x:v>Monthly</x:v>
      </x:c>
      <x:c r="F27" s="186" t="str">
        <x:v>Illustrative manual input</x:v>
      </x:c>
      <x:c r="G27" s="186" t="str">
        <x:v>Replace with official source</x:v>
      </x:c>
      <x:c r="H27" s="186" t="str">
        <x:v>Strategy</x:v>
      </x:c>
      <x:c r="I27" s="201" t="str">
        <x:v>Template history</x:v>
      </x:c>
    </x:row>
    <x:row r="28">
      <x:c r="A28" s="411" t="n">
        <x:v>45900</x:v>
      </x:c>
      <x:c r="B28" s="186" t="str">
        <x:v>Deposit Growth YTD</x:v>
      </x:c>
      <x:c r="C28" s="420" t="n">
        <x:v>0.7</x:v>
      </x:c>
      <x:c r="D28" s="186" t="str">
        <x:v>%</x:v>
      </x:c>
      <x:c r="E28" s="186" t="str">
        <x:v>Monthly</x:v>
      </x:c>
      <x:c r="F28" s="186" t="str">
        <x:v>Illustrative manual input</x:v>
      </x:c>
      <x:c r="G28" s="186" t="str">
        <x:v>Replace with official source</x:v>
      </x:c>
      <x:c r="H28" s="186" t="str">
        <x:v>Strategy</x:v>
      </x:c>
      <x:c r="I28" s="201" t="str">
        <x:v>Template history</x:v>
      </x:c>
    </x:row>
    <x:row r="29">
      <x:c r="A29" s="411" t="n">
        <x:v>45930</x:v>
      </x:c>
      <x:c r="B29" s="186" t="str">
        <x:v>Deposit Growth YTD</x:v>
      </x:c>
      <x:c r="C29" s="420" t="n">
        <x:v>1.2</x:v>
      </x:c>
      <x:c r="D29" s="186" t="str">
        <x:v>%</x:v>
      </x:c>
      <x:c r="E29" s="186" t="str">
        <x:v>Monthly</x:v>
      </x:c>
      <x:c r="F29" s="186" t="str">
        <x:v>Illustrative manual input</x:v>
      </x:c>
      <x:c r="G29" s="186" t="str">
        <x:v>Replace with official source</x:v>
      </x:c>
      <x:c r="H29" s="186" t="str">
        <x:v>Strategy</x:v>
      </x:c>
      <x:c r="I29" s="201" t="str">
        <x:v>Template history</x:v>
      </x:c>
    </x:row>
    <x:row r="30">
      <x:c r="A30" s="411" t="n">
        <x:v>45961</x:v>
      </x:c>
      <x:c r="B30" s="186" t="str">
        <x:v>Deposit Growth YTD</x:v>
      </x:c>
      <x:c r="C30" s="420" t="n">
        <x:v>2</x:v>
      </x:c>
      <x:c r="D30" s="186" t="str">
        <x:v>%</x:v>
      </x:c>
      <x:c r="E30" s="186" t="str">
        <x:v>Monthly</x:v>
      </x:c>
      <x:c r="F30" s="186" t="str">
        <x:v>Illustrative manual input</x:v>
      </x:c>
      <x:c r="G30" s="186" t="str">
        <x:v>Replace with official source</x:v>
      </x:c>
      <x:c r="H30" s="186" t="str">
        <x:v>Strategy</x:v>
      </x:c>
      <x:c r="I30" s="201" t="str">
        <x:v>Template history</x:v>
      </x:c>
    </x:row>
    <x:row r="31">
      <x:c r="A31" s="411" t="n">
        <x:v>45991</x:v>
      </x:c>
      <x:c r="B31" s="186" t="str">
        <x:v>Deposit Growth YTD</x:v>
      </x:c>
      <x:c r="C31" s="420" t="n">
        <x:v>2.9</x:v>
      </x:c>
      <x:c r="D31" s="186" t="str">
        <x:v>%</x:v>
      </x:c>
      <x:c r="E31" s="186" t="str">
        <x:v>Monthly</x:v>
      </x:c>
      <x:c r="F31" s="186" t="str">
        <x:v>Illustrative manual input</x:v>
      </x:c>
      <x:c r="G31" s="186" t="str">
        <x:v>Replace with official source</x:v>
      </x:c>
      <x:c r="H31" s="186" t="str">
        <x:v>Strategy</x:v>
      </x:c>
      <x:c r="I31" s="201" t="str">
        <x:v>Template history</x:v>
      </x:c>
    </x:row>
    <x:row r="32">
      <x:c r="A32" s="411" t="n">
        <x:v>46022</x:v>
      </x:c>
      <x:c r="B32" s="186" t="str">
        <x:v>Deposit Growth YTD</x:v>
      </x:c>
      <x:c r="C32" s="420" t="n">
        <x:v>3.8</x:v>
      </x:c>
      <x:c r="D32" s="186" t="str">
        <x:v>%</x:v>
      </x:c>
      <x:c r="E32" s="186" t="str">
        <x:v>Monthly</x:v>
      </x:c>
      <x:c r="F32" s="186" t="str">
        <x:v>Illustrative manual input</x:v>
      </x:c>
      <x:c r="G32" s="186" t="str">
        <x:v>Replace with official source</x:v>
      </x:c>
      <x:c r="H32" s="186" t="str">
        <x:v>Strategy</x:v>
      </x:c>
      <x:c r="I32" s="201" t="str">
        <x:v>Template history</x:v>
      </x:c>
    </x:row>
    <x:row r="33">
      <x:c r="A33" s="411" t="n">
        <x:v>46053</x:v>
      </x:c>
      <x:c r="B33" s="186" t="str">
        <x:v>Deposit Growth YTD</x:v>
      </x:c>
      <x:c r="C33" s="420" t="n">
        <x:v>4.5</x:v>
      </x:c>
      <x:c r="D33" s="186" t="str">
        <x:v>%</x:v>
      </x:c>
      <x:c r="E33" s="186" t="str">
        <x:v>Monthly</x:v>
      </x:c>
      <x:c r="F33" s="186" t="str">
        <x:v>Illustrative manual input</x:v>
      </x:c>
      <x:c r="G33" s="186" t="str">
        <x:v>Replace with official source</x:v>
      </x:c>
      <x:c r="H33" s="186" t="str">
        <x:v>Strategy</x:v>
      </x:c>
      <x:c r="I33" s="201" t="str">
        <x:v>Template history</x:v>
      </x:c>
    </x:row>
    <x:row r="34">
      <x:c r="A34" s="411" t="n">
        <x:v>46081</x:v>
      </x:c>
      <x:c r="B34" s="186" t="str">
        <x:v>Deposit Growth YTD</x:v>
      </x:c>
      <x:c r="C34" s="420" t="n">
        <x:v>5.1</x:v>
      </x:c>
      <x:c r="D34" s="186" t="str">
        <x:v>%</x:v>
      </x:c>
      <x:c r="E34" s="186" t="str">
        <x:v>Monthly</x:v>
      </x:c>
      <x:c r="F34" s="186" t="str">
        <x:v>Illustrative manual input</x:v>
      </x:c>
      <x:c r="G34" s="186" t="str">
        <x:v>Replace with official source</x:v>
      </x:c>
      <x:c r="H34" s="186" t="str">
        <x:v>Strategy</x:v>
      </x:c>
      <x:c r="I34" s="201" t="str">
        <x:v>Template history</x:v>
      </x:c>
    </x:row>
    <x:row r="35">
      <x:c r="A35" s="411" t="n">
        <x:v>46112</x:v>
      </x:c>
      <x:c r="B35" s="186" t="str">
        <x:v>Deposit Growth YTD</x:v>
      </x:c>
      <x:c r="C35" s="420" t="n">
        <x:v>5.9</x:v>
      </x:c>
      <x:c r="D35" s="186" t="str">
        <x:v>%</x:v>
      </x:c>
      <x:c r="E35" s="186" t="str">
        <x:v>Monthly</x:v>
      </x:c>
      <x:c r="F35" s="186" t="str">
        <x:v>Illustrative manual input</x:v>
      </x:c>
      <x:c r="G35" s="186" t="str">
        <x:v>Replace with official source</x:v>
      </x:c>
      <x:c r="H35" s="186" t="str">
        <x:v>Strategy</x:v>
      </x:c>
      <x:c r="I35" s="201" t="str">
        <x:v>Template history</x:v>
      </x:c>
    </x:row>
    <x:row r="36">
      <x:c r="A36" s="411" t="n">
        <x:v>46142</x:v>
      </x:c>
      <x:c r="B36" s="186" t="str">
        <x:v>Deposit Growth YTD</x:v>
      </x:c>
      <x:c r="C36" s="420" t="n">
        <x:v>6.2</x:v>
      </x:c>
      <x:c r="D36" s="186" t="str">
        <x:v>%</x:v>
      </x:c>
      <x:c r="E36" s="186" t="str">
        <x:v>Monthly</x:v>
      </x:c>
      <x:c r="F36" s="186" t="str">
        <x:v>Illustrative manual input</x:v>
      </x:c>
      <x:c r="G36" s="186" t="str">
        <x:v>Replace with official source</x:v>
      </x:c>
      <x:c r="H36" s="186" t="str">
        <x:v>Strategy</x:v>
      </x:c>
      <x:c r="I36" s="201" t="str">
        <x:v>Template history</x:v>
      </x:c>
    </x:row>
    <x:row r="37">
      <x:c r="A37" s="411" t="n">
        <x:v>46173</x:v>
      </x:c>
      <x:c r="B37" s="186" t="str">
        <x:v>Deposit Growth YTD</x:v>
      </x:c>
      <x:c r="C37" s="420" t="n">
        <x:v>6.5</x:v>
      </x:c>
      <x:c r="D37" s="186" t="str">
        <x:v>%</x:v>
      </x:c>
      <x:c r="E37" s="186" t="str">
        <x:v>Monthly</x:v>
      </x:c>
      <x:c r="F37" s="186" t="str">
        <x:v>Illustrative manual input</x:v>
      </x:c>
      <x:c r="G37" s="186" t="str">
        <x:v>Replace with official source</x:v>
      </x:c>
      <x:c r="H37" s="186" t="str">
        <x:v>Strategy</x:v>
      </x:c>
      <x:c r="I37" s="201" t="str">
        <x:v>Template history</x:v>
      </x:c>
    </x:row>
    <x:row r="38">
      <x:c r="A38" s="411" t="n">
        <x:v>46203</x:v>
      </x:c>
      <x:c r="B38" s="186" t="str">
        <x:v>Deposit Growth YTD</x:v>
      </x:c>
      <x:c r="C38" s="420" t="n">
        <x:v>6.8</x:v>
      </x:c>
      <x:c r="D38" s="186" t="str">
        <x:v>%</x:v>
      </x:c>
      <x:c r="E38" s="186" t="str">
        <x:v>Monthly</x:v>
      </x:c>
      <x:c r="F38" s="186" t="str">
        <x:v>Illustrative manual input</x:v>
      </x:c>
      <x:c r="G38" s="186" t="str">
        <x:v>Replace with official source</x:v>
      </x:c>
      <x:c r="H38" s="186" t="str">
        <x:v>Strategy</x:v>
      </x:c>
      <x:c r="I38" s="201" t="str">
        <x:v>Template history</x:v>
      </x:c>
    </x:row>
    <x:row r="39">
      <x:c r="A39" s="411" t="n">
        <x:v>46234</x:v>
      </x:c>
      <x:c r="B39" s="186" t="str">
        <x:v>Deposit Growth YTD</x:v>
      </x:c>
      <x:c r="C39" s="420" t="n">
        <x:v>7.1</x:v>
      </x:c>
      <x:c r="D39" s="186" t="str">
        <x:v>%</x:v>
      </x:c>
      <x:c r="E39" s="186" t="str">
        <x:v>Monthly</x:v>
      </x:c>
      <x:c r="F39" s="186" t="str">
        <x:v>Illustrative manual input</x:v>
      </x:c>
      <x:c r="G39" s="186" t="str">
        <x:v>Replace with official source</x:v>
      </x:c>
      <x:c r="H39" s="186" t="str">
        <x:v>Strategy</x:v>
      </x:c>
      <x:c r="I39" s="201" t="str">
        <x:v>Template history</x:v>
      </x:c>
    </x:row>
    <x:row r="40">
      <x:c r="A40" s="411" t="n">
        <x:v>45900</x:v>
      </x:c>
      <x:c r="B40" s="186" t="str">
        <x:v>M2 Growth YoY</x:v>
      </x:c>
      <x:c r="C40" s="420" t="n">
        <x:v>9.4</x:v>
      </x:c>
      <x:c r="D40" s="186" t="str">
        <x:v>%</x:v>
      </x:c>
      <x:c r="E40" s="186" t="str">
        <x:v>Monthly</x:v>
      </x:c>
      <x:c r="F40" s="186" t="str">
        <x:v>Illustrative manual input</x:v>
      </x:c>
      <x:c r="G40" s="186" t="str">
        <x:v>Replace with official source</x:v>
      </x:c>
      <x:c r="H40" s="186" t="str">
        <x:v>Strategy</x:v>
      </x:c>
      <x:c r="I40" s="201" t="str">
        <x:v>Template history</x:v>
      </x:c>
    </x:row>
    <x:row r="41">
      <x:c r="A41" s="411" t="n">
        <x:v>45930</x:v>
      </x:c>
      <x:c r="B41" s="186" t="str">
        <x:v>M2 Growth YoY</x:v>
      </x:c>
      <x:c r="C41" s="420" t="n">
        <x:v>9.6</x:v>
      </x:c>
      <x:c r="D41" s="186" t="str">
        <x:v>%</x:v>
      </x:c>
      <x:c r="E41" s="186" t="str">
        <x:v>Monthly</x:v>
      </x:c>
      <x:c r="F41" s="186" t="str">
        <x:v>Illustrative manual input</x:v>
      </x:c>
      <x:c r="G41" s="186" t="str">
        <x:v>Replace with official source</x:v>
      </x:c>
      <x:c r="H41" s="186" t="str">
        <x:v>Strategy</x:v>
      </x:c>
      <x:c r="I41" s="201" t="str">
        <x:v>Template history</x:v>
      </x:c>
    </x:row>
    <x:row r="42">
      <x:c r="A42" s="411" t="n">
        <x:v>45961</x:v>
      </x:c>
      <x:c r="B42" s="186" t="str">
        <x:v>M2 Growth YoY</x:v>
      </x:c>
      <x:c r="C42" s="420" t="n">
        <x:v>9.8</x:v>
      </x:c>
      <x:c r="D42" s="186" t="str">
        <x:v>%</x:v>
      </x:c>
      <x:c r="E42" s="186" t="str">
        <x:v>Monthly</x:v>
      </x:c>
      <x:c r="F42" s="186" t="str">
        <x:v>Illustrative manual input</x:v>
      </x:c>
      <x:c r="G42" s="186" t="str">
        <x:v>Replace with official source</x:v>
      </x:c>
      <x:c r="H42" s="186" t="str">
        <x:v>Strategy</x:v>
      </x:c>
      <x:c r="I42" s="201" t="str">
        <x:v>Template history</x:v>
      </x:c>
    </x:row>
    <x:row r="43">
      <x:c r="A43" s="411" t="n">
        <x:v>45991</x:v>
      </x:c>
      <x:c r="B43" s="186" t="str">
        <x:v>M2 Growth YoY</x:v>
      </x:c>
      <x:c r="C43" s="420" t="n">
        <x:v>10</x:v>
      </x:c>
      <x:c r="D43" s="186" t="str">
        <x:v>%</x:v>
      </x:c>
      <x:c r="E43" s="186" t="str">
        <x:v>Monthly</x:v>
      </x:c>
      <x:c r="F43" s="186" t="str">
        <x:v>Illustrative manual input</x:v>
      </x:c>
      <x:c r="G43" s="186" t="str">
        <x:v>Replace with official source</x:v>
      </x:c>
      <x:c r="H43" s="186" t="str">
        <x:v>Strategy</x:v>
      </x:c>
      <x:c r="I43" s="201" t="str">
        <x:v>Template history</x:v>
      </x:c>
    </x:row>
    <x:row r="44">
      <x:c r="A44" s="411" t="n">
        <x:v>46022</x:v>
      </x:c>
      <x:c r="B44" s="186" t="str">
        <x:v>M2 Growth YoY</x:v>
      </x:c>
      <x:c r="C44" s="420" t="n">
        <x:v>10.2</x:v>
      </x:c>
      <x:c r="D44" s="186" t="str">
        <x:v>%</x:v>
      </x:c>
      <x:c r="E44" s="186" t="str">
        <x:v>Monthly</x:v>
      </x:c>
      <x:c r="F44" s="186" t="str">
        <x:v>Illustrative manual input</x:v>
      </x:c>
      <x:c r="G44" s="186" t="str">
        <x:v>Replace with official source</x:v>
      </x:c>
      <x:c r="H44" s="186" t="str">
        <x:v>Strategy</x:v>
      </x:c>
      <x:c r="I44" s="201" t="str">
        <x:v>Template history</x:v>
      </x:c>
    </x:row>
    <x:row r="45">
      <x:c r="A45" s="411" t="n">
        <x:v>46053</x:v>
      </x:c>
      <x:c r="B45" s="186" t="str">
        <x:v>M2 Growth YoY</x:v>
      </x:c>
      <x:c r="C45" s="420" t="n">
        <x:v>10.4</x:v>
      </x:c>
      <x:c r="D45" s="186" t="str">
        <x:v>%</x:v>
      </x:c>
      <x:c r="E45" s="186" t="str">
        <x:v>Monthly</x:v>
      </x:c>
      <x:c r="F45" s="186" t="str">
        <x:v>Illustrative manual input</x:v>
      </x:c>
      <x:c r="G45" s="186" t="str">
        <x:v>Replace with official source</x:v>
      </x:c>
      <x:c r="H45" s="186" t="str">
        <x:v>Strategy</x:v>
      </x:c>
      <x:c r="I45" s="201" t="str">
        <x:v>Template history</x:v>
      </x:c>
    </x:row>
    <x:row r="46">
      <x:c r="A46" s="411" t="n">
        <x:v>46081</x:v>
      </x:c>
      <x:c r="B46" s="186" t="str">
        <x:v>M2 Growth YoY</x:v>
      </x:c>
      <x:c r="C46" s="420" t="n">
        <x:v>10.6</x:v>
      </x:c>
      <x:c r="D46" s="186" t="str">
        <x:v>%</x:v>
      </x:c>
      <x:c r="E46" s="186" t="str">
        <x:v>Monthly</x:v>
      </x:c>
      <x:c r="F46" s="186" t="str">
        <x:v>Illustrative manual input</x:v>
      </x:c>
      <x:c r="G46" s="186" t="str">
        <x:v>Replace with official source</x:v>
      </x:c>
      <x:c r="H46" s="186" t="str">
        <x:v>Strategy</x:v>
      </x:c>
      <x:c r="I46" s="201" t="str">
        <x:v>Template history</x:v>
      </x:c>
    </x:row>
    <x:row r="47">
      <x:c r="A47" s="411" t="n">
        <x:v>46112</x:v>
      </x:c>
      <x:c r="B47" s="186" t="str">
        <x:v>M2 Growth YoY</x:v>
      </x:c>
      <x:c r="C47" s="420" t="n">
        <x:v>10.8</x:v>
      </x:c>
      <x:c r="D47" s="186" t="str">
        <x:v>%</x:v>
      </x:c>
      <x:c r="E47" s="186" t="str">
        <x:v>Monthly</x:v>
      </x:c>
      <x:c r="F47" s="186" t="str">
        <x:v>Illustrative manual input</x:v>
      </x:c>
      <x:c r="G47" s="186" t="str">
        <x:v>Replace with official source</x:v>
      </x:c>
      <x:c r="H47" s="186" t="str">
        <x:v>Strategy</x:v>
      </x:c>
      <x:c r="I47" s="201" t="str">
        <x:v>Template history</x:v>
      </x:c>
    </x:row>
    <x:row r="48">
      <x:c r="A48" s="411" t="n">
        <x:v>46142</x:v>
      </x:c>
      <x:c r="B48" s="186" t="str">
        <x:v>M2 Growth YoY</x:v>
      </x:c>
      <x:c r="C48" s="420" t="n">
        <x:v>10.9</x:v>
      </x:c>
      <x:c r="D48" s="186" t="str">
        <x:v>%</x:v>
      </x:c>
      <x:c r="E48" s="186" t="str">
        <x:v>Monthly</x:v>
      </x:c>
      <x:c r="F48" s="186" t="str">
        <x:v>Illustrative manual input</x:v>
      </x:c>
      <x:c r="G48" s="186" t="str">
        <x:v>Replace with official source</x:v>
      </x:c>
      <x:c r="H48" s="186" t="str">
        <x:v>Strategy</x:v>
      </x:c>
      <x:c r="I48" s="201" t="str">
        <x:v>Template history</x:v>
      </x:c>
    </x:row>
    <x:row r="49">
      <x:c r="A49" s="411" t="n">
        <x:v>46173</x:v>
      </x:c>
      <x:c r="B49" s="186" t="str">
        <x:v>M2 Growth YoY</x:v>
      </x:c>
      <x:c r="C49" s="420" t="n">
        <x:v>11</x:v>
      </x:c>
      <x:c r="D49" s="186" t="str">
        <x:v>%</x:v>
      </x:c>
      <x:c r="E49" s="186" t="str">
        <x:v>Monthly</x:v>
      </x:c>
      <x:c r="F49" s="186" t="str">
        <x:v>Illustrative manual input</x:v>
      </x:c>
      <x:c r="G49" s="186" t="str">
        <x:v>Replace with official source</x:v>
      </x:c>
      <x:c r="H49" s="186" t="str">
        <x:v>Strategy</x:v>
      </x:c>
      <x:c r="I49" s="201" t="str">
        <x:v>Template history</x:v>
      </x:c>
    </x:row>
    <x:row r="50">
      <x:c r="A50" s="411" t="n">
        <x:v>46203</x:v>
      </x:c>
      <x:c r="B50" s="186" t="str">
        <x:v>M2 Growth YoY</x:v>
      </x:c>
      <x:c r="C50" s="420" t="n">
        <x:v>11.2</x:v>
      </x:c>
      <x:c r="D50" s="186" t="str">
        <x:v>%</x:v>
      </x:c>
      <x:c r="E50" s="186" t="str">
        <x:v>Monthly</x:v>
      </x:c>
      <x:c r="F50" s="186" t="str">
        <x:v>Illustrative manual input</x:v>
      </x:c>
      <x:c r="G50" s="186" t="str">
        <x:v>Replace with official source</x:v>
      </x:c>
      <x:c r="H50" s="186" t="str">
        <x:v>Strategy</x:v>
      </x:c>
      <x:c r="I50" s="201" t="str">
        <x:v>Template history</x:v>
      </x:c>
    </x:row>
    <x:row r="51">
      <x:c r="A51" s="411" t="n">
        <x:v>46234</x:v>
      </x:c>
      <x:c r="B51" s="186" t="str">
        <x:v>M2 Growth YoY</x:v>
      </x:c>
      <x:c r="C51" s="420" t="n">
        <x:v>11.4</x:v>
      </x:c>
      <x:c r="D51" s="186" t="str">
        <x:v>%</x:v>
      </x:c>
      <x:c r="E51" s="186" t="str">
        <x:v>Monthly</x:v>
      </x:c>
      <x:c r="F51" s="186" t="str">
        <x:v>Illustrative manual input</x:v>
      </x:c>
      <x:c r="G51" s="186" t="str">
        <x:v>Replace with official source</x:v>
      </x:c>
      <x:c r="H51" s="186" t="str">
        <x:v>Strategy</x:v>
      </x:c>
      <x:c r="I51" s="201" t="str">
        <x:v>Template history</x:v>
      </x:c>
    </x:row>
    <x:row r="52">
      <x:c r="A52" s="411" t="n">
        <x:v>45900</x:v>
      </x:c>
      <x:c r="B52" s="186" t="str">
        <x:v>Manufacturing PMI</x:v>
      </x:c>
      <x:c r="C52" s="420" t="n">
        <x:v>50.1</x:v>
      </x:c>
      <x:c r="D52" s="186" t="str">
        <x:v>Index</x:v>
      </x:c>
      <x:c r="E52" s="186" t="str">
        <x:v>Monthly</x:v>
      </x:c>
      <x:c r="F52" s="186" t="str">
        <x:v>Illustrative manual input</x:v>
      </x:c>
      <x:c r="G52" s="186" t="str">
        <x:v>Replace with official source</x:v>
      </x:c>
      <x:c r="H52" s="186" t="str">
        <x:v>Strategy</x:v>
      </x:c>
      <x:c r="I52" s="201" t="str">
        <x:v>Template history</x:v>
      </x:c>
    </x:row>
    <x:row r="53">
      <x:c r="A53" s="411" t="n">
        <x:v>45930</x:v>
      </x:c>
      <x:c r="B53" s="186" t="str">
        <x:v>Manufacturing PMI</x:v>
      </x:c>
      <x:c r="C53" s="420" t="n">
        <x:v>50.4</x:v>
      </x:c>
      <x:c r="D53" s="186" t="str">
        <x:v>Index</x:v>
      </x:c>
      <x:c r="E53" s="186" t="str">
        <x:v>Monthly</x:v>
      </x:c>
      <x:c r="F53" s="186" t="str">
        <x:v>Illustrative manual input</x:v>
      </x:c>
      <x:c r="G53" s="186" t="str">
        <x:v>Replace with official source</x:v>
      </x:c>
      <x:c r="H53" s="186" t="str">
        <x:v>Strategy</x:v>
      </x:c>
      <x:c r="I53" s="201" t="str">
        <x:v>Template history</x:v>
      </x:c>
    </x:row>
    <x:row r="54">
      <x:c r="A54" s="411" t="n">
        <x:v>45961</x:v>
      </x:c>
      <x:c r="B54" s="186" t="str">
        <x:v>Manufacturing PMI</x:v>
      </x:c>
      <x:c r="C54" s="420" t="n">
        <x:v>49.8</x:v>
      </x:c>
      <x:c r="D54" s="186" t="str">
        <x:v>Index</x:v>
      </x:c>
      <x:c r="E54" s="186" t="str">
        <x:v>Monthly</x:v>
      </x:c>
      <x:c r="F54" s="186" t="str">
        <x:v>Illustrative manual input</x:v>
      </x:c>
      <x:c r="G54" s="186" t="str">
        <x:v>Replace with official source</x:v>
      </x:c>
      <x:c r="H54" s="186" t="str">
        <x:v>Strategy</x:v>
      </x:c>
      <x:c r="I54" s="201" t="str">
        <x:v>Template history</x:v>
      </x:c>
    </x:row>
    <x:row r="55">
      <x:c r="A55" s="411" t="n">
        <x:v>45991</x:v>
      </x:c>
      <x:c r="B55" s="186" t="str">
        <x:v>Manufacturing PMI</x:v>
      </x:c>
      <x:c r="C55" s="420" t="n">
        <x:v>50.2</x:v>
      </x:c>
      <x:c r="D55" s="186" t="str">
        <x:v>Index</x:v>
      </x:c>
      <x:c r="E55" s="186" t="str">
        <x:v>Monthly</x:v>
      </x:c>
      <x:c r="F55" s="186" t="str">
        <x:v>Illustrative manual input</x:v>
      </x:c>
      <x:c r="G55" s="186" t="str">
        <x:v>Replace with official source</x:v>
      </x:c>
      <x:c r="H55" s="186" t="str">
        <x:v>Strategy</x:v>
      </x:c>
      <x:c r="I55" s="201" t="str">
        <x:v>Template history</x:v>
      </x:c>
    </x:row>
    <x:row r="56">
      <x:c r="A56" s="411" t="n">
        <x:v>46022</x:v>
      </x:c>
      <x:c r="B56" s="186" t="str">
        <x:v>Manufacturing PMI</x:v>
      </x:c>
      <x:c r="C56" s="420" t="n">
        <x:v>50.6</x:v>
      </x:c>
      <x:c r="D56" s="186" t="str">
        <x:v>Index</x:v>
      </x:c>
      <x:c r="E56" s="186" t="str">
        <x:v>Monthly</x:v>
      </x:c>
      <x:c r="F56" s="186" t="str">
        <x:v>Illustrative manual input</x:v>
      </x:c>
      <x:c r="G56" s="186" t="str">
        <x:v>Replace with official source</x:v>
      </x:c>
      <x:c r="H56" s="186" t="str">
        <x:v>Strategy</x:v>
      </x:c>
      <x:c r="I56" s="201" t="str">
        <x:v>Template history</x:v>
      </x:c>
    </x:row>
    <x:row r="57">
      <x:c r="A57" s="411" t="n">
        <x:v>46053</x:v>
      </x:c>
      <x:c r="B57" s="186" t="str">
        <x:v>Manufacturing PMI</x:v>
      </x:c>
      <x:c r="C57" s="420" t="n">
        <x:v>50.3</x:v>
      </x:c>
      <x:c r="D57" s="186" t="str">
        <x:v>Index</x:v>
      </x:c>
      <x:c r="E57" s="186" t="str">
        <x:v>Monthly</x:v>
      </x:c>
      <x:c r="F57" s="186" t="str">
        <x:v>Illustrative manual input</x:v>
      </x:c>
      <x:c r="G57" s="186" t="str">
        <x:v>Replace with official source</x:v>
      </x:c>
      <x:c r="H57" s="186" t="str">
        <x:v>Strategy</x:v>
      </x:c>
      <x:c r="I57" s="201" t="str">
        <x:v>Template history</x:v>
      </x:c>
    </x:row>
    <x:row r="58">
      <x:c r="A58" s="411" t="n">
        <x:v>46081</x:v>
      </x:c>
      <x:c r="B58" s="186" t="str">
        <x:v>Manufacturing PMI</x:v>
      </x:c>
      <x:c r="C58" s="420" t="n">
        <x:v>50.7</x:v>
      </x:c>
      <x:c r="D58" s="186" t="str">
        <x:v>Index</x:v>
      </x:c>
      <x:c r="E58" s="186" t="str">
        <x:v>Monthly</x:v>
      </x:c>
      <x:c r="F58" s="186" t="str">
        <x:v>Illustrative manual input</x:v>
      </x:c>
      <x:c r="G58" s="186" t="str">
        <x:v>Replace with official source</x:v>
      </x:c>
      <x:c r="H58" s="186" t="str">
        <x:v>Strategy</x:v>
      </x:c>
      <x:c r="I58" s="201" t="str">
        <x:v>Template history</x:v>
      </x:c>
    </x:row>
    <x:row r="59">
      <x:c r="A59" s="411" t="n">
        <x:v>46112</x:v>
      </x:c>
      <x:c r="B59" s="186" t="str">
        <x:v>Manufacturing PMI</x:v>
      </x:c>
      <x:c r="C59" s="420" t="n">
        <x:v>50.5</x:v>
      </x:c>
      <x:c r="D59" s="186" t="str">
        <x:v>Index</x:v>
      </x:c>
      <x:c r="E59" s="186" t="str">
        <x:v>Monthly</x:v>
      </x:c>
      <x:c r="F59" s="186" t="str">
        <x:v>Illustrative manual input</x:v>
      </x:c>
      <x:c r="G59" s="186" t="str">
        <x:v>Replace with official source</x:v>
      </x:c>
      <x:c r="H59" s="186" t="str">
        <x:v>Strategy</x:v>
      </x:c>
      <x:c r="I59" s="201" t="str">
        <x:v>Template history</x:v>
      </x:c>
    </x:row>
    <x:row r="60">
      <x:c r="A60" s="411" t="n">
        <x:v>46142</x:v>
      </x:c>
      <x:c r="B60" s="186" t="str">
        <x:v>Manufacturing PMI</x:v>
      </x:c>
      <x:c r="C60" s="420" t="n">
        <x:v>50.9</x:v>
      </x:c>
      <x:c r="D60" s="186" t="str">
        <x:v>Index</x:v>
      </x:c>
      <x:c r="E60" s="186" t="str">
        <x:v>Monthly</x:v>
      </x:c>
      <x:c r="F60" s="186" t="str">
        <x:v>Illustrative manual input</x:v>
      </x:c>
      <x:c r="G60" s="186" t="str">
        <x:v>Replace with official source</x:v>
      </x:c>
      <x:c r="H60" s="186" t="str">
        <x:v>Strategy</x:v>
      </x:c>
      <x:c r="I60" s="201" t="str">
        <x:v>Template history</x:v>
      </x:c>
    </x:row>
    <x:row r="61">
      <x:c r="A61" s="411" t="n">
        <x:v>46173</x:v>
      </x:c>
      <x:c r="B61" s="186" t="str">
        <x:v>Manufacturing PMI</x:v>
      </x:c>
      <x:c r="C61" s="420" t="n">
        <x:v>51</x:v>
      </x:c>
      <x:c r="D61" s="186" t="str">
        <x:v>Index</x:v>
      </x:c>
      <x:c r="E61" s="186" t="str">
        <x:v>Monthly</x:v>
      </x:c>
      <x:c r="F61" s="186" t="str">
        <x:v>Illustrative manual input</x:v>
      </x:c>
      <x:c r="G61" s="186" t="str">
        <x:v>Replace with official source</x:v>
      </x:c>
      <x:c r="H61" s="186" t="str">
        <x:v>Strategy</x:v>
      </x:c>
      <x:c r="I61" s="201" t="str">
        <x:v>Template history</x:v>
      </x:c>
    </x:row>
    <x:row r="62">
      <x:c r="A62" s="411" t="n">
        <x:v>46203</x:v>
      </x:c>
      <x:c r="B62" s="186" t="str">
        <x:v>Manufacturing PMI</x:v>
      </x:c>
      <x:c r="C62" s="420" t="n">
        <x:v>50.5</x:v>
      </x:c>
      <x:c r="D62" s="186" t="str">
        <x:v>Index</x:v>
      </x:c>
      <x:c r="E62" s="186" t="str">
        <x:v>Monthly</x:v>
      </x:c>
      <x:c r="F62" s="186" t="str">
        <x:v>Illustrative manual input</x:v>
      </x:c>
      <x:c r="G62" s="186" t="str">
        <x:v>Replace with official source</x:v>
      </x:c>
      <x:c r="H62" s="186" t="str">
        <x:v>Strategy</x:v>
      </x:c>
      <x:c r="I62" s="201" t="str">
        <x:v>Template history</x:v>
      </x:c>
    </x:row>
    <x:row r="63">
      <x:c r="A63" s="411" t="n">
        <x:v>46234</x:v>
      </x:c>
      <x:c r="B63" s="186" t="str">
        <x:v>Manufacturing PMI</x:v>
      </x:c>
      <x:c r="C63" s="420" t="n">
        <x:v>51.2</x:v>
      </x:c>
      <x:c r="D63" s="186" t="str">
        <x:v>Index</x:v>
      </x:c>
      <x:c r="E63" s="186" t="str">
        <x:v>Monthly</x:v>
      </x:c>
      <x:c r="F63" s="186" t="str">
        <x:v>Illustrative manual input</x:v>
      </x:c>
      <x:c r="G63" s="186" t="str">
        <x:v>Replace with official source</x:v>
      </x:c>
      <x:c r="H63" s="186" t="str">
        <x:v>Strategy</x:v>
      </x:c>
      <x:c r="I63" s="201" t="str">
        <x:v>Template history</x:v>
      </x:c>
    </x:row>
    <x:row r="64">
      <x:c r="A64" s="411" t="n">
        <x:v>45900</x:v>
      </x:c>
      <x:c r="B64" s="186" t="str">
        <x:v>USD/VND</x:v>
      </x:c>
      <x:c r="C64" s="420" t="n">
        <x:v>25300</x:v>
      </x:c>
      <x:c r="D64" s="186" t="str">
        <x:v>VND/USD</x:v>
      </x:c>
      <x:c r="E64" s="186" t="str">
        <x:v>Monthly</x:v>
      </x:c>
      <x:c r="F64" s="186" t="str">
        <x:v>Illustrative manual input</x:v>
      </x:c>
      <x:c r="G64" s="186" t="str">
        <x:v>Replace with official source</x:v>
      </x:c>
      <x:c r="H64" s="186" t="str">
        <x:v>Strategy</x:v>
      </x:c>
      <x:c r="I64" s="201" t="str">
        <x:v>Template history</x:v>
      </x:c>
    </x:row>
    <x:row r="65">
      <x:c r="A65" s="411" t="n">
        <x:v>45930</x:v>
      </x:c>
      <x:c r="B65" s="186" t="str">
        <x:v>USD/VND</x:v>
      </x:c>
      <x:c r="C65" s="420" t="n">
        <x:v>25420</x:v>
      </x:c>
      <x:c r="D65" s="186" t="str">
        <x:v>VND/USD</x:v>
      </x:c>
      <x:c r="E65" s="186" t="str">
        <x:v>Monthly</x:v>
      </x:c>
      <x:c r="F65" s="186" t="str">
        <x:v>Illustrative manual input</x:v>
      </x:c>
      <x:c r="G65" s="186" t="str">
        <x:v>Replace with official source</x:v>
      </x:c>
      <x:c r="H65" s="186" t="str">
        <x:v>Strategy</x:v>
      </x:c>
      <x:c r="I65" s="201" t="str">
        <x:v>Template history</x:v>
      </x:c>
    </x:row>
    <x:row r="66">
      <x:c r="A66" s="411" t="n">
        <x:v>45961</x:v>
      </x:c>
      <x:c r="B66" s="186" t="str">
        <x:v>USD/VND</x:v>
      </x:c>
      <x:c r="C66" s="420" t="n">
        <x:v>25510</x:v>
      </x:c>
      <x:c r="D66" s="186" t="str">
        <x:v>VND/USD</x:v>
      </x:c>
      <x:c r="E66" s="186" t="str">
        <x:v>Monthly</x:v>
      </x:c>
      <x:c r="F66" s="186" t="str">
        <x:v>Illustrative manual input</x:v>
      </x:c>
      <x:c r="G66" s="186" t="str">
        <x:v>Replace with official source</x:v>
      </x:c>
      <x:c r="H66" s="186" t="str">
        <x:v>Strategy</x:v>
      </x:c>
      <x:c r="I66" s="201" t="str">
        <x:v>Template history</x:v>
      </x:c>
    </x:row>
    <x:row r="67">
      <x:c r="A67" s="411" t="n">
        <x:v>45991</x:v>
      </x:c>
      <x:c r="B67" s="186" t="str">
        <x:v>USD/VND</x:v>
      </x:c>
      <x:c r="C67" s="420" t="n">
        <x:v>25600</x:v>
      </x:c>
      <x:c r="D67" s="186" t="str">
        <x:v>VND/USD</x:v>
      </x:c>
      <x:c r="E67" s="186" t="str">
        <x:v>Monthly</x:v>
      </x:c>
      <x:c r="F67" s="186" t="str">
        <x:v>Illustrative manual input</x:v>
      </x:c>
      <x:c r="G67" s="186" t="str">
        <x:v>Replace with official source</x:v>
      </x:c>
      <x:c r="H67" s="186" t="str">
        <x:v>Strategy</x:v>
      </x:c>
      <x:c r="I67" s="201" t="str">
        <x:v>Template history</x:v>
      </x:c>
    </x:row>
    <x:row r="68">
      <x:c r="A68" s="411" t="n">
        <x:v>46022</x:v>
      </x:c>
      <x:c r="B68" s="186" t="str">
        <x:v>USD/VND</x:v>
      </x:c>
      <x:c r="C68" s="420" t="n">
        <x:v>25750</x:v>
      </x:c>
      <x:c r="D68" s="186" t="str">
        <x:v>VND/USD</x:v>
      </x:c>
      <x:c r="E68" s="186" t="str">
        <x:v>Monthly</x:v>
      </x:c>
      <x:c r="F68" s="186" t="str">
        <x:v>Illustrative manual input</x:v>
      </x:c>
      <x:c r="G68" s="186" t="str">
        <x:v>Replace with official source</x:v>
      </x:c>
      <x:c r="H68" s="186" t="str">
        <x:v>Strategy</x:v>
      </x:c>
      <x:c r="I68" s="201" t="str">
        <x:v>Template history</x:v>
      </x:c>
    </x:row>
    <x:row r="69">
      <x:c r="A69" s="411" t="n">
        <x:v>46053</x:v>
      </x:c>
      <x:c r="B69" s="186" t="str">
        <x:v>USD/VND</x:v>
      </x:c>
      <x:c r="C69" s="420" t="n">
        <x:v>25830</x:v>
      </x:c>
      <x:c r="D69" s="186" t="str">
        <x:v>VND/USD</x:v>
      </x:c>
      <x:c r="E69" s="186" t="str">
        <x:v>Monthly</x:v>
      </x:c>
      <x:c r="F69" s="186" t="str">
        <x:v>Illustrative manual input</x:v>
      </x:c>
      <x:c r="G69" s="186" t="str">
        <x:v>Replace with official source</x:v>
      </x:c>
      <x:c r="H69" s="186" t="str">
        <x:v>Strategy</x:v>
      </x:c>
      <x:c r="I69" s="201" t="str">
        <x:v>Template history</x:v>
      </x:c>
    </x:row>
    <x:row r="70">
      <x:c r="A70" s="411" t="n">
        <x:v>46081</x:v>
      </x:c>
      <x:c r="B70" s="186" t="str">
        <x:v>USD/VND</x:v>
      </x:c>
      <x:c r="C70" s="420" t="n">
        <x:v>25920</x:v>
      </x:c>
      <x:c r="D70" s="186" t="str">
        <x:v>VND/USD</x:v>
      </x:c>
      <x:c r="E70" s="186" t="str">
        <x:v>Monthly</x:v>
      </x:c>
      <x:c r="F70" s="186" t="str">
        <x:v>Illustrative manual input</x:v>
      </x:c>
      <x:c r="G70" s="186" t="str">
        <x:v>Replace with official source</x:v>
      </x:c>
      <x:c r="H70" s="186" t="str">
        <x:v>Strategy</x:v>
      </x:c>
      <x:c r="I70" s="201" t="str">
        <x:v>Template history</x:v>
      </x:c>
    </x:row>
    <x:row r="71">
      <x:c r="A71" s="411" t="n">
        <x:v>46112</x:v>
      </x:c>
      <x:c r="B71" s="186" t="str">
        <x:v>USD/VND</x:v>
      </x:c>
      <x:c r="C71" s="420" t="n">
        <x:v>26110</x:v>
      </x:c>
      <x:c r="D71" s="186" t="str">
        <x:v>VND/USD</x:v>
      </x:c>
      <x:c r="E71" s="186" t="str">
        <x:v>Monthly</x:v>
      </x:c>
      <x:c r="F71" s="186" t="str">
        <x:v>Illustrative manual input</x:v>
      </x:c>
      <x:c r="G71" s="186" t="str">
        <x:v>Replace with official source</x:v>
      </x:c>
      <x:c r="H71" s="186" t="str">
        <x:v>Strategy</x:v>
      </x:c>
      <x:c r="I71" s="201" t="str">
        <x:v>Template history</x:v>
      </x:c>
    </x:row>
    <x:row r="72">
      <x:c r="A72" s="411" t="n">
        <x:v>46142</x:v>
      </x:c>
      <x:c r="B72" s="186" t="str">
        <x:v>USD/VND</x:v>
      </x:c>
      <x:c r="C72" s="420" t="n">
        <x:v>26050</x:v>
      </x:c>
      <x:c r="D72" s="186" t="str">
        <x:v>VND/USD</x:v>
      </x:c>
      <x:c r="E72" s="186" t="str">
        <x:v>Monthly</x:v>
      </x:c>
      <x:c r="F72" s="186" t="str">
        <x:v>Illustrative manual input</x:v>
      </x:c>
      <x:c r="G72" s="186" t="str">
        <x:v>Replace with official source</x:v>
      </x:c>
      <x:c r="H72" s="186" t="str">
        <x:v>Strategy</x:v>
      </x:c>
      <x:c r="I72" s="201" t="str">
        <x:v>Template history</x:v>
      </x:c>
    </x:row>
    <x:row r="73">
      <x:c r="A73" s="411" t="n">
        <x:v>46173</x:v>
      </x:c>
      <x:c r="B73" s="186" t="str">
        <x:v>USD/VND</x:v>
      </x:c>
      <x:c r="C73" s="420" t="n">
        <x:v>26180</x:v>
      </x:c>
      <x:c r="D73" s="186" t="str">
        <x:v>VND/USD</x:v>
      </x:c>
      <x:c r="E73" s="186" t="str">
        <x:v>Monthly</x:v>
      </x:c>
      <x:c r="F73" s="186" t="str">
        <x:v>Illustrative manual input</x:v>
      </x:c>
      <x:c r="G73" s="186" t="str">
        <x:v>Replace with official source</x:v>
      </x:c>
      <x:c r="H73" s="186" t="str">
        <x:v>Strategy</x:v>
      </x:c>
      <x:c r="I73" s="201" t="str">
        <x:v>Template history</x:v>
      </x:c>
    </x:row>
    <x:row r="74">
      <x:c r="A74" s="411" t="n">
        <x:v>46203</x:v>
      </x:c>
      <x:c r="B74" s="186" t="str">
        <x:v>USD/VND</x:v>
      </x:c>
      <x:c r="C74" s="420" t="n">
        <x:v>26240</x:v>
      </x:c>
      <x:c r="D74" s="186" t="str">
        <x:v>VND/USD</x:v>
      </x:c>
      <x:c r="E74" s="186" t="str">
        <x:v>Monthly</x:v>
      </x:c>
      <x:c r="F74" s="186" t="str">
        <x:v>Illustrative manual input</x:v>
      </x:c>
      <x:c r="G74" s="186" t="str">
        <x:v>Replace with official source</x:v>
      </x:c>
      <x:c r="H74" s="186" t="str">
        <x:v>Strategy</x:v>
      </x:c>
      <x:c r="I74" s="201" t="str">
        <x:v>Template history</x:v>
      </x:c>
    </x:row>
    <x:row r="75">
      <x:c r="A75" s="412" t="n">
        <x:v>46234</x:v>
      </x:c>
      <x:c r="B75" s="190" t="str">
        <x:v>USD/VND</x:v>
      </x:c>
      <x:c r="C75" s="421" t="n">
        <x:v>26320</x:v>
      </x:c>
      <x:c r="D75" s="190" t="str">
        <x:v>VND/USD</x:v>
      </x:c>
      <x:c r="E75" s="190" t="str">
        <x:v>Monthly</x:v>
      </x:c>
      <x:c r="F75" s="190" t="str">
        <x:v>Illustrative manual input</x:v>
      </x:c>
      <x:c r="G75" s="190" t="str">
        <x:v>Replace with official source</x:v>
      </x:c>
      <x:c r="H75" s="190" t="str">
        <x:v>Strategy</x:v>
      </x:c>
      <x:c r="I75" s="205" t="str">
        <x:v>Template history</x:v>
      </x:c>
    </x:row>
  </x:sheetData>
  <x:mergeCells>
    <x:mergeCell ref="A1:I1"/>
    <x:mergeCell ref="A2:I2"/>
  </x:mergeCells>
  <x:pageMargins left="0.7" right="0.7" top="0.75" bottom="0.75" header="0.3" footer="0.3"/>
</x:worksheet>
</file>