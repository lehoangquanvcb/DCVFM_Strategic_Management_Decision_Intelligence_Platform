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5d46bb3c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file" sheetId="2" r:id="R8682c9dbda1145df"/>
    <x:sheet xmlns:r="http://schemas.openxmlformats.org/officeDocument/2006/relationships" name="Fund_Master" sheetId="3" r:id="Ra30db80326404360"/>
    <x:sheet xmlns:r="http://schemas.openxmlformats.org/officeDocument/2006/relationships" name="AUM" sheetId="4" r:id="R971dfe9251d14c40"/>
    <x:sheet xmlns:r="http://schemas.openxmlformats.org/officeDocument/2006/relationships" name="Fund_Flows" sheetId="5" r:id="Reb23a00b8d0f4430"/>
    <x:sheet xmlns:r="http://schemas.openxmlformats.org/officeDocument/2006/relationships" name="NAV_History" sheetId="6" r:id="Rd9e1cf4c51684b54"/>
    <x:sheet xmlns:r="http://schemas.openxmlformats.org/officeDocument/2006/relationships" name="Portfolio" sheetId="7" r:id="R1668d86634df4b82"/>
    <x:sheet xmlns:r="http://schemas.openxmlformats.org/officeDocument/2006/relationships" name="Financials" sheetId="8" r:id="Rd8ca61ee9db84bf1"/>
    <x:sheet xmlns:r="http://schemas.openxmlformats.org/officeDocument/2006/relationships" name="Shareholders" sheetId="9" r:id="R45301ee214b94754"/>
    <x:sheet xmlns:r="http://schemas.openxmlformats.org/officeDocument/2006/relationships" name="Board_Events" sheetId="10" r:id="Rb2eb18ad67244a26"/>
    <x:sheet xmlns:r="http://schemas.openxmlformats.org/officeDocument/2006/relationships" name="Competitors" sheetId="12" r:id="Rf1b8ae8b58f24b11"/>
    <x:sheet xmlns:r="http://schemas.openxmlformats.org/officeDocument/2006/relationships" name="Risk_Indicators" sheetId="13" r:id="R6edd22b82b8e4c5b"/>
    <x:sheet xmlns:r="http://schemas.openxmlformats.org/officeDocument/2006/relationships" name="Scenarios" sheetId="14" r:id="R823ce201c5b84d35"/>
    <x:sheet xmlns:r="http://schemas.openxmlformats.org/officeDocument/2006/relationships" name="Advisory_Rules" sheetId="15" r:id="R637fba46105c4fed"/>
    <x:sheet xmlns:r="http://schemas.openxmlformats.org/officeDocument/2006/relationships" name="Market_Config" sheetId="18" r:id="R078ca1f657d84408"/>
    <x:sheet xmlns:r="http://schemas.openxmlformats.org/officeDocument/2006/relationships" name="Attribution_Input" sheetId="19" r:id="Ra5720b0badbd4795"/>
    <x:sheet xmlns:r="http://schemas.openxmlformats.org/officeDocument/2006/relationships" name="Checks" sheetId="23" r:id="Rf8f864cf24e048bc"/>
    <x:sheet xmlns:r="http://schemas.openxmlformats.org/officeDocument/2006/relationships" name="Benchmark_History" sheetId="25" r:id="R59d0f14a0587446b"/>
    <x:sheet xmlns:r="http://schemas.openxmlformats.org/officeDocument/2006/relationships" name="Data_Quality" sheetId="26" r:id="R5355454e9f7d4066"/>
    <x:sheet xmlns:r="http://schemas.openxmlformats.org/officeDocument/2006/relationships" name="Financial_Drivers" sheetId="27" r:id="Rd1cad1ea63f14ffc"/>
    <x:sheet xmlns:r="http://schemas.openxmlformats.org/officeDocument/2006/relationships" name="Action_Tracker" sheetId="29" r:id="R73de27e1154d4a93"/>
    <x:sheet xmlns:r="http://schemas.openxmlformats.org/officeDocument/2006/relationships" name="Product_Profitability" sheetId="31" r:id="R7c03c7e4980c453a"/>
    <x:sheet xmlns:r="http://schemas.openxmlformats.org/officeDocument/2006/relationships" name="Distribution_Channels" sheetId="32" r:id="Re293f91c9f74436e"/>
    <x:sheet xmlns:r="http://schemas.openxmlformats.org/officeDocument/2006/relationships" name="Investor_Behaviour" sheetId="33" r:id="R81b5e64770a94666"/>
    <x:sheet xmlns:r="http://schemas.openxmlformats.org/officeDocument/2006/relationships" name="Regulatory_Compliance" sheetId="34" r:id="Rc025ae63726f454e"/>
    <x:sheet xmlns:r="http://schemas.openxmlformats.org/officeDocument/2006/relationships" name="Product_Strategy" sheetId="35" r:id="R0886913072c84d37"/>
    <x:sheet xmlns:r="http://schemas.openxmlformats.org/officeDocument/2006/relationships" name="Business_Plan_KPI" sheetId="36" r:id="Rccad091939084937"/>
    <x:sheet xmlns:r="http://schemas.openxmlformats.org/officeDocument/2006/relationships" name="Decision_Tracker" sheetId="38" r:id="Rb1014974e00e48c6"/>
    <x:sheet xmlns:r="http://schemas.openxmlformats.org/officeDocument/2006/relationships" name="Macro_Indicators" sheetId="39" r:id="Rcbcc08442dcb44a3"/>
    <x:sheet xmlns:r="http://schemas.openxmlformats.org/officeDocument/2006/relationships" name="Operating_KPI" sheetId="40" r:id="R2497ed75ca90494d"/>
    <x:sheet xmlns:r="http://schemas.openxmlformats.org/officeDocument/2006/relationships" name="Read_Me" sheetId="41" r:id="Rf2998f78a5ff4934"/>
    <x:sheet xmlns:r="http://schemas.openxmlformats.org/officeDocument/2006/relationships" name="Assumptions" sheetId="42" r:id="Rb81cd520f0e64f60"/>
    <x:sheet xmlns:r="http://schemas.openxmlformats.org/officeDocument/2006/relationships" name="News_Events" sheetId="43" r:id="R50dad5d169df4f93"/>
    <x:sheet xmlns:r="http://schemas.openxmlformats.org/officeDocument/2006/relationships" name="Sources" sheetId="44" r:id="R57eb887a947f4fb2"/>
    <x:sheet xmlns:r="http://schemas.openxmlformats.org/officeDocument/2006/relationships" name="Change_Log" sheetId="45" r:id="Rfe3bb459c5e9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0.0%"/>
    <x:numFmt numFmtId="202" formatCode="0.00%"/>
    <x:numFmt numFmtId="203" formatCode="0.0"/>
    <x:numFmt numFmtId="204" formatCode="0.00"/>
    <x:numFmt numFmtId="205" formatCode="#,##0.00"/>
    <x:numFmt numFmtId="206" formatCode="yyyy-mm-dd"/>
    <x:numFmt numFmtId="207" formatCode="#,##0.0;[Red](#,##0.0);-"/>
    <x:numFmt numFmtId="208" formatCode="0%"/>
    <x:numFmt numFmtId="209" formatCode="#,##0.0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1"/>
      <x:color rgb="FF1F6E8C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 Display"/>
    </x:font>
    <x:font>
      <x:b/>
      <x:sz val="10"/>
      <x:color rgb="FFFFFFFF"/>
      <x:name val="Aptos"/>
    </x:font>
    <x:font>
      <x:sz val="10"/>
      <x:color rgb="FF0000FF"/>
      <x:name val="Aptos"/>
    </x:font>
    <x:font>
      <x:i/>
      <x:sz val="9"/>
      <x:color rgb="FF44546A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A5E"/>
      </x:patternFill>
    </x:fill>
    <x:fill>
      <x:patternFill patternType="solid">
        <x:fgColor rgb="FF0B1628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  <x:fill>
      <x:patternFill patternType="solid">
        <x:fgColor rgb="FF081426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FFF2CC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</x:fills>
  <x:borders count="14">
    <x:border/>
    <x:border/>
    <x:border>
      <x:left style="medium">
        <x:color rgb="FF0B1628"/>
      </x:left>
      <x:top style="medium">
        <x:color rgb="FF0B1628"/>
      </x:top>
      <x:bottom style="medium">
        <x:color rgb="FF0B1628"/>
      </x:bottom>
    </x:border>
    <x:border>
      <x:right style="medium">
        <x:color rgb="FF0B1628"/>
      </x:right>
      <x:top style="medium">
        <x:color rgb="FF0B1628"/>
      </x:top>
      <x:bottom style="medium">
        <x:color rgb="FF0B1628"/>
      </x:bottom>
    </x:border>
    <x:border>
      <x:top style="medium">
        <x:color rgb="FF0B1628"/>
      </x:top>
      <x:bottom style="medium">
        <x:color rgb="FF0B162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wrapText="0"/>
    </x:xf>
    <x:xf numFmtId="0" fontId="6" fillId="6" borderId="0" xfId="0" applyNumberFormat="1" applyFont="1" applyFill="1" applyBorder="1" applyAlignment="1">
      <x:alignment horizontal="center" vertical="center" wrapText="0"/>
    </x:xf>
    <x:xf numFmtId="0" fontId="7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0"/>
    </x:xf>
    <x:xf numFmtId="0" fontId="9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202" fontId="7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2" fontId="10" fillId="0" borderId="0" xfId="0" applyNumberFormat="1" applyFont="1" applyFill="1" applyBorder="1"/>
    <x:xf numFmtId="207" fontId="7" fillId="0" borderId="0" xfId="0" applyNumberFormat="1" applyFont="1" applyFill="1" applyBorder="1"/>
    <x:xf numFmtId="207" fontId="10" fillId="0" borderId="0" xfId="0" applyNumberFormat="1" applyFont="1" applyFill="1" applyBorder="1"/>
    <x:xf numFmtId="208" fontId="7" fillId="0" borderId="0" xfId="0" applyNumberFormat="1" applyFont="1" applyFill="1" applyBorder="1"/>
    <x:xf numFmtId="208" fontId="1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0" fontId="0" fillId="13" borderId="6" xfId="0" applyNumberFormat="1" applyFont="1" applyFill="1" applyBorder="1"/>
    <x:xf numFmtId="0" fontId="0" fillId="13" borderId="9" xfId="0" applyNumberFormat="1" applyFont="1" applyFill="1" applyBorder="1"/>
    <x:xf numFmtId="0" fontId="0" fillId="13" borderId="12" xfId="0" applyNumberFormat="1" applyFont="1" applyFill="1" applyBorder="1"/>
    <x:xf numFmtId="202" fontId="0" fillId="13" borderId="6" xfId="0" applyNumberFormat="1" applyFont="1" applyFill="1" applyBorder="1"/>
    <x:xf numFmtId="202" fontId="0" fillId="13" borderId="9" xfId="0" applyNumberFormat="1" applyFont="1" applyFill="1" applyBorder="1"/>
    <x:xf numFmtId="202" fontId="0" fillId="13" borderId="12" xfId="0" applyNumberFormat="1" applyFont="1" applyFill="1" applyBorder="1"/>
    <x:xf numFmtId="206" fontId="0" fillId="0" borderId="6" xfId="0" applyNumberFormat="1" applyFont="1" applyFill="1" applyBorder="1"/>
    <x:xf numFmtId="206" fontId="0" fillId="0" borderId="9" xfId="0" applyNumberFormat="1" applyFont="1" applyFill="1" applyBorder="1"/>
    <x:xf numFmtId="206" fontId="0" fillId="0" borderId="12" xfId="0" applyNumberFormat="1" applyFont="1" applyFill="1" applyBorder="1"/>
    <x:xf numFmtId="208" fontId="0" fillId="0" borderId="6" xfId="0" applyNumberFormat="1" applyFont="1" applyFill="1" applyBorder="1"/>
    <x:xf numFmtId="208" fontId="0" fillId="0" borderId="9" xfId="0" applyNumberFormat="1" applyFont="1" applyFill="1" applyBorder="1"/>
    <x:xf numFmtId="208" fontId="0" fillId="0" borderId="12" xfId="0" applyNumberFormat="1" applyFont="1" applyFill="1" applyBorder="1"/>
    <x:xf numFmtId="209" fontId="0" fillId="0" borderId="6" xfId="0" applyNumberFormat="1" applyFont="1" applyFill="1" applyBorder="1"/>
    <x:xf numFmtId="209" fontId="0" fillId="0" borderId="9" xfId="0" applyNumberFormat="1" applyFont="1" applyFill="1" applyBorder="1"/>
    <x:xf numFmtId="209" fontId="0" fillId="0" borderId="12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206" fontId="0" fillId="0" borderId="5" xfId="0" applyNumberFormat="1" applyFont="1" applyFill="1" applyBorder="1"/>
    <x:xf numFmtId="206" fontId="0" fillId="0" borderId="8" xfId="0" applyNumberFormat="1" applyFont="1" applyFill="1" applyBorder="1"/>
    <x:xf numFmtId="206" fontId="0" fillId="0" borderId="11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90d70bed44078" /><Relationship Type="http://schemas.openxmlformats.org/officeDocument/2006/relationships/theme" Target="/xl/theme/theme1.xml" Id="R6dc89034b1804d3a" /><Relationship Type="http://schemas.openxmlformats.org/officeDocument/2006/relationships/sharedStrings" Target="/xl/sharedStrings.xml" Id="R9f819c3c1801476c" /><Relationship Type="http://schemas.openxmlformats.org/officeDocument/2006/relationships/worksheet" Target="/xl/worksheets/sheet1.xml" Id="R8682c9dbda1145df" /><Relationship Type="http://schemas.openxmlformats.org/officeDocument/2006/relationships/worksheet" Target="/xl/worksheets/sheet2.xml" Id="Ra30db80326404360" /><Relationship Type="http://schemas.openxmlformats.org/officeDocument/2006/relationships/worksheet" Target="/xl/worksheets/sheet3.xml" Id="R971dfe9251d14c40" /><Relationship Type="http://schemas.openxmlformats.org/officeDocument/2006/relationships/worksheet" Target="/xl/worksheets/sheet4.xml" Id="Reb23a00b8d0f4430" /><Relationship Type="http://schemas.openxmlformats.org/officeDocument/2006/relationships/worksheet" Target="/xl/worksheets/sheet5.xml" Id="Rd9e1cf4c51684b54" /><Relationship Type="http://schemas.openxmlformats.org/officeDocument/2006/relationships/worksheet" Target="/xl/worksheets/sheet6.xml" Id="R1668d86634df4b82" /><Relationship Type="http://schemas.openxmlformats.org/officeDocument/2006/relationships/worksheet" Target="/xl/worksheets/sheet7.xml" Id="Rd8ca61ee9db84bf1" /><Relationship Type="http://schemas.openxmlformats.org/officeDocument/2006/relationships/worksheet" Target="/xl/worksheets/sheet8.xml" Id="R45301ee214b94754" /><Relationship Type="http://schemas.openxmlformats.org/officeDocument/2006/relationships/worksheet" Target="/xl/worksheets/sheet9.xml" Id="Rb2eb18ad67244a26" /><Relationship Type="http://schemas.openxmlformats.org/officeDocument/2006/relationships/worksheet" Target="/xl/worksheets/sheet10.xml" Id="Rf1b8ae8b58f24b11" /><Relationship Type="http://schemas.openxmlformats.org/officeDocument/2006/relationships/worksheet" Target="/xl/worksheets/sheet11.xml" Id="R6edd22b82b8e4c5b" /><Relationship Type="http://schemas.openxmlformats.org/officeDocument/2006/relationships/worksheet" Target="/xl/worksheets/sheet12.xml" Id="R823ce201c5b84d35" /><Relationship Type="http://schemas.openxmlformats.org/officeDocument/2006/relationships/worksheet" Target="/xl/worksheets/sheet13.xml" Id="R637fba46105c4fed" /><Relationship Type="http://schemas.openxmlformats.org/officeDocument/2006/relationships/worksheet" Target="/xl/worksheets/sheet14.xml" Id="R078ca1f657d84408" /><Relationship Type="http://schemas.openxmlformats.org/officeDocument/2006/relationships/worksheet" Target="/xl/worksheets/sheet15.xml" Id="Ra5720b0badbd4795" /><Relationship Type="http://schemas.openxmlformats.org/officeDocument/2006/relationships/worksheet" Target="/xl/worksheets/sheet16.xml" Id="Rf8f864cf24e048bc" /><Relationship Type="http://schemas.openxmlformats.org/officeDocument/2006/relationships/worksheet" Target="/xl/worksheets/sheet17.xml" Id="R59d0f14a0587446b" /><Relationship Type="http://schemas.openxmlformats.org/officeDocument/2006/relationships/worksheet" Target="/xl/worksheets/sheet18.xml" Id="R5355454e9f7d4066" /><Relationship Type="http://schemas.openxmlformats.org/officeDocument/2006/relationships/worksheet" Target="/xl/worksheets/sheet19.xml" Id="Rd1cad1ea63f14ffc" /><Relationship Type="http://schemas.openxmlformats.org/officeDocument/2006/relationships/worksheet" Target="/xl/worksheets/sheet20.xml" Id="R73de27e1154d4a93" /><Relationship Type="http://schemas.openxmlformats.org/officeDocument/2006/relationships/worksheet" Target="/xl/worksheets/sheet21.xml" Id="R7c03c7e4980c453a" /><Relationship Type="http://schemas.openxmlformats.org/officeDocument/2006/relationships/worksheet" Target="/xl/worksheets/sheet22.xml" Id="Re293f91c9f74436e" /><Relationship Type="http://schemas.openxmlformats.org/officeDocument/2006/relationships/worksheet" Target="/xl/worksheets/sheet23.xml" Id="R81b5e64770a94666" /><Relationship Type="http://schemas.openxmlformats.org/officeDocument/2006/relationships/worksheet" Target="/xl/worksheets/sheet24.xml" Id="Rc025ae63726f454e" /><Relationship Type="http://schemas.openxmlformats.org/officeDocument/2006/relationships/worksheet" Target="/xl/worksheets/sheet25.xml" Id="R0886913072c84d37" /><Relationship Type="http://schemas.openxmlformats.org/officeDocument/2006/relationships/worksheet" Target="/xl/worksheets/sheet26.xml" Id="Rccad091939084937" /><Relationship Type="http://schemas.openxmlformats.org/officeDocument/2006/relationships/worksheet" Target="/xl/worksheets/sheet27.xml" Id="Rb1014974e00e48c6" /><Relationship Type="http://schemas.openxmlformats.org/officeDocument/2006/relationships/worksheet" Target="/xl/worksheets/sheet28.xml" Id="Rcbcc08442dcb44a3" /><Relationship Type="http://schemas.openxmlformats.org/officeDocument/2006/relationships/worksheet" Target="/xl/worksheets/sheet29.xml" Id="R2497ed75ca90494d" /><Relationship Type="http://schemas.openxmlformats.org/officeDocument/2006/relationships/worksheet" Target="/xl/worksheets/sheet30.xml" Id="Rf2998f78a5ff4934" /><Relationship Type="http://schemas.openxmlformats.org/officeDocument/2006/relationships/worksheet" Target="/xl/worksheets/sheet31.xml" Id="Rb81cd520f0e64f60" /><Relationship Type="http://schemas.openxmlformats.org/officeDocument/2006/relationships/worksheet" Target="/xl/worksheets/sheet32.xml" Id="R50dad5d169df4f93" /><Relationship Type="http://schemas.openxmlformats.org/officeDocument/2006/relationships/worksheet" Target="/xl/worksheets/sheet33.xml" Id="R57eb887a947f4fb2" /><Relationship Type="http://schemas.openxmlformats.org/officeDocument/2006/relationships/worksheet" Target="/xl/worksheets/sheet34.xml" Id="Rfe3bb459c5e9436e" /><Relationship Type="http://schemas.microsoft.com/office/2017/10/relationships/person" Target="/xl/persons/person.xml" Id="R32068e6772014625" /></Relationships>
</file>

<file path=xl/persons/person.xml><?xml version="1.0" encoding="utf-8"?>
<xltc:personList xmlns:xltc="http://schemas.microsoft.com/office/spreadsheetml/2018/threadedcomments">
  <xltc:person displayName="Le Hoang Quan" id="{104282A0-EE90-4F63-8096-9E8D24E6A3E2}"/>
  <xltc:person displayName="Le Hoang Quan" id="{FCCFB37F-00C7-4387-AFCB-2B15B3F8D591}"/>
</xltc:personList>
</file>

<file path=xl/tables/table1.xml><?xml version="1.0" encoding="utf-8"?>
<x:table xmlns:x="http://schemas.openxmlformats.org/spreadsheetml/2006/main" id="1" name="MarketConfigTable" displayName="MarketConfigTable" ref="A1:E9" headerRowCount="1" totalsRowCount="0" totalsRowShown="0">
  <x:tableColumns count="5">
    <x:tableColumn id="1" name="Parameter"/>
    <x:tableColumn id="2" name="Value"/>
    <x:tableColumn id="3" name="Data_Type"/>
    <x:tableColumn id="4" name="Description"/>
    <x:tableColumn id="5" name="Edi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ionInputTable" displayName="AttributionInputTable" ref="A1:K9" headerRowCount="1" totalsRowCount="0" totalsRowShown="0">
  <x:tableColumns count="11">
    <x:tableColumn id="1" name="Date"/>
    <x:tableColumn id="2" name="Fund_Code"/>
    <x:tableColumn id="3" name="Sector"/>
    <x:tableColumn id="4" name="Ticker"/>
    <x:tableColumn id="5" name="Fund_Weight_Pct"/>
    <x:tableColumn id="6" name="Benchmark_Weight_Pct"/>
    <x:tableColumn id="7" name="Security_Return_Pct"/>
    <x:tableColumn id="8" name="Benchmark_Return_Pct"/>
    <x:tableColumn id="9" name="Contribution_Pct"/>
    <x:tableColumn id="10" name="Source_ID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ChecksTable" displayName="ChecksTable" ref="A1:H7" headerRowCount="1" totalsRowCount="0" totalsRowShown="0">
  <x:tableColumns count="8">
    <x:tableColumn id="1" name="Check_ID"/>
    <x:tableColumn id="2" name="Check"/>
    <x:tableColumn id="3" name="Actual"/>
    <x:tableColumn id="4" name="Expected"/>
    <x:tableColumn id="5" name="Difference"/>
    <x:tableColumn id="6" name="Tolerance"/>
    <x:tableColumn id="7" name="Status"/>
    <x:tableColumn id="8" name="Fix_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BenchmarkHistoryTable" displayName="BenchmarkHistoryTable" ref="A1:E77" headerRowCount="1" totalsRowCount="0" totalsRowShown="0">
  <x:tableColumns count="5">
    <x:tableColumn id="1" name="Date"/>
    <x:tableColumn id="2" name="Benchmark"/>
    <x:tableColumn id="3" name="Index_Level"/>
    <x:tableColumn id="4" name="Source_ID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DataQualityTable" displayName="DataQualityTable" ref="A1:N9" headerRowCount="1" totalsRowCount="0" totalsRowShown="0">
  <x:tableColumns count="14">
    <x:tableColumn id="1" name="Data_Domain"/>
    <x:tableColumn id="2" name="Required_Fields"/>
    <x:tableColumn id="3" name="Populated_Fields"/>
    <x:tableColumn id="4" name="Verified_Fields"/>
    <x:tableColumn id="5" name="Source_Type"/>
    <x:tableColumn id="6" name="Source_Risk_1_3"/>
    <x:tableColumn id="7" name="Last_Update"/>
    <x:tableColumn id="8" name="Freshness_Target_Days"/>
    <x:tableColumn id="9" name="Completeness_Weight"/>
    <x:tableColumn id="10" name="Verification_Weight"/>
    <x:tableColumn id="11" name="Freshness_Weight"/>
    <x:tableColumn id="12" name="Quality_Score"/>
    <x:tableColumn id="13" name="Owner"/>
    <x:tableColumn id="14" name="Next_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FinancialDriversTable" displayName="FinancialDriversTable" ref="A1:P6" headerRowCount="1" totalsRowCount="0" totalsRowShown="0">
  <x:tableColumns count="16">
    <x:tableColumn id="1" name="Year"/>
    <x:tableColumn id="2" name="Period_Type"/>
    <x:tableColumn id="3" name="Beginning_AUM_VND_bn"/>
    <x:tableColumn id="4" name="Net_Flow_VND_bn"/>
    <x:tableColumn id="5" name="Market_Return_Pct"/>
    <x:tableColumn id="6" name="Ending_AUM_VND_bn"/>
    <x:tableColumn id="7" name="Average_AUM_VND_bn"/>
    <x:tableColumn id="8" name="Fee_Yield_Pct"/>
    <x:tableColumn id="9" name="Revenue_VND_bn"/>
    <x:tableColumn id="10" name="Personnel_VND_bn"/>
    <x:tableColumn id="11" name="Other_Opex_VND_bn"/>
    <x:tableColumn id="12" name="PBT_VND_bn"/>
    <x:tableColumn id="13" name="Effective_Tax_Pct"/>
    <x:tableColumn id="14" name="NPAT_VND_bn"/>
    <x:tableColumn id="15" name="Source_ID"/>
    <x:tableColumn id="1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" name="ActionTrackerTable" displayName="ActionTrackerTable" ref="A1:M6" headerRowCount="1" totalsRowCount="0" totalsRowShown="0">
  <x:tableColumns count="13">
    <x:tableColumn id="1" name="Action_ID"/>
    <x:tableColumn id="2" name="Priority"/>
    <x:tableColumn id="3" name="Domain"/>
    <x:tableColumn id="4" name="Recommendation"/>
    <x:tableColumn id="5" name="Owner"/>
    <x:tableColumn id="6" name="Start_Date"/>
    <x:tableColumn id="7" name="Due_Date"/>
    <x:tableColumn id="8" name="Status"/>
    <x:tableColumn id="9" name="Progress_Pct"/>
    <x:tableColumn id="10" name="Expected_Impact"/>
    <x:tableColumn id="11" name="Evidence_or_Output"/>
    <x:tableColumn id="12" name="Last_Update"/>
    <x:tableColumn id="13" name="Escalat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c566c283f671413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cbc700802918457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40240b974ded47d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fd7c170a69b249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edadb58687d947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9835031f2c76464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745b070ffa77486c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.439998626708984" hidden="0" customWidth="1"/>
    <x:col min="3" max="3" width="8.5600004196167" hidden="0" customWidth="1"/>
    <x:col min="4" max="4" width="8.5600004196167" hidden="0" customWidth="1"/>
  </x:cols>
  <x:sheetData>
    <x:row r="1">
      <x:c r="A1" s="6" t="str">
        <x:v>Field</x:v>
      </x:c>
      <x:c r="B1" s="6" t="str">
        <x:v>Value</x:v>
      </x:c>
      <x:c r="C1" s="6" t="str">
        <x:v>Source_ID</x:v>
      </x:c>
      <x:c r="D1" s="6" t="str">
        <x:v>Status</x:v>
      </x:c>
    </x:row>
    <x:row r="2">
      <x:c r="A2" t="str">
        <x:v>Company_Name</x:v>
      </x:c>
      <x:c r="B2" t="str">
        <x:v>Dragon Capital Vietnam Fund Management JSC</x:v>
      </x:c>
      <x:c r="C2" t="str">
        <x:v>S001</x:v>
      </x:c>
      <x:c r="D2" t="str">
        <x:v>Public</x:v>
      </x:c>
    </x:row>
    <x:row r="3">
      <x:c r="A3" t="str">
        <x:v>Ticker</x:v>
      </x:c>
      <x:c r="B3" t="str">
        <x:v>DCV</x:v>
      </x:c>
      <x:c r="C3" t="str">
        <x:v>S001</x:v>
      </x:c>
      <x:c r="D3" t="str">
        <x:v>Public</x:v>
      </x:c>
    </x:row>
    <x:row r="4">
      <x:c r="A4" t="str">
        <x:v>Market</x:v>
      </x:c>
      <x:c r="B4" t="str">
        <x:v>UPCoM</x:v>
      </x:c>
      <x:c r="C4" t="str">
        <x:v>S001</x:v>
      </x:c>
      <x:c r="D4" t="str">
        <x:v>Public</x:v>
      </x:c>
    </x:row>
    <x:row r="5">
      <x:c r="A5" t="str">
        <x:v>Charter_Capital_VND_bn</x:v>
      </x:c>
      <x:c r="B5" t="n">
        <x:v>312</x:v>
      </x:c>
      <x:c r="C5" t="str">
        <x:v>S001</x:v>
      </x:c>
      <x:c r="D5" t="str">
        <x:v>Public</x:v>
      </x:c>
    </x:row>
    <x:row r="6">
      <x:c r="A6" t="str">
        <x:v>Shares_mn</x:v>
      </x:c>
      <x:c r="B6" t="n">
        <x:v>31.2</x:v>
      </x:c>
      <x:c r="C6" t="str">
        <x:v>S001</x:v>
      </x:c>
      <x:c r="D6" t="str">
        <x:v>Public</x:v>
      </x:c>
    </x:row>
    <x:row r="7">
      <x:c r="A7" t="str">
        <x:v>AUM_Dec2025_VND_bn</x:v>
      </x:c>
      <x:c r="B7" t="n">
        <x:v>140000</x:v>
      </x:c>
      <x:c r="C7" t="str">
        <x:v>S001</x:v>
      </x:c>
      <x:c r="D7" t="str">
        <x:v>Public</x:v>
      </x:c>
    </x:row>
    <x:row r="8">
      <x:c r="A8" t="str">
        <x:v>Platform_As_of</x:v>
      </x:c>
      <x:c r="B8" t="str">
        <x:v>2026-08-04</x:v>
      </x:c>
      <x:c r="C8" t="str">
        <x:v>S004</x:v>
      </x:c>
      <x:c r="D8" t="str">
        <x:v>Model date</x:v>
      </x:c>
    </x:row>
    <x:row r="9">
      <x:c r="A9" t="str">
        <x:v>Model_Version</x:v>
      </x:c>
      <x:c r="B9" t="str">
        <x:v>V4.2</x:v>
      </x:c>
      <x:c r="C9" t="str">
        <x:v>S004</x:v>
      </x:c>
      <x:c r="D9" t="str">
        <x:v>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2" hidden="0" customWidth="1"/>
    <x:col min="8" max="8" width="20" hidden="0" customWidth="1"/>
  </x:cols>
  <x:sheetData>
    <x:row r="1">
      <x:c r="A1" s="6" t="str">
        <x:v>Fund_Code</x:v>
      </x:c>
      <x:c r="B1" s="6" t="str">
        <x:v>Fund_Name</x:v>
      </x:c>
      <x:c r="C1" s="6" t="str">
        <x:v>Strategy</x:v>
      </x:c>
      <x:c r="D1" s="6" t="str">
        <x:v>Benchmark</x:v>
      </x:c>
      <x:c r="E1" s="6" t="str">
        <x:v>Mgmt_Fee_Pct</x:v>
      </x:c>
      <x:c r="F1" s="6" t="str">
        <x:v>Tracking_Target_Pct</x:v>
      </x:c>
      <x:c r="G1" s="6" t="str">
        <x:v>Risk_Level</x:v>
      </x:c>
      <x:c r="H1" s="6" t="str">
        <x:v>Status</x:v>
      </x:c>
    </x:row>
    <x:row r="2">
      <x:c r="A2" t="str">
        <x:v>DCDS</x:v>
      </x:c>
      <x:c r="B2" t="str">
        <x:v>DC Dynamic Securities Fund</x:v>
      </x:c>
      <x:c r="C2" t="str">
        <x:v>Active Equity</x:v>
      </x:c>
      <x:c r="D2" t="str">
        <x:v>VNINDEX</x:v>
      </x:c>
      <x:c r="E2" s="92" t="n">
        <x:v>0.018</x:v>
      </x:c>
      <x:c r="F2" s="92" t="n">
        <x:v>0.02</x:v>
      </x:c>
      <x:c r="G2" t="str">
        <x:v>High</x:v>
      </x:c>
      <x:c r="H2" t="str">
        <x:v>Public/Assumption</x:v>
      </x:c>
    </x:row>
    <x:row r="3">
      <x:c r="A3" t="str">
        <x:v>DCBF</x:v>
      </x:c>
      <x:c r="B3" t="str">
        <x:v>DC Bond Fund</x:v>
      </x:c>
      <x:c r="C3" t="str">
        <x:v>Fixed Income</x:v>
      </x:c>
      <x:c r="D3" t="str">
        <x:v>Deposit/Bond</x:v>
      </x:c>
      <x:c r="E3" s="92" t="n">
        <x:v>0.012</x:v>
      </x:c>
      <x:c r="F3" s="92" t="n">
        <x:v>0.005</x:v>
      </x:c>
      <x:c r="G3" t="str">
        <x:v>Low</x:v>
      </x:c>
      <x:c r="H3" t="str">
        <x:v>Public/Assumption</x:v>
      </x:c>
    </x:row>
    <x:row r="4">
      <x:c r="A4" t="str">
        <x:v>DCDE</x:v>
      </x:c>
      <x:c r="B4" t="str">
        <x:v>DC Dividend Equity Fund</x:v>
      </x:c>
      <x:c r="C4" t="str">
        <x:v>Dividend Equity</x:v>
      </x:c>
      <x:c r="D4" t="str">
        <x:v>VNINDEX</x:v>
      </x:c>
      <x:c r="E4" s="92" t="n">
        <x:v>0.016</x:v>
      </x:c>
      <x:c r="F4" s="92" t="n">
        <x:v>0.015</x:v>
      </x:c>
      <x:c r="G4" t="str">
        <x:v>Medium</x:v>
      </x:c>
      <x:c r="H4" t="str">
        <x:v>Public/Assumption</x:v>
      </x:c>
    </x:row>
    <x:row r="5">
      <x:c r="A5" t="str">
        <x:v>E1VFVN30</x:v>
      </x:c>
      <x:c r="B5" t="str">
        <x:v>DCVFM VN30 ETF</x:v>
      </x:c>
      <x:c r="C5" t="str">
        <x:v>ETF</x:v>
      </x:c>
      <x:c r="D5" t="str">
        <x:v>VN30</x:v>
      </x:c>
      <x:c r="E5" s="92" t="n">
        <x:v>0.0065</x:v>
      </x:c>
      <x:c r="F5" s="92" t="n">
        <x:v>0.003</x:v>
      </x:c>
      <x:c r="G5" t="str">
        <x:v>Medium</x:v>
      </x:c>
      <x:c r="H5" t="str">
        <x:v>Public/Assumption</x:v>
      </x:c>
    </x:row>
    <x:row r="6">
      <x:c r="A6" t="str">
        <x:v>FUEVFVND</x:v>
      </x:c>
      <x:c r="B6" t="str">
        <x:v>DCVFM VNDiamond ETF</x:v>
      </x:c>
      <x:c r="C6" t="str">
        <x:v>ETF</x:v>
      </x:c>
      <x:c r="D6" t="str">
        <x:v>VN Diamond</x:v>
      </x:c>
      <x:c r="E6" s="92" t="n">
        <x:v>0.008</x:v>
      </x:c>
      <x:c r="F6" s="92" t="n">
        <x:v>0.003</x:v>
      </x:c>
      <x:c r="G6" t="str">
        <x:v>Medium</x:v>
      </x:c>
      <x:c r="H6" t="str">
        <x:v>Public/Assumption</x:v>
      </x:c>
    </x:row>
    <x:row r="7">
      <x:c r="A7" t="str">
        <x:v>VEF_LOCAL</x:v>
      </x:c>
      <x:c r="B7" t="str">
        <x:v>Vietnam Equity Strategy - Local View</x:v>
      </x:c>
      <x:c r="C7" t="str">
        <x:v>Institutional Equity</x:v>
      </x:c>
      <x:c r="D7" t="str">
        <x:v>VNINDEX</x:v>
      </x:c>
      <x:c r="E7" s="92" t="n">
        <x:v>0.013</x:v>
      </x:c>
      <x:c r="F7" s="92" t="n">
        <x:v>0.01</x:v>
      </x:c>
      <x:c r="G7" t="str">
        <x:v>High</x:v>
      </x:c>
      <x:c r="H7" t="str">
        <x:v>Assumption</x:v>
      </x:c>
    </x:row>
    <x:row r="8">
      <x:c r="E8" s="92"/>
      <x:c r="F8" s="92"/>
    </x:row>
    <x:row r="9">
      <x:c r="E9" s="92"/>
      <x:c r="F9" s="92"/>
    </x:row>
    <x:row r="10">
      <x:c r="E10" s="92"/>
      <x:c r="F10" s="92"/>
    </x:row>
    <x:row r="11">
      <x:c r="E11" s="92"/>
      <x:c r="F11" s="92"/>
    </x:row>
    <x:row r="12">
      <x:c r="E12" s="92"/>
      <x:c r="F12" s="92"/>
    </x:row>
    <x:row r="13">
      <x:c r="E13" s="92"/>
      <x:c r="F13" s="92"/>
    </x:row>
    <x:row r="14">
      <x:c r="E14" s="92"/>
      <x:c r="F14" s="92"/>
    </x:row>
    <x:row r="15">
      <x:c r="E15" s="92"/>
      <x:c r="F15" s="92"/>
    </x:row>
    <x:row r="16">
      <x:c r="E16" s="92"/>
      <x:c r="F16" s="92"/>
    </x:row>
    <x:row r="17">
      <x:c r="E17" s="92"/>
      <x:c r="F17" s="92"/>
    </x:row>
    <x:row r="18">
      <x:c r="E18" s="92"/>
      <x:c r="F18" s="92"/>
    </x:row>
    <x:row r="19">
      <x:c r="E19" s="92"/>
      <x:c r="F19" s="92"/>
    </x:row>
    <x:row r="20">
      <x:c r="E20" s="92"/>
      <x:c r="F20" s="92"/>
    </x:row>
    <x:row r="21">
      <x:c r="E21" s="92"/>
      <x:c r="F21" s="92"/>
    </x:row>
    <x:row r="22">
      <x:c r="E22" s="92"/>
      <x:c r="F22" s="92"/>
    </x:row>
    <x:row r="23">
      <x:c r="E23" s="92"/>
      <x:c r="F23" s="92"/>
    </x:row>
    <x:row r="24">
      <x:c r="E24" s="92"/>
      <x:c r="F24" s="92"/>
    </x:row>
    <x:row r="25">
      <x:c r="E25" s="92"/>
      <x:c r="F25" s="92"/>
    </x:row>
    <x:row r="26">
      <x:c r="E26" s="92"/>
      <x:c r="F26" s="92"/>
    </x:row>
    <x:row r="27">
      <x:c r="E27" s="92"/>
      <x:c r="F27" s="92"/>
    </x:row>
    <x:row r="28">
      <x:c r="E28" s="92"/>
      <x:c r="F28" s="92"/>
    </x:row>
    <x:row r="29">
      <x:c r="E29" s="92"/>
      <x:c r="F29" s="92"/>
    </x:row>
    <x:row r="30">
      <x:c r="E30" s="92"/>
      <x:c r="F30" s="92"/>
    </x:row>
    <x:row r="31">
      <x:c r="E31" s="92"/>
      <x:c r="F31" s="92"/>
    </x:row>
    <x:row r="32">
      <x:c r="E32" s="92"/>
      <x:c r="F32" s="92"/>
    </x:row>
    <x:row r="33">
      <x:c r="E33" s="92"/>
      <x:c r="F33" s="92"/>
    </x:row>
    <x:row r="34">
      <x:c r="E34" s="92"/>
      <x:c r="F34" s="92"/>
    </x:row>
    <x:row r="35">
      <x:c r="E35" s="92"/>
      <x:c r="F35" s="92"/>
    </x:row>
    <x:row r="36">
      <x:c r="E36" s="92"/>
      <x:c r="F36" s="92"/>
    </x:row>
    <x:row r="37">
      <x:c r="E37" s="92"/>
      <x:c r="F37" s="92"/>
    </x:row>
    <x:row r="38">
      <x:c r="E38" s="92"/>
      <x:c r="F38" s="92"/>
    </x:row>
    <x:row r="39">
      <x:c r="E39" s="92"/>
      <x:c r="F39" s="92"/>
    </x:row>
    <x:row r="40">
      <x:c r="E40" s="92"/>
      <x:c r="F40" s="92"/>
    </x:row>
    <x:row r="41">
      <x:c r="E41" s="92"/>
      <x:c r="F41" s="92"/>
    </x:row>
    <x:row r="42">
      <x:c r="E42" s="92"/>
      <x:c r="F42" s="92"/>
    </x:row>
    <x:row r="43">
      <x:c r="E43" s="92"/>
      <x:c r="F43" s="92"/>
    </x:row>
    <x:row r="44">
      <x:c r="E44" s="92"/>
      <x:c r="F44" s="92"/>
    </x:row>
    <x:row r="45">
      <x:c r="E45" s="92"/>
      <x:c r="F45" s="92"/>
    </x:row>
    <x:row r="46">
      <x:c r="E46" s="92"/>
      <x:c r="F46" s="92"/>
    </x:row>
    <x:row r="47">
      <x:c r="E47" s="92"/>
      <x:c r="F47" s="92"/>
    </x:row>
    <x:row r="48">
      <x:c r="E48" s="92"/>
      <x:c r="F48" s="92"/>
    </x:row>
    <x:row r="49">
      <x:c r="E49" s="92"/>
      <x:c r="F49" s="92"/>
    </x:row>
    <x:row r="50">
      <x:c r="E50" s="92"/>
      <x:c r="F50" s="92"/>
    </x:row>
    <x:row r="51">
      <x:c r="E51" s="92"/>
      <x:c r="F51" s="92"/>
    </x:row>
    <x:row r="52">
      <x:c r="E52" s="92"/>
      <x:c r="F52" s="92"/>
    </x:row>
    <x:row r="53">
      <x:c r="E53" s="92"/>
      <x:c r="F53" s="92"/>
    </x:row>
    <x:row r="54">
      <x:c r="E54" s="92"/>
      <x:c r="F54" s="92"/>
    </x:row>
    <x:row r="55">
      <x:c r="E55" s="92"/>
      <x:c r="F55" s="92"/>
    </x:row>
    <x:row r="56">
      <x:c r="E56" s="92"/>
      <x:c r="F56" s="92"/>
    </x:row>
    <x:row r="57">
      <x:c r="E57" s="92"/>
      <x:c r="F57" s="92"/>
    </x:row>
    <x:row r="58">
      <x:c r="E58" s="92"/>
      <x:c r="F58" s="92"/>
    </x:row>
    <x:row r="59">
      <x:c r="E59" s="92"/>
      <x:c r="F59" s="92"/>
    </x:row>
    <x:row r="60">
      <x:c r="E60" s="92"/>
      <x:c r="F60" s="92"/>
    </x:row>
    <x:row r="61">
      <x:c r="E61" s="92"/>
      <x:c r="F61" s="92"/>
    </x:row>
    <x:row r="62">
      <x:c r="E62" s="92"/>
      <x:c r="F62" s="92"/>
    </x:row>
    <x:row r="63">
      <x:c r="E63" s="92"/>
      <x:c r="F63" s="92"/>
    </x:row>
    <x:row r="64">
      <x:c r="E64" s="92"/>
      <x:c r="F64" s="92"/>
    </x:row>
    <x:row r="65">
      <x:c r="E65" s="92"/>
      <x:c r="F65" s="92"/>
    </x:row>
    <x:row r="66">
      <x:c r="E66" s="92"/>
      <x:c r="F66" s="92"/>
    </x:row>
    <x:row r="67">
      <x:c r="E67" s="92"/>
      <x:c r="F67" s="92"/>
    </x:row>
    <x:row r="68">
      <x:c r="E68" s="92"/>
      <x:c r="F68" s="92"/>
    </x:row>
    <x:row r="69">
      <x:c r="E69" s="92"/>
      <x:c r="F69" s="92"/>
    </x:row>
    <x:row r="70">
      <x:c r="E70" s="92"/>
      <x:c r="F70" s="92"/>
    </x:row>
    <x:row r="71">
      <x:c r="E71" s="92"/>
      <x:c r="F71" s="92"/>
    </x:row>
    <x:row r="72">
      <x:c r="E72" s="92"/>
      <x:c r="F72" s="92"/>
    </x:row>
    <x:row r="73">
      <x:c r="E73" s="92"/>
      <x:c r="F73" s="92"/>
    </x:row>
    <x:row r="74">
      <x:c r="E74" s="92"/>
      <x:c r="F74" s="92"/>
    </x:row>
    <x:row r="75">
      <x:c r="E75" s="92"/>
      <x:c r="F75" s="92"/>
    </x:row>
    <x:row r="76">
      <x:c r="E76" s="92"/>
      <x:c r="F76" s="92"/>
    </x:row>
    <x:row r="77">
      <x:c r="E77" s="92"/>
      <x:c r="F77" s="92"/>
    </x:row>
    <x:row r="78">
      <x:c r="E78" s="92"/>
      <x:c r="F78" s="92"/>
    </x:row>
    <x:row r="79">
      <x:c r="E79" s="92"/>
      <x:c r="F79" s="92"/>
    </x:row>
    <x:row r="80">
      <x:c r="E80" s="92"/>
      <x:c r="F80" s="92"/>
    </x:row>
    <x:row r="81">
      <x:c r="E81" s="92"/>
      <x:c r="F81" s="92"/>
    </x:row>
    <x:row r="82">
      <x:c r="E82" s="92"/>
      <x:c r="F82" s="92"/>
    </x:row>
    <x:row r="83">
      <x:c r="E83" s="92"/>
      <x:c r="F83" s="92"/>
    </x:row>
    <x:row r="84">
      <x:c r="E84" s="92"/>
      <x:c r="F84" s="92"/>
    </x:row>
    <x:row r="85">
      <x:c r="E85" s="92"/>
      <x:c r="F85" s="92"/>
    </x:row>
    <x:row r="86">
      <x:c r="E86" s="92"/>
      <x:c r="F86" s="92"/>
    </x:row>
    <x:row r="87">
      <x:c r="E87" s="92"/>
      <x:c r="F87" s="92"/>
    </x:row>
    <x:row r="88">
      <x:c r="E88" s="92"/>
      <x:c r="F88" s="92"/>
    </x:row>
    <x:row r="89">
      <x:c r="E89" s="92"/>
      <x:c r="F89" s="92"/>
    </x:row>
    <x:row r="90">
      <x:c r="E90" s="92"/>
      <x:c r="F90" s="92"/>
    </x:row>
    <x:row r="91">
      <x:c r="E91" s="92"/>
      <x:c r="F91" s="92"/>
    </x:row>
    <x:row r="92">
      <x:c r="E92" s="92"/>
      <x:c r="F92" s="92"/>
    </x:row>
    <x:row r="93">
      <x:c r="E93" s="92"/>
      <x:c r="F93" s="92"/>
    </x:row>
    <x:row r="94">
      <x:c r="E94" s="92"/>
      <x:c r="F94" s="92"/>
    </x:row>
    <x:row r="95">
      <x:c r="E95" s="92"/>
      <x:c r="F95" s="92"/>
    </x:row>
    <x:row r="96">
      <x:c r="E96" s="92"/>
      <x:c r="F96" s="92"/>
    </x:row>
    <x:row r="97">
      <x:c r="E97" s="92"/>
      <x:c r="F97" s="92"/>
    </x:row>
    <x:row r="98">
      <x:c r="E98" s="92"/>
      <x:c r="F98" s="92"/>
    </x:row>
    <x:row r="99">
      <x:c r="E99" s="92"/>
      <x:c r="F99" s="92"/>
    </x:row>
    <x:row r="100">
      <x:c r="E100" s="92"/>
      <x:c r="F100" s="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0.4399995803833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AUM_VND_bn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29202.2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13763.4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11737.2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21289.4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26575.8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13724.2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29005.8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14292.4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12067.5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21602.5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27957.2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13972.8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30848.2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14928.2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12352.8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21959.4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27570.8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14388.4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31195.3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14656.8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12485.8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22564.8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29204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15010.1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31067.8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14941.8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12834.9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22557.7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28634.3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14938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31734.9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15317.1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12509.1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22875.3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30071.6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15585.9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32477.4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15557.7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12844.2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22899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30221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15556.1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32797.8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15562.6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12638.1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23695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30346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15528.1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32911.8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15629.3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12942.1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23654.5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30621.5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15604.2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32272.8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15398.9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12838.1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22923.4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29505.6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15672.9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33077.4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15582.8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13179.9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22984.2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30512.4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15596.6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32229.9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15949.4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13381.2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24000.5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30005.6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15320.6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32371.3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15662.3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13138.9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23344.5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30199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15789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32393.5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15571.4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13008.7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23428.7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30448.3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15990.9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33549.6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16167.8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13637.2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23606.6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31183.3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16129.2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33941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16005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13226.3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24315.4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30527.9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16494.9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34075.8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16641.7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13847.6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24024.8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31541.7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16113.3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35337.7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16472.3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14123.9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25223.2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32799.2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16912.3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36038.9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16842.5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14465.2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25966.3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32217.3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17351.6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3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Net_Flow_VND_bn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-496.4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-124.9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106.4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-309.2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-446.7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30.4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-291.4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-131.2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-214.1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-94.8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-126.8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222.2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345.2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-42.7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83.3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223.6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-177.1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-200.9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-106.3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-107.3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79.5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-258.7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222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235.9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-519.3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-142.9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-69.5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419.2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-232.9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80.4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-292.8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-220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88.8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-353.6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95.2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-273.4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113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-210.6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258.8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46.3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508.3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98.9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117.3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-279.8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242.2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-135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603.2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-236.5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-423.4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-115.6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-123.3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-235.5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244.8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-205.3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178.5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-233.5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233.9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-194.4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-374.9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14.2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-343.5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-16.5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117.8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-43.6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-245.7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-17.5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610.1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64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206.6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382.8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-283.6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-43.5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432.6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317.8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141.1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484.4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359.9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33.4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661.8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90.3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-171.8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115.5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235.5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-135.2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-201.3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-244.1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297.9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-61.2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-386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104.3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-600.3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136.6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-177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-199.9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3.7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261.3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-236.2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124.6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56.3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-266.5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437.5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-91.4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580.5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-132.1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245.3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-178.6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600.1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-79.7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596.9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227.3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236.4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-158.3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-824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358.8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6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NAV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70000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32000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28000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25000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24500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100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71714.27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32205.7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28851.41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24622.09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23946.78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101.83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72736.95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32393.54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29841.58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24060.9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23381.24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101.04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72687.22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32781.82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29423.19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24074.42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23721.58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104.28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72279.5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33178.04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30008.14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24221.75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24075.26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108.64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76311.13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33103.52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30891.75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24239.03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25223.32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111.64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75549.11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33234.49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31982.53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23911.94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25068.84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109.66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78274.65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33307.16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33118.25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23387.19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24488.55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113.04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78961.54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33672.17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33507.41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23289.43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24612.17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111.68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77912.17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33911.16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34652.51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23774.51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25715.81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115.34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75942.84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34062.82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36138.81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23721.05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25335.65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114.45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76389.52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33988.2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37650.49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23380.46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25388.43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120.04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76920.48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34427.56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37079.55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23720.47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24742.88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124.63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74859.78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34696.21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38426.28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23799.83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24404.91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124.84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74444.75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34846.53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37624.26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24648.54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25300.56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130.95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77388.25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35265.49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36927.93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25245.84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25530.35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127.99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74781.75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35307.5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37073.36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26186.88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25066.91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133.36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78289.25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35259.65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37164.06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27090.91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24364.61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139.29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81339.98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35214.85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36776.45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27894.81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24273.51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138.22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4.889999866485596" hidden="0" customWidth="1"/>
    <x:col min="4" max="4" width="8.109999656677246" hidden="0" customWidth="1"/>
    <x:col min="5" max="5" width="8.5600004196167" hidden="0" customWidth="1"/>
    <x:col min="6" max="6" width="17.440000534057617" hidden="0" customWidth="1"/>
    <x:col min="7" max="7" width="13.779999732971191" hidden="0" customWidth="1"/>
    <x:col min="8" max="8" width="6.670000076293945" hidden="0" customWidth="1"/>
    <x:col min="9" max="9" width="7.78000020980835" hidden="0" customWidth="1"/>
    <x:col min="10" max="10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Ticker</x:v>
      </x:c>
      <x:c r="D1" s="86" t="str">
        <x:v>Sector</x:v>
      </x:c>
      <x:c r="E1" s="86" t="str">
        <x:v>Weight_Pct</x:v>
      </x:c>
      <x:c r="F1" s="86" t="str">
        <x:v>Benchmark_Weight_Pct</x:v>
      </x:c>
      <x:c r="G1" s="86" t="str">
        <x:v>Active_Weight_Pct</x:v>
      </x:c>
      <x:c r="H1" s="86" t="str">
        <x:v>Liquidity</x:v>
      </x:c>
      <x:c r="I1" s="86" t="str">
        <x:v>Source_ID</x:v>
      </x:c>
      <x:c r="J1" s="86" t="str">
        <x:v>Status</x:v>
      </x:c>
    </x:row>
    <x:row r="2">
      <x:c r="A2" s="44" t="str">
        <x:v>2026-07-31</x:v>
      </x:c>
      <x:c r="B2" s="44" t="str">
        <x:v>DCDS</x:v>
      </x:c>
      <x:c r="C2" s="44" t="str">
        <x:v>MSN</x:v>
      </x:c>
      <x:c r="D2" s="44" t="str">
        <x:v>Consumer</x:v>
      </x:c>
      <x:c r="E2" s="44" t="n">
        <x:v>8.56</x:v>
      </x:c>
      <x:c r="F2" s="44" t="n">
        <x:v>9.31</x:v>
      </x:c>
      <x:c r="G2" s="44" t="n">
        <x:v>-0.75</x:v>
      </x:c>
      <x:c r="H2" s="44" t="str">
        <x:v>Medium</x:v>
      </x:c>
      <x:c r="I2" s="44" t="str">
        <x:v>S004</x:v>
      </x:c>
      <x:c r="J2" s="44" t="str">
        <x:v>Assumption</x:v>
      </x:c>
    </x:row>
    <x:row r="3">
      <x:c r="A3" s="44" t="str">
        <x:v>2026-07-31</x:v>
      </x:c>
      <x:c r="B3" s="44" t="str">
        <x:v>DCDS</x:v>
      </x:c>
      <x:c r="C3" s="44" t="str">
        <x:v>PLX</x:v>
      </x:c>
      <x:c r="D3" s="44" t="str">
        <x:v>Energy</x:v>
      </x:c>
      <x:c r="E3" s="44" t="n">
        <x:v>5.86</x:v>
      </x:c>
      <x:c r="F3" s="44" t="n">
        <x:v>5.32</x:v>
      </x:c>
      <x:c r="G3" s="44" t="n">
        <x:v>0.54</x:v>
      </x:c>
      <x:c r="H3" s="44" t="str">
        <x:v>High</x:v>
      </x:c>
      <x:c r="I3" s="44" t="str">
        <x:v>S004</x:v>
      </x:c>
      <x:c r="J3" s="44" t="str">
        <x:v>Assumption</x:v>
      </x:c>
    </x:row>
    <x:row r="4">
      <x:c r="A4" s="44" t="str">
        <x:v>2026-07-31</x:v>
      </x:c>
      <x:c r="B4" s="44" t="str">
        <x:v>DCDS</x:v>
      </x:c>
      <x:c r="C4" s="44" t="str">
        <x:v>GMD</x:v>
      </x:c>
      <x:c r="D4" s="44" t="str">
        <x:v>Logistics</x:v>
      </x:c>
      <x:c r="E4" s="44" t="n">
        <x:v>10.6</x:v>
      </x:c>
      <x:c r="F4" s="44" t="n">
        <x:v>12.4</x:v>
      </x:c>
      <x:c r="G4" s="44" t="n">
        <x:v>-1.8</x:v>
      </x:c>
      <x:c r="H4" s="44" t="str">
        <x:v>High</x:v>
      </x:c>
      <x:c r="I4" s="44" t="str">
        <x:v>S004</x:v>
      </x:c>
      <x:c r="J4" s="44" t="str">
        <x:v>Assumption</x:v>
      </x:c>
    </x:row>
    <x:row r="5">
      <x:c r="A5" s="44" t="str">
        <x:v>2026-07-31</x:v>
      </x:c>
      <x:c r="B5" s="44" t="str">
        <x:v>DCDS</x:v>
      </x:c>
      <x:c r="C5" s="44" t="str">
        <x:v>VND</x:v>
      </x:c>
      <x:c r="D5" s="44" t="str">
        <x:v>Securities</x:v>
      </x:c>
      <x:c r="E5" s="44" t="n">
        <x:v>6.84</x:v>
      </x:c>
      <x:c r="F5" s="44" t="n">
        <x:v>7.33</x:v>
      </x:c>
      <x:c r="G5" s="44" t="n">
        <x:v>-0.49</x:v>
      </x:c>
      <x:c r="H5" s="44" t="str">
        <x:v>High</x:v>
      </x:c>
      <x:c r="I5" s="44" t="str">
        <x:v>S004</x:v>
      </x:c>
      <x:c r="J5" s="44" t="str">
        <x:v>Assumption</x:v>
      </x:c>
    </x:row>
    <x:row r="6">
      <x:c r="A6" s="44" t="str">
        <x:v>2026-07-31</x:v>
      </x:c>
      <x:c r="B6" s="44" t="str">
        <x:v>DCDS</x:v>
      </x:c>
      <x:c r="C6" s="44" t="str">
        <x:v>VIC</x:v>
      </x:c>
      <x:c r="D6" s="44" t="str">
        <x:v>Real Estate</x:v>
      </x:c>
      <x:c r="E6" s="44" t="n">
        <x:v>12.73</x:v>
      </x:c>
      <x:c r="F6" s="44" t="n">
        <x:v>13.6</x:v>
      </x:c>
      <x:c r="G6" s="44" t="n">
        <x:v>-0.88</x:v>
      </x:c>
      <x:c r="H6" s="44" t="str">
        <x:v>High</x:v>
      </x:c>
      <x:c r="I6" s="44" t="str">
        <x:v>S004</x:v>
      </x:c>
      <x:c r="J6" s="44" t="str">
        <x:v>Assumption</x:v>
      </x:c>
    </x:row>
    <x:row r="7">
      <x:c r="A7" s="44" t="str">
        <x:v>2026-07-31</x:v>
      </x:c>
      <x:c r="B7" s="44" t="str">
        <x:v>DCDS</x:v>
      </x:c>
      <x:c r="C7" s="44" t="str">
        <x:v>VHM</x:v>
      </x:c>
      <x:c r="D7" s="44" t="str">
        <x:v>Real Estate</x:v>
      </x:c>
      <x:c r="E7" s="44" t="n">
        <x:v>3.39</x:v>
      </x:c>
      <x:c r="F7" s="44" t="n">
        <x:v>3.42</x:v>
      </x:c>
      <x:c r="G7" s="44" t="n">
        <x:v>-0.03</x:v>
      </x:c>
      <x:c r="H7" s="44" t="str">
        <x:v>High</x:v>
      </x:c>
      <x:c r="I7" s="44" t="str">
        <x:v>S004</x:v>
      </x:c>
      <x:c r="J7" s="44" t="str">
        <x:v>Assumption</x:v>
      </x:c>
    </x:row>
    <x:row r="8">
      <x:c r="A8" s="44" t="str">
        <x:v>2026-07-31</x:v>
      </x:c>
      <x:c r="B8" s="44" t="str">
        <x:v>DCDS</x:v>
      </x:c>
      <x:c r="C8" s="44" t="str">
        <x:v>MBB</x:v>
      </x:c>
      <x:c r="D8" s="44" t="str">
        <x:v>Banks</x:v>
      </x:c>
      <x:c r="E8" s="44" t="n">
        <x:v>11.82</x:v>
      </x:c>
      <x:c r="F8" s="44" t="n">
        <x:v>11.12</x:v>
      </x:c>
      <x:c r="G8" s="44" t="n">
        <x:v>0.7</x:v>
      </x:c>
      <x:c r="H8" s="44" t="str">
        <x:v>High</x:v>
      </x:c>
      <x:c r="I8" s="44" t="str">
        <x:v>S004</x:v>
      </x:c>
      <x:c r="J8" s="44" t="str">
        <x:v>Assumption</x:v>
      </x:c>
    </x:row>
    <x:row r="9">
      <x:c r="A9" s="44" t="str">
        <x:v>2026-07-31</x:v>
      </x:c>
      <x:c r="B9" s="44" t="str">
        <x:v>DCDS</x:v>
      </x:c>
      <x:c r="C9" s="44" t="str">
        <x:v>VCB</x:v>
      </x:c>
      <x:c r="D9" s="44" t="str">
        <x:v>Banks</x:v>
      </x:c>
      <x:c r="E9" s="44" t="n">
        <x:v>4.19</x:v>
      </x:c>
      <x:c r="F9" s="44" t="n">
        <x:v>4.41</x:v>
      </x:c>
      <x:c r="G9" s="44" t="n">
        <x:v>-0.22</x:v>
      </x:c>
      <x:c r="H9" s="44" t="str">
        <x:v>Medium</x:v>
      </x:c>
      <x:c r="I9" s="44" t="str">
        <x:v>S004</x:v>
      </x:c>
      <x:c r="J9" s="44" t="str">
        <x:v>Assumption</x:v>
      </x:c>
    </x:row>
    <x:row r="10">
      <x:c r="A10" s="44" t="str">
        <x:v>2026-07-31</x:v>
      </x:c>
      <x:c r="B10" s="44" t="str">
        <x:v>DCDS</x:v>
      </x:c>
      <x:c r="C10" s="44" t="str">
        <x:v>SSI</x:v>
      </x:c>
      <x:c r="D10" s="44" t="str">
        <x:v>Securities</x:v>
      </x:c>
      <x:c r="E10" s="44" t="n">
        <x:v>2.63</x:v>
      </x:c>
      <x:c r="F10" s="44" t="n">
        <x:v>2.31</x:v>
      </x:c>
      <x:c r="G10" s="44" t="n">
        <x:v>0.32</x:v>
      </x:c>
      <x:c r="H10" s="44" t="str">
        <x:v>High</x:v>
      </x:c>
      <x:c r="I10" s="44" t="str">
        <x:v>S004</x:v>
      </x:c>
      <x:c r="J10" s="44" t="str">
        <x:v>Assumption</x:v>
      </x:c>
    </x:row>
    <x:row r="11">
      <x:c r="A11" s="44" t="str">
        <x:v>2026-07-31</x:v>
      </x:c>
      <x:c r="B11" s="44" t="str">
        <x:v>DCDS</x:v>
      </x:c>
      <x:c r="C11" s="44" t="str">
        <x:v>ACB</x:v>
      </x:c>
      <x:c r="D11" s="44" t="str">
        <x:v>Banks</x:v>
      </x:c>
      <x:c r="E11" s="44" t="n">
        <x:v>6.83</x:v>
      </x:c>
      <x:c r="F11" s="44" t="n">
        <x:v>7.54</x:v>
      </x:c>
      <x:c r="G11" s="44" t="n">
        <x:v>-0.71</x:v>
      </x:c>
      <x:c r="H11" s="44" t="str">
        <x:v>Medium</x:v>
      </x:c>
      <x:c r="I11" s="44" t="str">
        <x:v>S004</x:v>
      </x:c>
      <x:c r="J11" s="44" t="str">
        <x:v>Assumption</x:v>
      </x:c>
    </x:row>
    <x:row r="12">
      <x:c r="A12" s="44" t="str">
        <x:v>2026-07-31</x:v>
      </x:c>
      <x:c r="B12" s="44" t="str">
        <x:v>DCDS</x:v>
      </x:c>
      <x:c r="C12" s="44" t="str">
        <x:v>VNM</x:v>
      </x:c>
      <x:c r="D12" s="44" t="str">
        <x:v>Consumer</x:v>
      </x:c>
      <x:c r="E12" s="44" t="n">
        <x:v>7.74</x:v>
      </x:c>
      <x:c r="F12" s="44" t="n">
        <x:v>8.2</x:v>
      </x:c>
      <x:c r="G12" s="44" t="n">
        <x:v>-0.46</x:v>
      </x:c>
      <x:c r="H12" s="44" t="str">
        <x:v>High</x:v>
      </x:c>
      <x:c r="I12" s="44" t="str">
        <x:v>S004</x:v>
      </x:c>
      <x:c r="J12" s="44" t="str">
        <x:v>Assumption</x:v>
      </x:c>
    </x:row>
    <x:row r="13">
      <x:c r="A13" s="44" t="str">
        <x:v>2026-07-31</x:v>
      </x:c>
      <x:c r="B13" s="44" t="str">
        <x:v>DCDS</x:v>
      </x:c>
      <x:c r="C13" s="44" t="str">
        <x:v>CTG</x:v>
      </x:c>
      <x:c r="D13" s="44" t="str">
        <x:v>Banks</x:v>
      </x:c>
      <x:c r="E13" s="44" t="n">
        <x:v>10.82</x:v>
      </x:c>
      <x:c r="F13" s="44" t="n">
        <x:v>10.44</x:v>
      </x:c>
      <x:c r="G13" s="44" t="n">
        <x:v>0.38</x:v>
      </x:c>
      <x:c r="H13" s="44" t="str">
        <x:v>High</x:v>
      </x:c>
      <x:c r="I13" s="44" t="str">
        <x:v>S004</x:v>
      </x:c>
      <x:c r="J13" s="44" t="str">
        <x:v>Assumption</x:v>
      </x:c>
    </x:row>
    <x:row r="14">
      <x:c r="A14" s="44" t="str">
        <x:v>2026-07-31</x:v>
      </x:c>
      <x:c r="B14" s="44" t="str">
        <x:v>DCDS</x:v>
      </x:c>
      <x:c r="C14" s="44" t="str">
        <x:v>CASH</x:v>
      </x:c>
      <x:c r="D14" s="44" t="str">
        <x:v>Cash</x:v>
      </x:c>
      <x:c r="E14" s="44" t="n">
        <x:v>8</x:v>
      </x:c>
      <x:c r="F14" s="44" t="n">
        <x:v>0</x:v>
      </x:c>
      <x:c r="G14" s="44" t="n">
        <x:v>8</x:v>
      </x:c>
      <x:c r="H14" s="44" t="str">
        <x:v>High</x:v>
      </x:c>
      <x:c r="I14" s="44" t="str">
        <x:v>S004</x:v>
      </x:c>
      <x:c r="J14" s="44" t="str">
        <x:v>Assumption</x:v>
      </x:c>
    </x:row>
    <x:row r="15">
      <x:c r="A15" s="44" t="str">
        <x:v>2026-07-31</x:v>
      </x:c>
      <x:c r="B15" s="44" t="str">
        <x:v>DCDE</x:v>
      </x:c>
      <x:c r="C15" s="44" t="str">
        <x:v>SSI</x:v>
      </x:c>
      <x:c r="D15" s="44" t="str">
        <x:v>Securities</x:v>
      </x:c>
      <x:c r="E15" s="44" t="n">
        <x:v>9.61</x:v>
      </x:c>
      <x:c r="F15" s="44" t="n">
        <x:v>8.2</x:v>
      </x:c>
      <x:c r="G15" s="44" t="n">
        <x:v>1.41</x:v>
      </x:c>
      <x:c r="H15" s="44" t="str">
        <x:v>High</x:v>
      </x:c>
      <x:c r="I15" s="44" t="str">
        <x:v>S004</x:v>
      </x:c>
      <x:c r="J15" s="44" t="str">
        <x:v>Assumption</x:v>
      </x:c>
    </x:row>
    <x:row r="16">
      <x:c r="A16" s="44" t="str">
        <x:v>2026-07-31</x:v>
      </x:c>
      <x:c r="B16" s="44" t="str">
        <x:v>DCDE</x:v>
      </x:c>
      <x:c r="C16" s="44" t="str">
        <x:v>REE</x:v>
      </x:c>
      <x:c r="D16" s="44" t="str">
        <x:v>Industrials</x:v>
      </x:c>
      <x:c r="E16" s="44" t="n">
        <x:v>11.22</x:v>
      </x:c>
      <x:c r="F16" s="44" t="n">
        <x:v>10.2</x:v>
      </x:c>
      <x:c r="G16" s="44" t="n">
        <x:v>1.02</x:v>
      </x:c>
      <x:c r="H16" s="44" t="str">
        <x:v>High</x:v>
      </x:c>
      <x:c r="I16" s="44" t="str">
        <x:v>S004</x:v>
      </x:c>
      <x:c r="J16" s="44" t="str">
        <x:v>Assumption</x:v>
      </x:c>
    </x:row>
    <x:row r="17">
      <x:c r="A17" s="44" t="str">
        <x:v>2026-07-31</x:v>
      </x:c>
      <x:c r="B17" s="44" t="str">
        <x:v>DCDE</x:v>
      </x:c>
      <x:c r="C17" s="44" t="str">
        <x:v>HPG</x:v>
      </x:c>
      <x:c r="D17" s="44" t="str">
        <x:v>Materials</x:v>
      </x:c>
      <x:c r="E17" s="44" t="n">
        <x:v>9.05</x:v>
      </x:c>
      <x:c r="F17" s="44" t="n">
        <x:v>9.5</x:v>
      </x:c>
      <x:c r="G17" s="44" t="n">
        <x:v>-0.45</x:v>
      </x:c>
      <x:c r="H17" s="44" t="str">
        <x:v>High</x:v>
      </x:c>
      <x:c r="I17" s="44" t="str">
        <x:v>S004</x:v>
      </x:c>
      <x:c r="J17" s="44" t="str">
        <x:v>Assumption</x:v>
      </x:c>
    </x:row>
    <x:row r="18">
      <x:c r="A18" s="44" t="str">
        <x:v>2026-07-31</x:v>
      </x:c>
      <x:c r="B18" s="44" t="str">
        <x:v>DCDE</x:v>
      </x:c>
      <x:c r="C18" s="44" t="str">
        <x:v>ACB</x:v>
      </x:c>
      <x:c r="D18" s="44" t="str">
        <x:v>Banks</x:v>
      </x:c>
      <x:c r="E18" s="44" t="n">
        <x:v>8.31</x:v>
      </x:c>
      <x:c r="F18" s="44" t="n">
        <x:v>8.13</x:v>
      </x:c>
      <x:c r="G18" s="44" t="n">
        <x:v>0.18</x:v>
      </x:c>
      <x:c r="H18" s="44" t="str">
        <x:v>Medium</x:v>
      </x:c>
      <x:c r="I18" s="44" t="str">
        <x:v>S004</x:v>
      </x:c>
      <x:c r="J18" s="44" t="str">
        <x:v>Assumption</x:v>
      </x:c>
    </x:row>
    <x:row r="19">
      <x:c r="A19" s="44" t="str">
        <x:v>2026-07-31</x:v>
      </x:c>
      <x:c r="B19" s="44" t="str">
        <x:v>DCDE</x:v>
      </x:c>
      <x:c r="C19" s="44" t="str">
        <x:v>VND</x:v>
      </x:c>
      <x:c r="D19" s="44" t="str">
        <x:v>Securities</x:v>
      </x:c>
      <x:c r="E19" s="44" t="n">
        <x:v>4.68</x:v>
      </x:c>
      <x:c r="F19" s="44" t="n">
        <x:v>5.55</x:v>
      </x:c>
      <x:c r="G19" s="44" t="n">
        <x:v>-0.87</x:v>
      </x:c>
      <x:c r="H19" s="44" t="str">
        <x:v>High</x:v>
      </x:c>
      <x:c r="I19" s="44" t="str">
        <x:v>S004</x:v>
      </x:c>
      <x:c r="J19" s="44" t="str">
        <x:v>Assumption</x:v>
      </x:c>
    </x:row>
    <x:row r="20">
      <x:c r="A20" s="44" t="str">
        <x:v>2026-07-31</x:v>
      </x:c>
      <x:c r="B20" s="44" t="str">
        <x:v>DCDE</x:v>
      </x:c>
      <x:c r="C20" s="44" t="str">
        <x:v>MWG</x:v>
      </x:c>
      <x:c r="D20" s="44" t="str">
        <x:v>Retail</x:v>
      </x:c>
      <x:c r="E20" s="44" t="n">
        <x:v>8.35</x:v>
      </x:c>
      <x:c r="F20" s="44" t="n">
        <x:v>8.33</x:v>
      </x:c>
      <x:c r="G20" s="44" t="n">
        <x:v>0.02</x:v>
      </x:c>
      <x:c r="H20" s="44" t="str">
        <x:v>Medium</x:v>
      </x:c>
      <x:c r="I20" s="44" t="str">
        <x:v>S004</x:v>
      </x:c>
      <x:c r="J20" s="44" t="str">
        <x:v>Assumption</x:v>
      </x:c>
    </x:row>
    <x:row r="21">
      <x:c r="A21" s="44" t="str">
        <x:v>2026-07-31</x:v>
      </x:c>
      <x:c r="B21" s="44" t="str">
        <x:v>DCDE</x:v>
      </x:c>
      <x:c r="C21" s="44" t="str">
        <x:v>CTG</x:v>
      </x:c>
      <x:c r="D21" s="44" t="str">
        <x:v>Banks</x:v>
      </x:c>
      <x:c r="E21" s="44" t="n">
        <x:v>7.92</x:v>
      </x:c>
      <x:c r="F21" s="44" t="n">
        <x:v>6.51</x:v>
      </x:c>
      <x:c r="G21" s="44" t="n">
        <x:v>1.41</x:v>
      </x:c>
      <x:c r="H21" s="44" t="str">
        <x:v>High</x:v>
      </x:c>
      <x:c r="I21" s="44" t="str">
        <x:v>S004</x:v>
      </x:c>
      <x:c r="J21" s="44" t="str">
        <x:v>Assumption</x:v>
      </x:c>
    </x:row>
    <x:row r="22">
      <x:c r="A22" s="44" t="str">
        <x:v>2026-07-31</x:v>
      </x:c>
      <x:c r="B22" s="44" t="str">
        <x:v>DCDE</x:v>
      </x:c>
      <x:c r="C22" s="44" t="str">
        <x:v>MSN</x:v>
      </x:c>
      <x:c r="D22" s="44" t="str">
        <x:v>Consumer</x:v>
      </x:c>
      <x:c r="E22" s="44" t="n">
        <x:v>2.84</x:v>
      </x:c>
      <x:c r="F22" s="44" t="n">
        <x:v>4.41</x:v>
      </x:c>
      <x:c r="G22" s="44" t="n">
        <x:v>-1.57</x:v>
      </x:c>
      <x:c r="H22" s="44" t="str">
        <x:v>High</x:v>
      </x:c>
      <x:c r="I22" s="44" t="str">
        <x:v>S004</x:v>
      </x:c>
      <x:c r="J22" s="44" t="str">
        <x:v>Assumption</x:v>
      </x:c>
    </x:row>
    <x:row r="23">
      <x:c r="A23" s="44" t="str">
        <x:v>2026-07-31</x:v>
      </x:c>
      <x:c r="B23" s="44" t="str">
        <x:v>DCDE</x:v>
      </x:c>
      <x:c r="C23" s="44" t="str">
        <x:v>VNM</x:v>
      </x:c>
      <x:c r="D23" s="44" t="str">
        <x:v>Consumer</x:v>
      </x:c>
      <x:c r="E23" s="44" t="n">
        <x:v>11.14</x:v>
      </x:c>
      <x:c r="F23" s="44" t="n">
        <x:v>12.26</x:v>
      </x:c>
      <x:c r="G23" s="44" t="n">
        <x:v>-1.11</x:v>
      </x:c>
      <x:c r="H23" s="44" t="str">
        <x:v>Medium</x:v>
      </x:c>
      <x:c r="I23" s="44" t="str">
        <x:v>S004</x:v>
      </x:c>
      <x:c r="J23" s="44" t="str">
        <x:v>Assumption</x:v>
      </x:c>
    </x:row>
    <x:row r="24">
      <x:c r="A24" s="44" t="str">
        <x:v>2026-07-31</x:v>
      </x:c>
      <x:c r="B24" s="44" t="str">
        <x:v>DCDE</x:v>
      </x:c>
      <x:c r="C24" s="44" t="str">
        <x:v>TCB</x:v>
      </x:c>
      <x:c r="D24" s="44" t="str">
        <x:v>Banks</x:v>
      </x:c>
      <x:c r="E24" s="44" t="n">
        <x:v>4.21</x:v>
      </x:c>
      <x:c r="F24" s="44" t="n">
        <x:v>2.91</x:v>
      </x:c>
      <x:c r="G24" s="44" t="n">
        <x:v>1.3</x:v>
      </x:c>
      <x:c r="H24" s="44" t="str">
        <x:v>High</x:v>
      </x:c>
      <x:c r="I24" s="44" t="str">
        <x:v>S004</x:v>
      </x:c>
      <x:c r="J24" s="44" t="str">
        <x:v>Assumption</x:v>
      </x:c>
    </x:row>
    <x:row r="25">
      <x:c r="A25" s="44" t="str">
        <x:v>2026-07-31</x:v>
      </x:c>
      <x:c r="B25" s="44" t="str">
        <x:v>DCDE</x:v>
      </x:c>
      <x:c r="C25" s="44" t="str">
        <x:v>STB</x:v>
      </x:c>
      <x:c r="D25" s="44" t="str">
        <x:v>Banks</x:v>
      </x:c>
      <x:c r="E25" s="44" t="n">
        <x:v>4.94</x:v>
      </x:c>
      <x:c r="F25" s="44" t="n">
        <x:v>3.14</x:v>
      </x:c>
      <x:c r="G25" s="44" t="n">
        <x:v>1.8</x:v>
      </x:c>
      <x:c r="H25" s="44" t="str">
        <x:v>Medium</x:v>
      </x:c>
      <x:c r="I25" s="44" t="str">
        <x:v>S004</x:v>
      </x:c>
      <x:c r="J25" s="44" t="str">
        <x:v>Assumption</x:v>
      </x:c>
    </x:row>
    <x:row r="26">
      <x:c r="A26" s="44" t="str">
        <x:v>2026-07-31</x:v>
      </x:c>
      <x:c r="B26" s="44" t="str">
        <x:v>DCDE</x:v>
      </x:c>
      <x:c r="C26" s="44" t="str">
        <x:v>PLX</x:v>
      </x:c>
      <x:c r="D26" s="44" t="str">
        <x:v>Energy</x:v>
      </x:c>
      <x:c r="E26" s="44" t="n">
        <x:v>9.73</x:v>
      </x:c>
      <x:c r="F26" s="44" t="n">
        <x:v>11.4</x:v>
      </x:c>
      <x:c r="G26" s="44" t="n">
        <x:v>-1.67</x:v>
      </x:c>
      <x:c r="H26" s="44" t="str">
        <x:v>High</x:v>
      </x:c>
      <x:c r="I26" s="44" t="str">
        <x:v>S004</x:v>
      </x:c>
      <x:c r="J26" s="44" t="str">
        <x:v>Assumption</x:v>
      </x:c>
    </x:row>
    <x:row r="27">
      <x:c r="A27" s="44" t="str">
        <x:v>2026-07-31</x:v>
      </x:c>
      <x:c r="B27" s="44" t="str">
        <x:v>DCDE</x:v>
      </x:c>
      <x:c r="C27" s="44" t="str">
        <x:v>CASH</x:v>
      </x:c>
      <x:c r="D27" s="44" t="str">
        <x:v>Cash</x:v>
      </x:c>
      <x:c r="E27" s="44" t="n">
        <x:v>8</x:v>
      </x:c>
      <x:c r="F27" s="44" t="n">
        <x:v>0</x:v>
      </x:c>
      <x:c r="G27" s="44" t="n">
        <x:v>8</x:v>
      </x:c>
      <x:c r="H27" s="44" t="str">
        <x:v>High</x:v>
      </x:c>
      <x:c r="I27" s="44" t="str">
        <x:v>S004</x:v>
      </x:c>
      <x:c r="J27" s="44" t="str">
        <x:v>Assumption</x:v>
      </x:c>
    </x:row>
    <x:row r="28">
      <x:c r="A28" s="44" t="str">
        <x:v>2026-07-31</x:v>
      </x:c>
      <x:c r="B28" s="44" t="str">
        <x:v>E1VFVN30</x:v>
      </x:c>
      <x:c r="C28" s="44" t="str">
        <x:v>CTG</x:v>
      </x:c>
      <x:c r="D28" s="44" t="str">
        <x:v>Banks</x:v>
      </x:c>
      <x:c r="E28" s="44" t="n">
        <x:v>6.72</x:v>
      </x:c>
      <x:c r="F28" s="44" t="n">
        <x:v>5.66</x:v>
      </x:c>
      <x:c r="G28" s="44" t="n">
        <x:v>1.06</x:v>
      </x:c>
      <x:c r="H28" s="44" t="str">
        <x:v>High</x:v>
      </x:c>
      <x:c r="I28" s="44" t="str">
        <x:v>S004</x:v>
      </x:c>
      <x:c r="J28" s="44" t="str">
        <x:v>Assumption</x:v>
      </x:c>
    </x:row>
    <x:row r="29">
      <x:c r="A29" s="44" t="str">
        <x:v>2026-07-31</x:v>
      </x:c>
      <x:c r="B29" s="44" t="str">
        <x:v>E1VFVN30</x:v>
      </x:c>
      <x:c r="C29" s="44" t="str">
        <x:v>MBB</x:v>
      </x:c>
      <x:c r="D29" s="44" t="str">
        <x:v>Banks</x:v>
      </x:c>
      <x:c r="E29" s="44" t="n">
        <x:v>3.74</x:v>
      </x:c>
      <x:c r="F29" s="44" t="n">
        <x:v>3.02</x:v>
      </x:c>
      <x:c r="G29" s="44" t="n">
        <x:v>0.72</x:v>
      </x:c>
      <x:c r="H29" s="44" t="str">
        <x:v>High</x:v>
      </x:c>
      <x:c r="I29" s="44" t="str">
        <x:v>S004</x:v>
      </x:c>
      <x:c r="J29" s="44" t="str">
        <x:v>Assumption</x:v>
      </x:c>
    </x:row>
    <x:row r="30">
      <x:c r="A30" s="44" t="str">
        <x:v>2026-07-31</x:v>
      </x:c>
      <x:c r="B30" s="44" t="str">
        <x:v>E1VFVN30</x:v>
      </x:c>
      <x:c r="C30" s="44" t="str">
        <x:v>REE</x:v>
      </x:c>
      <x:c r="D30" s="44" t="str">
        <x:v>Industrials</x:v>
      </x:c>
      <x:c r="E30" s="44" t="n">
        <x:v>11.05</x:v>
      </x:c>
      <x:c r="F30" s="44" t="n">
        <x:v>9.6</x:v>
      </x:c>
      <x:c r="G30" s="44" t="n">
        <x:v>1.45</x:v>
      </x:c>
      <x:c r="H30" s="44" t="str">
        <x:v>Medium</x:v>
      </x:c>
      <x:c r="I30" s="44" t="str">
        <x:v>S004</x:v>
      </x:c>
      <x:c r="J30" s="44" t="str">
        <x:v>Assumption</x:v>
      </x:c>
    </x:row>
    <x:row r="31">
      <x:c r="A31" s="44" t="str">
        <x:v>2026-07-31</x:v>
      </x:c>
      <x:c r="B31" s="44" t="str">
        <x:v>E1VFVN30</x:v>
      </x:c>
      <x:c r="C31" s="44" t="str">
        <x:v>MSN</x:v>
      </x:c>
      <x:c r="D31" s="44" t="str">
        <x:v>Consumer</x:v>
      </x:c>
      <x:c r="E31" s="44" t="n">
        <x:v>6.77</x:v>
      </x:c>
      <x:c r="F31" s="44" t="n">
        <x:v>6.3</x:v>
      </x:c>
      <x:c r="G31" s="44" t="n">
        <x:v>0.47</x:v>
      </x:c>
      <x:c r="H31" s="44" t="str">
        <x:v>Medium</x:v>
      </x:c>
      <x:c r="I31" s="44" t="str">
        <x:v>S004</x:v>
      </x:c>
      <x:c r="J31" s="44" t="str">
        <x:v>Assumption</x:v>
      </x:c>
    </x:row>
    <x:row r="32">
      <x:c r="A32" s="44" t="str">
        <x:v>2026-07-31</x:v>
      </x:c>
      <x:c r="B32" s="44" t="str">
        <x:v>E1VFVN30</x:v>
      </x:c>
      <x:c r="C32" s="44" t="str">
        <x:v>VND</x:v>
      </x:c>
      <x:c r="D32" s="44" t="str">
        <x:v>Securities</x:v>
      </x:c>
      <x:c r="E32" s="44" t="n">
        <x:v>9.9</x:v>
      </x:c>
      <x:c r="F32" s="44" t="n">
        <x:v>10.73</x:v>
      </x:c>
      <x:c r="G32" s="44" t="n">
        <x:v>-0.83</x:v>
      </x:c>
      <x:c r="H32" s="44" t="str">
        <x:v>High</x:v>
      </x:c>
      <x:c r="I32" s="44" t="str">
        <x:v>S004</x:v>
      </x:c>
      <x:c r="J32" s="44" t="str">
        <x:v>Assumption</x:v>
      </x:c>
    </x:row>
    <x:row r="33">
      <x:c r="A33" s="44" t="str">
        <x:v>2026-07-31</x:v>
      </x:c>
      <x:c r="B33" s="44" t="str">
        <x:v>E1VFVN30</x:v>
      </x:c>
      <x:c r="C33" s="44" t="str">
        <x:v>PLX</x:v>
      </x:c>
      <x:c r="D33" s="44" t="str">
        <x:v>Energy</x:v>
      </x:c>
      <x:c r="E33" s="44" t="n">
        <x:v>10.82</x:v>
      </x:c>
      <x:c r="F33" s="44" t="n">
        <x:v>10.48</x:v>
      </x:c>
      <x:c r="G33" s="44" t="n">
        <x:v>0.34</x:v>
      </x:c>
      <x:c r="H33" s="44" t="str">
        <x:v>High</x:v>
      </x:c>
      <x:c r="I33" s="44" t="str">
        <x:v>S004</x:v>
      </x:c>
      <x:c r="J33" s="44" t="str">
        <x:v>Assumption</x:v>
      </x:c>
    </x:row>
    <x:row r="34">
      <x:c r="A34" s="44" t="str">
        <x:v>2026-07-31</x:v>
      </x:c>
      <x:c r="B34" s="44" t="str">
        <x:v>E1VFVN30</x:v>
      </x:c>
      <x:c r="C34" s="44" t="str">
        <x:v>MWG</x:v>
      </x:c>
      <x:c r="D34" s="44" t="str">
        <x:v>Retail</x:v>
      </x:c>
      <x:c r="E34" s="44" t="n">
        <x:v>4.97</x:v>
      </x:c>
      <x:c r="F34" s="44" t="n">
        <x:v>5.14</x:v>
      </x:c>
      <x:c r="G34" s="44" t="n">
        <x:v>-0.17</x:v>
      </x:c>
      <x:c r="H34" s="44" t="str">
        <x:v>High</x:v>
      </x:c>
      <x:c r="I34" s="44" t="str">
        <x:v>S004</x:v>
      </x:c>
      <x:c r="J34" s="44" t="str">
        <x:v>Assumption</x:v>
      </x:c>
    </x:row>
    <x:row r="35">
      <x:c r="A35" s="44" t="str">
        <x:v>2026-07-31</x:v>
      </x:c>
      <x:c r="B35" s="44" t="str">
        <x:v>E1VFVN30</x:v>
      </x:c>
      <x:c r="C35" s="44" t="str">
        <x:v>SSI</x:v>
      </x:c>
      <x:c r="D35" s="44" t="str">
        <x:v>Securities</x:v>
      </x:c>
      <x:c r="E35" s="44" t="n">
        <x:v>10.17</x:v>
      </x:c>
      <x:c r="F35" s="44" t="n">
        <x:v>8.42</x:v>
      </x:c>
      <x:c r="G35" s="44" t="n">
        <x:v>1.75</x:v>
      </x:c>
      <x:c r="H35" s="44" t="str">
        <x:v>High</x:v>
      </x:c>
      <x:c r="I35" s="44" t="str">
        <x:v>S004</x:v>
      </x:c>
      <x:c r="J35" s="44" t="str">
        <x:v>Assumption</x:v>
      </x:c>
    </x:row>
    <x:row r="36">
      <x:c r="A36" s="44" t="str">
        <x:v>2026-07-31</x:v>
      </x:c>
      <x:c r="B36" s="44" t="str">
        <x:v>E1VFVN30</x:v>
      </x:c>
      <x:c r="C36" s="44" t="str">
        <x:v>GAS</x:v>
      </x:c>
      <x:c r="D36" s="44" t="str">
        <x:v>Energy</x:v>
      </x:c>
      <x:c r="E36" s="44" t="n">
        <x:v>7.12</x:v>
      </x:c>
      <x:c r="F36" s="44" t="n">
        <x:v>6.68</x:v>
      </x:c>
      <x:c r="G36" s="44" t="n">
        <x:v>0.44</x:v>
      </x:c>
      <x:c r="H36" s="44" t="str">
        <x:v>High</x:v>
      </x:c>
      <x:c r="I36" s="44" t="str">
        <x:v>S004</x:v>
      </x:c>
      <x:c r="J36" s="44" t="str">
        <x:v>Assumption</x:v>
      </x:c>
    </x:row>
    <x:row r="37">
      <x:c r="A37" s="44" t="str">
        <x:v>2026-07-31</x:v>
      </x:c>
      <x:c r="B37" s="44" t="str">
        <x:v>E1VFVN30</x:v>
      </x:c>
      <x:c r="C37" s="44" t="str">
        <x:v>STB</x:v>
      </x:c>
      <x:c r="D37" s="44" t="str">
        <x:v>Banks</x:v>
      </x:c>
      <x:c r="E37" s="44" t="n">
        <x:v>4.57</x:v>
      </x:c>
      <x:c r="F37" s="44" t="n">
        <x:v>6</x:v>
      </x:c>
      <x:c r="G37" s="44" t="n">
        <x:v>-1.43</x:v>
      </x:c>
      <x:c r="H37" s="44" t="str">
        <x:v>High</x:v>
      </x:c>
      <x:c r="I37" s="44" t="str">
        <x:v>S004</x:v>
      </x:c>
      <x:c r="J37" s="44" t="str">
        <x:v>Assumption</x:v>
      </x:c>
    </x:row>
    <x:row r="38">
      <x:c r="A38" s="44" t="str">
        <x:v>2026-07-31</x:v>
      </x:c>
      <x:c r="B38" s="44" t="str">
        <x:v>E1VFVN30</x:v>
      </x:c>
      <x:c r="C38" s="44" t="str">
        <x:v>HPG</x:v>
      </x:c>
      <x:c r="D38" s="44" t="str">
        <x:v>Materials</x:v>
      </x:c>
      <x:c r="E38" s="44" t="n">
        <x:v>6.66</x:v>
      </x:c>
      <x:c r="F38" s="44" t="n">
        <x:v>6.57</x:v>
      </x:c>
      <x:c r="G38" s="44" t="n">
        <x:v>0.09</x:v>
      </x:c>
      <x:c r="H38" s="44" t="str">
        <x:v>High</x:v>
      </x:c>
      <x:c r="I38" s="44" t="str">
        <x:v>S004</x:v>
      </x:c>
      <x:c r="J38" s="44" t="str">
        <x:v>Assumption</x:v>
      </x:c>
    </x:row>
    <x:row r="39">
      <x:c r="A39" s="44" t="str">
        <x:v>2026-07-31</x:v>
      </x:c>
      <x:c r="B39" s="44" t="str">
        <x:v>E1VFVN30</x:v>
      </x:c>
      <x:c r="C39" s="44" t="str">
        <x:v>VNM</x:v>
      </x:c>
      <x:c r="D39" s="44" t="str">
        <x:v>Consumer</x:v>
      </x:c>
      <x:c r="E39" s="44" t="n">
        <x:v>9.51</x:v>
      </x:c>
      <x:c r="F39" s="44" t="n">
        <x:v>8.7</x:v>
      </x:c>
      <x:c r="G39" s="44" t="n">
        <x:v>0.81</x:v>
      </x:c>
      <x:c r="H39" s="44" t="str">
        <x:v>High</x:v>
      </x:c>
      <x:c r="I39" s="44" t="str">
        <x:v>S004</x:v>
      </x:c>
      <x:c r="J39" s="44" t="str">
        <x:v>Assumption</x:v>
      </x:c>
    </x:row>
    <x:row r="40">
      <x:c r="A40" s="44" t="str">
        <x:v>2026-07-31</x:v>
      </x:c>
      <x:c r="B40" s="44" t="str">
        <x:v>E1VFVN30</x:v>
      </x:c>
      <x:c r="C40" s="44" t="str">
        <x:v>CASH</x:v>
      </x:c>
      <x:c r="D40" s="44" t="str">
        <x:v>Cash</x:v>
      </x:c>
      <x:c r="E40" s="44" t="n">
        <x:v>8</x:v>
      </x:c>
      <x:c r="F40" s="44" t="n">
        <x:v>0</x:v>
      </x:c>
      <x:c r="G40" s="44" t="n">
        <x:v>8</x:v>
      </x:c>
      <x:c r="H40" s="44" t="str">
        <x:v>High</x:v>
      </x:c>
      <x:c r="I40" s="44" t="str">
        <x:v>S004</x:v>
      </x:c>
      <x:c r="J40" s="44" t="str">
        <x:v>Assumption</x:v>
      </x:c>
    </x:row>
    <x:row r="41">
      <x:c r="A41" s="44" t="str">
        <x:v>2026-07-31</x:v>
      </x:c>
      <x:c r="B41" s="44" t="str">
        <x:v>FUEVFVND</x:v>
      </x:c>
      <x:c r="C41" s="44" t="str">
        <x:v>ACB</x:v>
      </x:c>
      <x:c r="D41" s="44" t="str">
        <x:v>Banks</x:v>
      </x:c>
      <x:c r="E41" s="44" t="n">
        <x:v>7.58</x:v>
      </x:c>
      <x:c r="F41" s="44" t="n">
        <x:v>9.05</x:v>
      </x:c>
      <x:c r="G41" s="44" t="n">
        <x:v>-1.47</x:v>
      </x:c>
      <x:c r="H41" s="44" t="str">
        <x:v>Medium</x:v>
      </x:c>
      <x:c r="I41" s="44" t="str">
        <x:v>S004</x:v>
      </x:c>
      <x:c r="J41" s="44" t="str">
        <x:v>Assumption</x:v>
      </x:c>
    </x:row>
    <x:row r="42">
      <x:c r="A42" s="44" t="str">
        <x:v>2026-07-31</x:v>
      </x:c>
      <x:c r="B42" s="44" t="str">
        <x:v>FUEVFVND</x:v>
      </x:c>
      <x:c r="C42" s="44" t="str">
        <x:v>GMD</x:v>
      </x:c>
      <x:c r="D42" s="44" t="str">
        <x:v>Logistics</x:v>
      </x:c>
      <x:c r="E42" s="44" t="n">
        <x:v>8.71</x:v>
      </x:c>
      <x:c r="F42" s="44" t="n">
        <x:v>6.91</x:v>
      </x:c>
      <x:c r="G42" s="44" t="n">
        <x:v>1.8</x:v>
      </x:c>
      <x:c r="H42" s="44" t="str">
        <x:v>High</x:v>
      </x:c>
      <x:c r="I42" s="44" t="str">
        <x:v>S004</x:v>
      </x:c>
      <x:c r="J42" s="44" t="str">
        <x:v>Assumption</x:v>
      </x:c>
    </x:row>
    <x:row r="43">
      <x:c r="A43" s="44" t="str">
        <x:v>2026-07-31</x:v>
      </x:c>
      <x:c r="B43" s="44" t="str">
        <x:v>FUEVFVND</x:v>
      </x:c>
      <x:c r="C43" s="44" t="str">
        <x:v>KDH</x:v>
      </x:c>
      <x:c r="D43" s="44" t="str">
        <x:v>Real Estate</x:v>
      </x:c>
      <x:c r="E43" s="44" t="n">
        <x:v>8.07</x:v>
      </x:c>
      <x:c r="F43" s="44" t="n">
        <x:v>7.38</x:v>
      </x:c>
      <x:c r="G43" s="44" t="n">
        <x:v>0.69</x:v>
      </x:c>
      <x:c r="H43" s="44" t="str">
        <x:v>High</x:v>
      </x:c>
      <x:c r="I43" s="44" t="str">
        <x:v>S004</x:v>
      </x:c>
      <x:c r="J43" s="44" t="str">
        <x:v>Assumption</x:v>
      </x:c>
    </x:row>
    <x:row r="44">
      <x:c r="A44" s="44" t="str">
        <x:v>2026-07-31</x:v>
      </x:c>
      <x:c r="B44" s="44" t="str">
        <x:v>FUEVFVND</x:v>
      </x:c>
      <x:c r="C44" s="44" t="str">
        <x:v>MWG</x:v>
      </x:c>
      <x:c r="D44" s="44" t="str">
        <x:v>Retail</x:v>
      </x:c>
      <x:c r="E44" s="44" t="n">
        <x:v>9.08</x:v>
      </x:c>
      <x:c r="F44" s="44" t="n">
        <x:v>8.39</x:v>
      </x:c>
      <x:c r="G44" s="44" t="n">
        <x:v>0.69</x:v>
      </x:c>
      <x:c r="H44" s="44" t="str">
        <x:v>High</x:v>
      </x:c>
      <x:c r="I44" s="44" t="str">
        <x:v>S004</x:v>
      </x:c>
      <x:c r="J44" s="44" t="str">
        <x:v>Assumption</x:v>
      </x:c>
    </x:row>
    <x:row r="45">
      <x:c r="A45" s="44" t="str">
        <x:v>2026-07-31</x:v>
      </x:c>
      <x:c r="B45" s="44" t="str">
        <x:v>FUEVFVND</x:v>
      </x:c>
      <x:c r="C45" s="44" t="str">
        <x:v>VNM</x:v>
      </x:c>
      <x:c r="D45" s="44" t="str">
        <x:v>Consumer</x:v>
      </x:c>
      <x:c r="E45" s="44" t="n">
        <x:v>9.77</x:v>
      </x:c>
      <x:c r="F45" s="44" t="n">
        <x:v>8.88</x:v>
      </x:c>
      <x:c r="G45" s="44" t="n">
        <x:v>0.89</x:v>
      </x:c>
      <x:c r="H45" s="44" t="str">
        <x:v>High</x:v>
      </x:c>
      <x:c r="I45" s="44" t="str">
        <x:v>S004</x:v>
      </x:c>
      <x:c r="J45" s="44" t="str">
        <x:v>Assumption</x:v>
      </x:c>
    </x:row>
    <x:row r="46">
      <x:c r="A46" s="44" t="str">
        <x:v>2026-07-31</x:v>
      </x:c>
      <x:c r="B46" s="44" t="str">
        <x:v>FUEVFVND</x:v>
      </x:c>
      <x:c r="C46" s="44" t="str">
        <x:v>TCB</x:v>
      </x:c>
      <x:c r="D46" s="44" t="str">
        <x:v>Banks</x:v>
      </x:c>
      <x:c r="E46" s="44" t="n">
        <x:v>10.31</x:v>
      </x:c>
      <x:c r="F46" s="44" t="n">
        <x:v>9.31</x:v>
      </x:c>
      <x:c r="G46" s="44" t="n">
        <x:v>0.99</x:v>
      </x:c>
      <x:c r="H46" s="44" t="str">
        <x:v>High</x:v>
      </x:c>
      <x:c r="I46" s="44" t="str">
        <x:v>S004</x:v>
      </x:c>
      <x:c r="J46" s="44" t="str">
        <x:v>Assumption</x:v>
      </x:c>
    </x:row>
    <x:row r="47">
      <x:c r="A47" s="44" t="str">
        <x:v>2026-07-31</x:v>
      </x:c>
      <x:c r="B47" s="44" t="str">
        <x:v>FUEVFVND</x:v>
      </x:c>
      <x:c r="C47" s="44" t="str">
        <x:v>MBB</x:v>
      </x:c>
      <x:c r="D47" s="44" t="str">
        <x:v>Banks</x:v>
      </x:c>
      <x:c r="E47" s="44" t="n">
        <x:v>6.41</x:v>
      </x:c>
      <x:c r="F47" s="44" t="n">
        <x:v>6.29</x:v>
      </x:c>
      <x:c r="G47" s="44" t="n">
        <x:v>0.12</x:v>
      </x:c>
      <x:c r="H47" s="44" t="str">
        <x:v>High</x:v>
      </x:c>
      <x:c r="I47" s="44" t="str">
        <x:v>S004</x:v>
      </x:c>
      <x:c r="J47" s="44" t="str">
        <x:v>Assumption</x:v>
      </x:c>
    </x:row>
    <x:row r="48">
      <x:c r="A48" s="44" t="str">
        <x:v>2026-07-31</x:v>
      </x:c>
      <x:c r="B48" s="44" t="str">
        <x:v>FUEVFVND</x:v>
      </x:c>
      <x:c r="C48" s="44" t="str">
        <x:v>HPG</x:v>
      </x:c>
      <x:c r="D48" s="44" t="str">
        <x:v>Materials</x:v>
      </x:c>
      <x:c r="E48" s="44" t="n">
        <x:v>9.66</x:v>
      </x:c>
      <x:c r="F48" s="44" t="n">
        <x:v>11.66</x:v>
      </x:c>
      <x:c r="G48" s="44" t="n">
        <x:v>-2</x:v>
      </x:c>
      <x:c r="H48" s="44" t="str">
        <x:v>High</x:v>
      </x:c>
      <x:c r="I48" s="44" t="str">
        <x:v>S004</x:v>
      </x:c>
      <x:c r="J48" s="44" t="str">
        <x:v>Assumption</x:v>
      </x:c>
    </x:row>
    <x:row r="49">
      <x:c r="A49" s="44" t="str">
        <x:v>2026-07-31</x:v>
      </x:c>
      <x:c r="B49" s="44" t="str">
        <x:v>FUEVFVND</x:v>
      </x:c>
      <x:c r="C49" s="44" t="str">
        <x:v>MSN</x:v>
      </x:c>
      <x:c r="D49" s="44" t="str">
        <x:v>Consumer</x:v>
      </x:c>
      <x:c r="E49" s="44" t="n">
        <x:v>6.91</x:v>
      </x:c>
      <x:c r="F49" s="44" t="n">
        <x:v>5.81</x:v>
      </x:c>
      <x:c r="G49" s="44" t="n">
        <x:v>1.1</x:v>
      </x:c>
      <x:c r="H49" s="44" t="str">
        <x:v>High</x:v>
      </x:c>
      <x:c r="I49" s="44" t="str">
        <x:v>S004</x:v>
      </x:c>
      <x:c r="J49" s="44" t="str">
        <x:v>Assumption</x:v>
      </x:c>
    </x:row>
    <x:row r="50">
      <x:c r="A50" s="44" t="str">
        <x:v>2026-07-31</x:v>
      </x:c>
      <x:c r="B50" s="44" t="str">
        <x:v>FUEVFVND</x:v>
      </x:c>
      <x:c r="C50" s="44" t="str">
        <x:v>VIC</x:v>
      </x:c>
      <x:c r="D50" s="44" t="str">
        <x:v>Real Estate</x:v>
      </x:c>
      <x:c r="E50" s="44" t="n">
        <x:v>7.53</x:v>
      </x:c>
      <x:c r="F50" s="44" t="n">
        <x:v>8.66</x:v>
      </x:c>
      <x:c r="G50" s="44" t="n">
        <x:v>-1.12</x:v>
      </x:c>
      <x:c r="H50" s="44" t="str">
        <x:v>High</x:v>
      </x:c>
      <x:c r="I50" s="44" t="str">
        <x:v>S004</x:v>
      </x:c>
      <x:c r="J50" s="44" t="str">
        <x:v>Assumption</x:v>
      </x:c>
    </x:row>
    <x:row r="51">
      <x:c r="A51" s="44" t="str">
        <x:v>2026-07-31</x:v>
      </x:c>
      <x:c r="B51" s="44" t="str">
        <x:v>FUEVFVND</x:v>
      </x:c>
      <x:c r="C51" s="44" t="str">
        <x:v>PLX</x:v>
      </x:c>
      <x:c r="D51" s="44" t="str">
        <x:v>Energy</x:v>
      </x:c>
      <x:c r="E51" s="44" t="n">
        <x:v>2.48</x:v>
      </x:c>
      <x:c r="F51" s="44" t="n">
        <x:v>3.5</x:v>
      </x:c>
      <x:c r="G51" s="44" t="n">
        <x:v>-1.02</x:v>
      </x:c>
      <x:c r="H51" s="44" t="str">
        <x:v>Medium</x:v>
      </x:c>
      <x:c r="I51" s="44" t="str">
        <x:v>S004</x:v>
      </x:c>
      <x:c r="J51" s="44" t="str">
        <x:v>Assumption</x:v>
      </x:c>
    </x:row>
    <x:row r="52">
      <x:c r="A52" s="44" t="str">
        <x:v>2026-07-31</x:v>
      </x:c>
      <x:c r="B52" s="44" t="str">
        <x:v>FUEVFVND</x:v>
      </x:c>
      <x:c r="C52" s="44" t="str">
        <x:v>FPT</x:v>
      </x:c>
      <x:c r="D52" s="44" t="str">
        <x:v>Technology</x:v>
      </x:c>
      <x:c r="E52" s="44" t="n">
        <x:v>5.49</x:v>
      </x:c>
      <x:c r="F52" s="44" t="n">
        <x:v>4.28</x:v>
      </x:c>
      <x:c r="G52" s="44" t="n">
        <x:v>1.2</x:v>
      </x:c>
      <x:c r="H52" s="44" t="str">
        <x:v>High</x:v>
      </x:c>
      <x:c r="I52" s="44" t="str">
        <x:v>S004</x:v>
      </x:c>
      <x:c r="J52" s="44" t="str">
        <x:v>Assumption</x:v>
      </x:c>
    </x:row>
    <x:row r="53">
      <x:c r="A53" s="44" t="str">
        <x:v>2026-07-31</x:v>
      </x:c>
      <x:c r="B53" s="44" t="str">
        <x:v>FUEVFVND</x:v>
      </x:c>
      <x:c r="C53" s="44" t="str">
        <x:v>CASH</x:v>
      </x:c>
      <x:c r="D53" s="44" t="str">
        <x:v>Cash</x:v>
      </x:c>
      <x:c r="E53" s="44" t="n">
        <x:v>8</x:v>
      </x:c>
      <x:c r="F53" s="44" t="n">
        <x:v>0</x:v>
      </x:c>
      <x:c r="G53" s="44" t="n">
        <x:v>8</x:v>
      </x:c>
      <x:c r="H53" s="44" t="str">
        <x:v>High</x:v>
      </x:c>
      <x:c r="I53" s="44" t="str">
        <x:v>S004</x:v>
      </x:c>
      <x:c r="J53" s="44" t="str">
        <x:v>Assumption</x:v>
      </x:c>
    </x:row>
    <x:row r="54">
      <x:c r="A54" s="44" t="str">
        <x:v>2026-07-31</x:v>
      </x:c>
      <x:c r="B54" s="44" t="str">
        <x:v>VEF_LOCAL</x:v>
      </x:c>
      <x:c r="C54" s="44" t="str">
        <x:v>REE</x:v>
      </x:c>
      <x:c r="D54" s="44" t="str">
        <x:v>Industrials</x:v>
      </x:c>
      <x:c r="E54" s="44" t="n">
        <x:v>4.08</x:v>
      </x:c>
      <x:c r="F54" s="44" t="n">
        <x:v>4.94</x:v>
      </x:c>
      <x:c r="G54" s="44" t="n">
        <x:v>-0.86</x:v>
      </x:c>
      <x:c r="H54" s="44" t="str">
        <x:v>High</x:v>
      </x:c>
      <x:c r="I54" s="44" t="str">
        <x:v>S004</x:v>
      </x:c>
      <x:c r="J54" s="44" t="str">
        <x:v>Assumption</x:v>
      </x:c>
    </x:row>
    <x:row r="55">
      <x:c r="A55" s="44" t="str">
        <x:v>2026-07-31</x:v>
      </x:c>
      <x:c r="B55" s="44" t="str">
        <x:v>VEF_LOCAL</x:v>
      </x:c>
      <x:c r="C55" s="44" t="str">
        <x:v>MBB</x:v>
      </x:c>
      <x:c r="D55" s="44" t="str">
        <x:v>Banks</x:v>
      </x:c>
      <x:c r="E55" s="44" t="n">
        <x:v>8.95</x:v>
      </x:c>
      <x:c r="F55" s="44" t="n">
        <x:v>9.32</x:v>
      </x:c>
      <x:c r="G55" s="44" t="n">
        <x:v>-0.37</x:v>
      </x:c>
      <x:c r="H55" s="44" t="str">
        <x:v>Medium</x:v>
      </x:c>
      <x:c r="I55" s="44" t="str">
        <x:v>S004</x:v>
      </x:c>
      <x:c r="J55" s="44" t="str">
        <x:v>Assumption</x:v>
      </x:c>
    </x:row>
    <x:row r="56">
      <x:c r="A56" s="44" t="str">
        <x:v>2026-07-31</x:v>
      </x:c>
      <x:c r="B56" s="44" t="str">
        <x:v>VEF_LOCAL</x:v>
      </x:c>
      <x:c r="C56" s="44" t="str">
        <x:v>MWG</x:v>
      </x:c>
      <x:c r="D56" s="44" t="str">
        <x:v>Retail</x:v>
      </x:c>
      <x:c r="E56" s="44" t="n">
        <x:v>10.51</x:v>
      </x:c>
      <x:c r="F56" s="44" t="n">
        <x:v>8.92</x:v>
      </x:c>
      <x:c r="G56" s="44" t="n">
        <x:v>1.59</x:v>
      </x:c>
      <x:c r="H56" s="44" t="str">
        <x:v>High</x:v>
      </x:c>
      <x:c r="I56" s="44" t="str">
        <x:v>S004</x:v>
      </x:c>
      <x:c r="J56" s="44" t="str">
        <x:v>Assumption</x:v>
      </x:c>
    </x:row>
    <x:row r="57">
      <x:c r="A57" s="44" t="str">
        <x:v>2026-07-31</x:v>
      </x:c>
      <x:c r="B57" s="44" t="str">
        <x:v>VEF_LOCAL</x:v>
      </x:c>
      <x:c r="C57" s="44" t="str">
        <x:v>KDH</x:v>
      </x:c>
      <x:c r="D57" s="44" t="str">
        <x:v>Real Estate</x:v>
      </x:c>
      <x:c r="E57" s="44" t="n">
        <x:v>3.49</x:v>
      </x:c>
      <x:c r="F57" s="44" t="n">
        <x:v>4.89</x:v>
      </x:c>
      <x:c r="G57" s="44" t="n">
        <x:v>-1.4</x:v>
      </x:c>
      <x:c r="H57" s="44" t="str">
        <x:v>High</x:v>
      </x:c>
      <x:c r="I57" s="44" t="str">
        <x:v>S004</x:v>
      </x:c>
      <x:c r="J57" s="44" t="str">
        <x:v>Assumption</x:v>
      </x:c>
    </x:row>
    <x:row r="58">
      <x:c r="A58" s="44" t="str">
        <x:v>2026-07-31</x:v>
      </x:c>
      <x:c r="B58" s="44" t="str">
        <x:v>VEF_LOCAL</x:v>
      </x:c>
      <x:c r="C58" s="44" t="str">
        <x:v>VNM</x:v>
      </x:c>
      <x:c r="D58" s="44" t="str">
        <x:v>Consumer</x:v>
      </x:c>
      <x:c r="E58" s="44" t="n">
        <x:v>11.3</x:v>
      </x:c>
      <x:c r="F58" s="44" t="n">
        <x:v>12.48</x:v>
      </x:c>
      <x:c r="G58" s="44" t="n">
        <x:v>-1.18</x:v>
      </x:c>
      <x:c r="H58" s="44" t="str">
        <x:v>High</x:v>
      </x:c>
      <x:c r="I58" s="44" t="str">
        <x:v>S004</x:v>
      </x:c>
      <x:c r="J58" s="44" t="str">
        <x:v>Assumption</x:v>
      </x:c>
    </x:row>
    <x:row r="59">
      <x:c r="A59" s="44" t="str">
        <x:v>2026-07-31</x:v>
      </x:c>
      <x:c r="B59" s="44" t="str">
        <x:v>VEF_LOCAL</x:v>
      </x:c>
      <x:c r="C59" s="44" t="str">
        <x:v>VND</x:v>
      </x:c>
      <x:c r="D59" s="44" t="str">
        <x:v>Securities</x:v>
      </x:c>
      <x:c r="E59" s="44" t="n">
        <x:v>12.91</x:v>
      </x:c>
      <x:c r="F59" s="44" t="n">
        <x:v>12.3</x:v>
      </x:c>
      <x:c r="G59" s="44" t="n">
        <x:v>0.61</x:v>
      </x:c>
      <x:c r="H59" s="44" t="str">
        <x:v>High</x:v>
      </x:c>
      <x:c r="I59" s="44" t="str">
        <x:v>S004</x:v>
      </x:c>
      <x:c r="J59" s="44" t="str">
        <x:v>Assumption</x:v>
      </x:c>
    </x:row>
    <x:row r="60">
      <x:c r="A60" s="44" t="str">
        <x:v>2026-07-31</x:v>
      </x:c>
      <x:c r="B60" s="44" t="str">
        <x:v>VEF_LOCAL</x:v>
      </x:c>
      <x:c r="C60" s="44" t="str">
        <x:v>VHM</x:v>
      </x:c>
      <x:c r="D60" s="44" t="str">
        <x:v>Real Estate</x:v>
      </x:c>
      <x:c r="E60" s="44" t="n">
        <x:v>3.42</x:v>
      </x:c>
      <x:c r="F60" s="44" t="n">
        <x:v>4.06</x:v>
      </x:c>
      <x:c r="G60" s="44" t="n">
        <x:v>-0.65</x:v>
      </x:c>
      <x:c r="H60" s="44" t="str">
        <x:v>High</x:v>
      </x:c>
      <x:c r="I60" s="44" t="str">
        <x:v>S004</x:v>
      </x:c>
      <x:c r="J60" s="44" t="str">
        <x:v>Assumption</x:v>
      </x:c>
    </x:row>
    <x:row r="61">
      <x:c r="A61" s="44" t="str">
        <x:v>2026-07-31</x:v>
      </x:c>
      <x:c r="B61" s="44" t="str">
        <x:v>VEF_LOCAL</x:v>
      </x:c>
      <x:c r="C61" s="44" t="str">
        <x:v>SSI</x:v>
      </x:c>
      <x:c r="D61" s="44" t="str">
        <x:v>Securities</x:v>
      </x:c>
      <x:c r="E61" s="44" t="n">
        <x:v>2.5</x:v>
      </x:c>
      <x:c r="F61" s="44" t="n">
        <x:v>2.53</x:v>
      </x:c>
      <x:c r="G61" s="44" t="n">
        <x:v>-0.02</x:v>
      </x:c>
      <x:c r="H61" s="44" t="str">
        <x:v>High</x:v>
      </x:c>
      <x:c r="I61" s="44" t="str">
        <x:v>S004</x:v>
      </x:c>
      <x:c r="J61" s="44" t="str">
        <x:v>Assumption</x:v>
      </x:c>
    </x:row>
    <x:row r="62">
      <x:c r="A62" s="44" t="str">
        <x:v>2026-07-31</x:v>
      </x:c>
      <x:c r="B62" s="44" t="str">
        <x:v>VEF_LOCAL</x:v>
      </x:c>
      <x:c r="C62" s="44" t="str">
        <x:v>TCB</x:v>
      </x:c>
      <x:c r="D62" s="44" t="str">
        <x:v>Banks</x:v>
      </x:c>
      <x:c r="E62" s="44" t="n">
        <x:v>5.68</x:v>
      </x:c>
      <x:c r="F62" s="44" t="n">
        <x:v>3.73</x:v>
      </x:c>
      <x:c r="G62" s="44" t="n">
        <x:v>1.95</x:v>
      </x:c>
      <x:c r="H62" s="44" t="str">
        <x:v>High</x:v>
      </x:c>
      <x:c r="I62" s="44" t="str">
        <x:v>S004</x:v>
      </x:c>
      <x:c r="J62" s="44" t="str">
        <x:v>Assumption</x:v>
      </x:c>
    </x:row>
    <x:row r="63">
      <x:c r="A63" s="44" t="str">
        <x:v>2026-07-31</x:v>
      </x:c>
      <x:c r="B63" s="44" t="str">
        <x:v>VEF_LOCAL</x:v>
      </x:c>
      <x:c r="C63" s="44" t="str">
        <x:v>GMD</x:v>
      </x:c>
      <x:c r="D63" s="44" t="str">
        <x:v>Logistics</x:v>
      </x:c>
      <x:c r="E63" s="44" t="n">
        <x:v>9.73</x:v>
      </x:c>
      <x:c r="F63" s="44" t="n">
        <x:v>11.01</x:v>
      </x:c>
      <x:c r="G63" s="44" t="n">
        <x:v>-1.29</x:v>
      </x:c>
      <x:c r="H63" s="44" t="str">
        <x:v>High</x:v>
      </x:c>
      <x:c r="I63" s="44" t="str">
        <x:v>S004</x:v>
      </x:c>
      <x:c r="J63" s="44" t="str">
        <x:v>Assumption</x:v>
      </x:c>
    </x:row>
    <x:row r="64">
      <x:c r="A64" s="44" t="str">
        <x:v>2026-07-31</x:v>
      </x:c>
      <x:c r="B64" s="44" t="str">
        <x:v>VEF_LOCAL</x:v>
      </x:c>
      <x:c r="C64" s="44" t="str">
        <x:v>MSN</x:v>
      </x:c>
      <x:c r="D64" s="44" t="str">
        <x:v>Consumer</x:v>
      </x:c>
      <x:c r="E64" s="44" t="n">
        <x:v>12.84</x:v>
      </x:c>
      <x:c r="F64" s="44" t="n">
        <x:v>12.57</x:v>
      </x:c>
      <x:c r="G64" s="44" t="n">
        <x:v>0.27</x:v>
      </x:c>
      <x:c r="H64" s="44" t="str">
        <x:v>High</x:v>
      </x:c>
      <x:c r="I64" s="44" t="str">
        <x:v>S004</x:v>
      </x:c>
      <x:c r="J64" s="44" t="str">
        <x:v>Assumption</x:v>
      </x:c>
    </x:row>
    <x:row r="65">
      <x:c r="A65" s="44" t="str">
        <x:v>2026-07-31</x:v>
      </x:c>
      <x:c r="B65" s="44" t="str">
        <x:v>VEF_LOCAL</x:v>
      </x:c>
      <x:c r="C65" s="44" t="str">
        <x:v>FPT</x:v>
      </x:c>
      <x:c r="D65" s="44" t="str">
        <x:v>Technology</x:v>
      </x:c>
      <x:c r="E65" s="44" t="n">
        <x:v>6.61</x:v>
      </x:c>
      <x:c r="F65" s="44" t="n">
        <x:v>7.16</x:v>
      </x:c>
      <x:c r="G65" s="44" t="n">
        <x:v>-0.54</x:v>
      </x:c>
      <x:c r="H65" s="44" t="str">
        <x:v>High</x:v>
      </x:c>
      <x:c r="I65" s="44" t="str">
        <x:v>S004</x:v>
      </x:c>
      <x:c r="J65" s="44" t="str">
        <x:v>Assumption</x:v>
      </x:c>
    </x:row>
    <x:row r="66">
      <x:c r="A66" s="44" t="str">
        <x:v>2026-07-31</x:v>
      </x:c>
      <x:c r="B66" s="44" t="str">
        <x:v>VEF_LOCAL</x:v>
      </x:c>
      <x:c r="C66" s="44" t="str">
        <x:v>CASH</x:v>
      </x:c>
      <x:c r="D66" s="44" t="str">
        <x:v>Cash</x:v>
      </x:c>
      <x:c r="E66" s="44" t="n">
        <x:v>8</x:v>
      </x:c>
      <x:c r="F66" s="44" t="n">
        <x:v>0</x:v>
      </x:c>
      <x:c r="G66" s="44" t="n">
        <x:v>8</x:v>
      </x:c>
      <x:c r="H66" s="44" t="str">
        <x:v>High</x:v>
      </x:c>
      <x:c r="I66" s="44" t="str">
        <x:v>S004</x:v>
      </x:c>
      <x:c r="J66" s="44" t="str">
        <x:v>Assumption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3.220000267028809" hidden="0" customWidth="1"/>
    <x:col min="3" max="3" width="14.220000267028809" hidden="0" customWidth="1"/>
    <x:col min="4" max="4" width="15.5600004196167" hidden="0" customWidth="1"/>
    <x:col min="5" max="5" width="10" hidden="0" customWidth="1"/>
    <x:col min="6" max="6" width="14.4399995803833" hidden="0" customWidth="1"/>
    <x:col min="7" max="7" width="11.109999656677246" hidden="0" customWidth="1"/>
    <x:col min="8" max="8" width="14.109999656677246" hidden="0" customWidth="1"/>
    <x:col min="9" max="9" width="7.78000020980835" hidden="0" customWidth="1"/>
    <x:col min="10" max="10" width="18.219999313354492" hidden="0" customWidth="1"/>
  </x:cols>
  <x:sheetData>
    <x:row r="1">
      <x:c r="A1" s="86" t="str">
        <x:v>Year</x:v>
      </x:c>
      <x:c r="B1" s="86" t="str">
        <x:v>Revenue_VND_bn</x:v>
      </x:c>
      <x:c r="C1" s="86" t="str">
        <x:v>Personnel_VND_bn</x:v>
      </x:c>
      <x:c r="D1" s="86" t="str">
        <x:v>Other_Opex_VND_bn</x:v>
      </x:c>
      <x:c r="E1" s="86" t="str">
        <x:v>PBT_VND_bn</x:v>
      </x:c>
      <x:c r="F1" s="86" t="str">
        <x:v>Tax_Other_VND_bn</x:v>
      </x:c>
      <x:c r="G1" s="86" t="str">
        <x:v>NPAT_VND_bn</x:v>
      </x:c>
      <x:c r="H1" s="86" t="str">
        <x:v>Avg_AUM_VND_bn</x:v>
      </x:c>
      <x:c r="I1" s="86" t="str">
        <x:v>Source_ID</x:v>
      </x:c>
      <x:c r="J1" s="86" t="str">
        <x:v>Status</x:v>
      </x:c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n">
        <x:v>2023</x:v>
      </x:c>
      <x:c r="B2" s="89" t="n">
        <x:v>820</x:v>
      </x:c>
      <x:c r="C2" s="89" t="n">
        <x:v>310</x:v>
      </x:c>
      <x:c r="D2" s="89" t="n">
        <x:v>510</x:v>
      </x:c>
      <x:c r="E2" s="89" t="n">
        <x:v>285</x:v>
      </x:c>
      <x:c r="F2" s="89" t="n">
        <x:v>225</x:v>
      </x:c>
      <x:c r="G2" s="89" t="n">
        <x:v>170</x:v>
      </x:c>
      <x:c r="H2" s="89" t="n">
        <x:v>118000</x:v>
      </x:c>
      <x:c r="I2" s="81" t="str">
        <x:v>S004</x:v>
      </x:c>
      <x:c r="J2" s="81" t="str">
        <x:v>Assumption</x:v>
      </x:c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n">
        <x:v>2024</x:v>
      </x:c>
      <x:c r="B3" s="89" t="n">
        <x:v>970</x:v>
      </x:c>
      <x:c r="C3" s="89" t="n">
        <x:v>350</x:v>
      </x:c>
      <x:c r="D3" s="89" t="n">
        <x:v>620</x:v>
      </x:c>
      <x:c r="E3" s="89" t="n">
        <x:v>335</x:v>
      </x:c>
      <x:c r="F3" s="89" t="n">
        <x:v>285</x:v>
      </x:c>
      <x:c r="G3" s="89" t="n">
        <x:v>218</x:v>
      </x:c>
      <x:c r="H3" s="89" t="n">
        <x:v>126000</x:v>
      </x:c>
      <x:c r="I3" s="81" t="str">
        <x:v>S004</x:v>
      </x:c>
      <x:c r="J3" s="81" t="str">
        <x:v>Assumption</x:v>
      </x:c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n">
        <x:v>2025</x:v>
      </x:c>
      <x:c r="B4" s="89" t="n">
        <x:v>1240</x:v>
      </x:c>
      <x:c r="C4" s="89" t="n">
        <x:v>410</x:v>
      </x:c>
      <x:c r="D4" s="89" t="n">
        <x:v>830</x:v>
      </x:c>
      <x:c r="E4" s="89" t="n">
        <x:v>405</x:v>
      </x:c>
      <x:c r="F4" s="89" t="n">
        <x:v>425</x:v>
      </x:c>
      <x:c r="G4" s="89" t="n">
        <x:v>330</x:v>
      </x:c>
      <x:c r="H4" s="89" t="n">
        <x:v>140000</x:v>
      </x:c>
      <x:c r="I4" s="81" t="str">
        <x:v>S004</x:v>
      </x:c>
      <x:c r="J4" s="81" t="str">
        <x:v>Assumption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n">
        <x:v>2026</x:v>
      </x:c>
      <x:c r="B5" s="89" t="n">
        <x:v>1360</x:v>
      </x:c>
      <x:c r="C5" s="89" t="n">
        <x:v>455</x:v>
      </x:c>
      <x:c r="D5" s="89" t="n">
        <x:v>905</x:v>
      </x:c>
      <x:c r="E5" s="89" t="n">
        <x:v>430</x:v>
      </x:c>
      <x:c r="F5" s="89" t="n">
        <x:v>475</x:v>
      </x:c>
      <x:c r="G5" s="89" t="n">
        <x:v>370</x:v>
      </x:c>
      <x:c r="H5" s="89" t="n">
        <x:v>151000</x:v>
      </x:c>
      <x:c r="I5" s="81" t="str">
        <x:v>S004</x:v>
      </x:c>
      <x:c r="J5" s="81" t="str">
        <x:v>Assumption - FY projection</x:v>
      </x:c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32.220001220703125" hidden="0" customWidth="1"/>
    <x:col min="3" max="3" width="11.329999923706055" hidden="0" customWidth="1"/>
    <x:col min="4" max="4" width="6.329999923706055" hidden="0" customWidth="1"/>
    <x:col min="5" max="5" width="10" hidden="0" customWidth="1"/>
    <x:col min="6" max="6" width="7.78000020980835" hidden="0" customWidth="1"/>
    <x:col min="7" max="7" width="45.560001373291016" hidden="0" customWidth="1"/>
  </x:cols>
  <x:sheetData>
    <x:row r="1">
      <x:c r="A1" s="86" t="str">
        <x:v>Date</x:v>
      </x:c>
      <x:c r="B1" s="86" t="str">
        <x:v>Shareholder</x:v>
      </x:c>
      <x:c r="C1" s="86" t="str">
        <x:v>Ownership_Pct</x:v>
      </x:c>
      <x:c r="D1" s="86" t="str">
        <x:v>Type</x:v>
      </x:c>
      <x:c r="E1" s="86" t="str">
        <x:v>Jurisdiction</x:v>
      </x:c>
      <x:c r="F1" s="86" t="str">
        <x:v>Source_ID</x:v>
      </x:c>
      <x:c r="G1" s="86" t="str">
        <x:v>Status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2026-07-31</x:v>
      </x:c>
      <x:c r="B2" s="81" t="str">
        <x:v>Dragon Capital Markets (Europe) Limited</x:v>
      </x:c>
      <x:c r="C2" s="91" t="n">
        <x:v>48</x:v>
      </x:c>
      <x:c r="D2" s="81" t="str">
        <x:v>Strategic</x:v>
      </x:c>
      <x:c r="E2" s="81" t="str">
        <x:v>Foreign</x:v>
      </x:c>
      <x:c r="F2" s="81" t="str">
        <x:v>S004</x:v>
      </x:c>
      <x:c r="G2" s="81" t="str">
        <x:v>Assumption based on public disclosures discussed; verify before use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2026-07-31</x:v>
      </x:c>
      <x:c r="B3" s="81" t="str">
        <x:v>Dragon Capital Investment Management Limited</x:v>
      </x:c>
      <x:c r="C3" s="91" t="n">
        <x:v>39.95</x:v>
      </x:c>
      <x:c r="D3" s="81" t="str">
        <x:v>Strategic</x:v>
      </x:c>
      <x:c r="E3" s="81" t="str">
        <x:v>Foreign</x:v>
      </x:c>
      <x:c r="F3" s="81" t="str">
        <x:v>S004</x:v>
      </x:c>
      <x:c r="G3" s="81" t="str">
        <x:v>Assumption based on public disclosures discussed; verify before use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2026-07-31</x:v>
      </x:c>
      <x:c r="B4" s="81" t="str">
        <x:v>CEO / Management</x:v>
      </x:c>
      <x:c r="C4" s="91" t="n">
        <x:v>2.29</x:v>
      </x:c>
      <x:c r="D4" s="81" t="str">
        <x:v>Insider</x:v>
      </x:c>
      <x:c r="E4" s="81" t="str">
        <x:v>Vietnam/Other</x:v>
      </x:c>
      <x:c r="F4" s="81" t="str">
        <x:v>S004</x:v>
      </x:c>
      <x:c r="G4" s="81" t="str">
        <x:v>Illustrative based on public-discussion inputs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2026-07-31</x:v>
      </x:c>
      <x:c r="B5" s="81" t="str">
        <x:v>Other shareholders</x:v>
      </x:c>
      <x:c r="C5" s="91" t="n">
        <x:v>9.76</x:v>
      </x:c>
      <x:c r="D5" s="81" t="str">
        <x:v>Minority</x:v>
      </x:c>
      <x:c r="E5" s="81" t="str">
        <x:v>Mixed</x:v>
      </x:c>
      <x:c r="F5" s="81" t="str">
        <x:v>S004</x:v>
      </x:c>
      <x:c r="G5" s="81" t="str">
        <x:v>Residual assumption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9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9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9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9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9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9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9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9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9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9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9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9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9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9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9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9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9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9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9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9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9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9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9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9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9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9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9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9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9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9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9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9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9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9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9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9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9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9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9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9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9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9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9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9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9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9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9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9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9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9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9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9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9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9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9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9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9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9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9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9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9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9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9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9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9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9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9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9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9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9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9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9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9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9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9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9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9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9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9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9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9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9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9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9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9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9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9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9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9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9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9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9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9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9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9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2" hidden="0" customWidth="1"/>
    <x:col min="5" max="5" width="42" hidden="0" customWidth="1"/>
    <x:col min="6" max="6" width="14" hidden="0" customWidth="1"/>
    <x:col min="7" max="7" width="12" hidden="0" customWidth="1"/>
    <x:col min="8" max="8" width="34" hidden="0" customWidth="1"/>
  </x:cols>
  <x:sheetData>
    <x:row r="1">
      <x:c r="A1" s="6" t="str">
        <x:v>Date</x:v>
      </x:c>
      <x:c r="B1" s="6" t="str">
        <x:v>Role</x:v>
      </x:c>
      <x:c r="C1" s="6" t="str">
        <x:v>Person</x:v>
      </x:c>
      <x:c r="D1" s="6" t="str">
        <x:v>Event</x:v>
      </x:c>
      <x:c r="E1" s="6" t="str">
        <x:v>Interpretation</x:v>
      </x:c>
      <x:c r="F1" s="6" t="str">
        <x:v>Signal_Level</x:v>
      </x:c>
      <x:c r="G1" s="6" t="str">
        <x:v>Source_ID</x:v>
      </x:c>
      <x:c r="H1" s="6" t="str">
        <x:v>Status</x:v>
      </x:c>
    </x:row>
    <x:row r="2">
      <x:c r="A2" t="str">
        <x:v>2025-10-01</x:v>
      </x:c>
      <x:c r="B2" t="str">
        <x:v>CEO</x:v>
      </x:c>
      <x:c r="C2" t="str">
        <x:v>Lê Anh Tuấn</x:v>
      </x:c>
      <x:c r="D2" t="str">
        <x:v>Appointed</x:v>
      </x:c>
      <x:c r="E2" t="str">
        <x:v>Executive transition</x:v>
      </x:c>
      <x:c r="F2" t="str">
        <x:v>Medium</x:v>
      </x:c>
      <x:c r="G2" t="str">
        <x:v>S004</x:v>
      </x:c>
      <x:c r="H2" t="str">
        <x:v>Assumption/public-discussion input</x:v>
      </x:c>
    </x:row>
    <x:row r="3">
      <x:c r="A3" t="str">
        <x:v>2026-05-19</x:v>
      </x:c>
      <x:c r="B3" t="str">
        <x:v>Board</x:v>
      </x:c>
      <x:c r="C3" t="str">
        <x:v>Vice Chair / Board Member</x:v>
      </x:c>
      <x:c r="D3" t="str">
        <x:v>Resignation</x:v>
      </x:c>
      <x:c r="E3" t="str">
        <x:v>Governance change</x:v>
      </x:c>
      <x:c r="F3" t="str">
        <x:v>High</x:v>
      </x:c>
      <x:c r="G3" t="str">
        <x:v>S004</x:v>
      </x:c>
      <x:c r="H3" t="str">
        <x:v>Assumption/public-discussion input</x:v>
      </x:c>
    </x:row>
    <x:row r="4">
      <x:c r="A4" t="str">
        <x:v>2026-06-04</x:v>
      </x:c>
      <x:c r="B4" t="str">
        <x:v>CEO</x:v>
      </x:c>
      <x:c r="C4" t="str">
        <x:v>Lê Anh Tuấn</x:v>
      </x:c>
      <x:c r="D4" t="str">
        <x:v>Ownership increase</x:v>
      </x:c>
      <x:c r="E4" t="str">
        <x:v>Alignment / possible transaction relevance</x:v>
      </x:c>
      <x:c r="F4" t="str">
        <x:v>Medium</x:v>
      </x:c>
      <x:c r="G4" t="str">
        <x:v>S004</x:v>
      </x:c>
      <x:c r="H4" t="str">
        <x:v>Assumption/public-discussion input</x:v>
      </x:c>
    </x:row>
    <x:row r="5">
      <x:c r="A5" t="str">
        <x:v>2026-06-30</x:v>
      </x:c>
      <x:c r="B5" t="str">
        <x:v>Internal Audit</x:v>
      </x:c>
      <x:c r="C5" t="str">
        <x:v>Committee/role update</x:v>
      </x:c>
      <x:c r="D5" t="str">
        <x:v>Change</x:v>
      </x:c>
      <x:c r="E5" t="str">
        <x:v>Governance strengthening</x:v>
      </x:c>
      <x:c r="F5" t="str">
        <x:v>Low</x:v>
      </x:c>
      <x:c r="G5" t="str">
        <x:v>S004</x:v>
      </x:c>
      <x:c r="H5" t="str">
        <x:v>Assumption/public-discussion input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.4399995803833" hidden="0" customWidth="1"/>
    <x:col min="3" max="3" width="8.329999923706055" hidden="0" customWidth="1"/>
    <x:col min="4" max="4" width="11.890000343322754" hidden="0" customWidth="1"/>
    <x:col min="5" max="5" width="15.779999732971191" hidden="0" customWidth="1"/>
    <x:col min="6" max="6" width="37.66999816894531" hidden="0" customWidth="1"/>
    <x:col min="7" max="7" width="7.78000020980835" hidden="0" customWidth="1"/>
    <x:col min="8" max="8" width="8.220000267028809" hidden="0" customWidth="1"/>
  </x:cols>
  <x:sheetData>
    <x:row r="1">
      <x:c r="A1" s="86" t="str">
        <x:v>Manager</x:v>
      </x:c>
      <x:c r="B1" s="86" t="str">
        <x:v>AUM_VND_bn</x:v>
      </x:c>
      <x:c r="C1" s="86" t="str">
        <x:v>AUM_Rank</x:v>
      </x:c>
      <x:c r="D1" s="86" t="str">
        <x:v>Equity_Strength</x:v>
      </x:c>
      <x:c r="E1" s="86" t="str">
        <x:v>Distribution_Strength</x:v>
      </x:c>
      <x:c r="F1" s="86" t="str">
        <x:v>Comment</x:v>
      </x:c>
      <x:c r="G1" s="86" t="str">
        <x:v>Source_ID</x:v>
      </x:c>
      <x:c r="H1" s="86" t="str">
        <x:v>Status</x:v>
      </x:c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DCVFM</x:v>
      </x:c>
      <x:c r="B2" s="81" t="n">
        <x:v>140000</x:v>
      </x:c>
      <x:c r="C2" s="81" t="n">
        <x:v>1</x:v>
      </x:c>
      <x:c r="D2" s="81" t="str">
        <x:v>Strong</x:v>
      </x:c>
      <x:c r="E2" s="81" t="str">
        <x:v>Strong</x:v>
      </x:c>
      <x:c r="F2" s="81" t="str">
        <x:v>Largest public-fund AUM; broad ETF/open-end franchise</x:v>
      </x:c>
      <x:c r="G2" s="81" t="str">
        <x:v>S001</x:v>
      </x:c>
      <x:c r="H2" s="81" t="str">
        <x:v>Mixed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VinaCapital</x:v>
      </x:c>
      <x:c r="B3" s="81" t="n">
        <x:v>90000</x:v>
      </x:c>
      <x:c r="C3" s="81" t="n">
        <x:v>2</x:v>
      </x:c>
      <x:c r="D3" s="81" t="str">
        <x:v>Strong</x:v>
      </x:c>
      <x:c r="E3" s="81" t="str">
        <x:v>Strong</x:v>
      </x:c>
      <x:c r="F3" s="81" t="str">
        <x:v>Illustrative comparator</x:v>
      </x:c>
      <x:c r="G3" s="81" t="str">
        <x:v>S004</x:v>
      </x:c>
      <x:c r="H3" s="81" t="str">
        <x:v>Assumption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Techcom Capital</x:v>
      </x:c>
      <x:c r="B4" s="81" t="n">
        <x:v>65000</x:v>
      </x:c>
      <x:c r="C4" s="81" t="n">
        <x:v>3</x:v>
      </x:c>
      <x:c r="D4" s="81" t="str">
        <x:v>High</x:v>
      </x:c>
      <x:c r="E4" s="81" t="str">
        <x:v>High</x:v>
      </x:c>
      <x:c r="F4" s="81" t="str">
        <x:v>Illustrative comparator</x:v>
      </x:c>
      <x:c r="G4" s="81" t="str">
        <x:v>S004</x:v>
      </x:c>
      <x:c r="H4" s="81" t="str">
        <x:v>Assumption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SSIAM</x:v>
      </x:c>
      <x:c r="B5" s="81" t="n">
        <x:v>58000</x:v>
      </x:c>
      <x:c r="C5" s="81" t="n">
        <x:v>4</x:v>
      </x:c>
      <x:c r="D5" s="81" t="str">
        <x:v>High</x:v>
      </x:c>
      <x:c r="E5" s="81" t="str">
        <x:v>Strong</x:v>
      </x:c>
      <x:c r="F5" s="81" t="str">
        <x:v>Illustrative comparator</x:v>
      </x:c>
      <x:c r="G5" s="81" t="str">
        <x:v>S004</x:v>
      </x:c>
      <x:c r="H5" s="81" t="str">
        <x:v>Assumption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VCBF</x:v>
      </x:c>
      <x:c r="B6" s="81" t="n">
        <x:v>36000</x:v>
      </x:c>
      <x:c r="C6" s="81" t="n">
        <x:v>5</x:v>
      </x:c>
      <x:c r="D6" s="81" t="str">
        <x:v>Medium</x:v>
      </x:c>
      <x:c r="E6" s="81" t="str">
        <x:v>Medium</x:v>
      </x:c>
      <x:c r="F6" s="81" t="str">
        <x:v>Illustrative comparator</x:v>
      </x:c>
      <x:c r="G6" s="81" t="str">
        <x:v>S004</x:v>
      </x:c>
      <x:c r="H6" s="81" t="str">
        <x:v>Assumption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MB Capital</x:v>
      </x:c>
      <x:c r="B7" s="81" t="n">
        <x:v>28000</x:v>
      </x:c>
      <x:c r="C7" s="81" t="n">
        <x:v>6</x:v>
      </x:c>
      <x:c r="D7" s="81" t="str">
        <x:v>Medium</x:v>
      </x:c>
      <x:c r="E7" s="81" t="str">
        <x:v>Medium</x:v>
      </x:c>
      <x:c r="F7" s="81" t="str">
        <x:v>Illustrative comparator</x:v>
      </x:c>
      <x:c r="G7" s="81" t="str">
        <x:v>S004</x:v>
      </x:c>
      <x:c r="H7" s="81" t="str">
        <x:v>Assumption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.889999389648438" hidden="0" customWidth="1"/>
    <x:col min="3" max="3" width="10.779999732971191" hidden="0" customWidth="1"/>
    <x:col min="4" max="4" width="6.21999979019165" hidden="0" customWidth="1"/>
    <x:col min="5" max="5" width="13.5600004196167" hidden="0" customWidth="1"/>
    <x:col min="6" max="6" width="32.779998779296875" hidden="0" customWidth="1"/>
    <x:col min="7" max="7" width="7.78000020980835" hidden="0" customWidth="1"/>
  </x:cols>
  <x:sheetData>
    <x:row r="1">
      <x:c r="A1" s="86" t="str">
        <x:v>Risk_Type</x:v>
      </x:c>
      <x:c r="B1" s="86" t="str">
        <x:v>Trigger</x:v>
      </x:c>
      <x:c r="C1" s="86" t="str">
        <x:v>Current_Score</x:v>
      </x:c>
      <x:c r="D1" s="86" t="str">
        <x:v>Severity</x:v>
      </x:c>
      <x:c r="E1" s="86" t="str">
        <x:v>Owner</x:v>
      </x:c>
      <x:c r="F1" s="86" t="str">
        <x:v>Recommended_Action</x:v>
      </x:c>
      <x:c r="G1" s="86" t="str">
        <x:v>Source_ID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Market Risk</x:v>
      </x:c>
      <x:c r="B2" s="81" t="str">
        <x:v>VNINDEX drawdown &gt; 12% in 3m</x:v>
      </x:c>
      <x:c r="C2" s="81" t="n">
        <x:v>65</x:v>
      </x:c>
      <x:c r="D2" s="81" t="str">
        <x:v>High</x:v>
      </x:c>
      <x:c r="E2" s="81" t="str">
        <x:v>CIO</x:v>
      </x:c>
      <x:c r="F2" s="81" t="str">
        <x:v>Reduce beta / review concentration</x:v>
      </x:c>
      <x:c r="G2" s="81" t="str">
        <x:v>S004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Redemption Risk</x:v>
      </x:c>
      <x:c r="B3" s="81" t="str">
        <x:v>3m cumulative net flow &lt; -5% AUM</x:v>
      </x:c>
      <x:c r="C3" s="81" t="n">
        <x:v>48</x:v>
      </x:c>
      <x:c r="D3" s="81" t="str">
        <x:v>Medium</x:v>
      </x:c>
      <x:c r="E3" s="81" t="str">
        <x:v>Head of Distribution</x:v>
      </x:c>
      <x:c r="F3" s="81" t="str">
        <x:v>Liquidity buffer + client communication</x:v>
      </x:c>
      <x:c r="G3" s="81" t="str">
        <x:v>S004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Performance Risk</x:v>
      </x:c>
      <x:c r="B4" s="81" t="str">
        <x:v>3m alpha &lt; -3%</x:v>
      </x:c>
      <x:c r="C4" s="81" t="n">
        <x:v>57</x:v>
      </x:c>
      <x:c r="D4" s="81" t="str">
        <x:v>Medium</x:v>
      </x:c>
      <x:c r="E4" s="81" t="str">
        <x:v>CIO</x:v>
      </x:c>
      <x:c r="F4" s="81" t="str">
        <x:v>Attribution review / active weight challenge</x:v>
      </x:c>
      <x:c r="G4" s="81" t="str">
        <x:v>S004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Concentration Risk</x:v>
      </x:c>
      <x:c r="B5" s="81" t="str">
        <x:v>Top 10 &gt; 55%</x:v>
      </x:c>
      <x:c r="C5" s="81" t="n">
        <x:v>42</x:v>
      </x:c>
      <x:c r="D5" s="81" t="str">
        <x:v>Medium</x:v>
      </x:c>
      <x:c r="E5" s="81" t="str">
        <x:v>Risk</x:v>
      </x:c>
      <x:c r="F5" s="81" t="str">
        <x:v>Position limit review</x:v>
      </x:c>
      <x:c r="G5" s="81" t="str">
        <x:v>S004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Governance/M&amp;A</x:v>
      </x:c>
      <x:c r="B6" s="81" t="str">
        <x:v>M&amp;A signal score &gt; 50</x:v>
      </x:c>
      <x:c r="C6" s="81" t="n">
        <x:v>61</x:v>
      </x:c>
      <x:c r="D6" s="81" t="str">
        <x:v>High</x:v>
      </x:c>
      <x:c r="E6" s="81" t="str">
        <x:v>CEO/Board</x:v>
      </x:c>
      <x:c r="F6" s="81" t="str">
        <x:v>Validate ownership changes and buyer scenarios</x:v>
      </x:c>
      <x:c r="G6" s="81" t="str">
        <x:v>S004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Financial Risk</x:v>
      </x:c>
      <x:c r="B7" s="81" t="str">
        <x:v>Revenue/AUM compression &gt; 15bp</x:v>
      </x:c>
      <x:c r="C7" s="81" t="n">
        <x:v>35</x:v>
      </x:c>
      <x:c r="D7" s="81" t="str">
        <x:v>Low</x:v>
      </x:c>
      <x:c r="E7" s="81" t="str">
        <x:v>CFO</x:v>
      </x:c>
      <x:c r="F7" s="81" t="str">
        <x:v>Cost discipline / product mix</x:v>
      </x:c>
      <x:c r="G7" s="81" t="str">
        <x:v>S004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0.890000343322754" hidden="0" customWidth="1"/>
    <x:col min="3" max="3" width="14.4399995803833" hidden="0" customWidth="1"/>
    <x:col min="4" max="4" width="13.670000076293945" hidden="0" customWidth="1"/>
    <x:col min="5" max="5" width="10.4399995803833" hidden="0" customWidth="1"/>
    <x:col min="6" max="6" width="13.5600004196167" hidden="0" customWidth="1"/>
    <x:col min="7" max="7" width="19.559999465942383" hidden="0" customWidth="1"/>
  </x:cols>
  <x:sheetData>
    <x:row r="1">
      <x:c r="A1" s="86" t="str">
        <x:v>Scenario</x:v>
      </x:c>
      <x:c r="B1" s="86" t="str">
        <x:v>Market_Return</x:v>
      </x:c>
      <x:c r="C1" s="86" t="str">
        <x:v>Net_Flow_Pct_AUM</x:v>
      </x:c>
      <x:c r="D1" s="86" t="str">
        <x:v>Fee_Yield_Change</x:v>
      </x:c>
      <x:c r="E1" s="86" t="str">
        <x:v>Opex_Change</x:v>
      </x:c>
      <x:c r="F1" s="86" t="str">
        <x:v>Valuation_Multiple</x:v>
      </x:c>
      <x:c r="G1" s="86" t="str">
        <x:v>Description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Base</x:v>
      </x:c>
      <x:c r="B2" s="81" t="n">
        <x:v>0</x:v>
      </x:c>
      <x:c r="C2" s="81" t="n">
        <x:v>0</x:v>
      </x:c>
      <x:c r="D2" s="81" t="n">
        <x:v>0</x:v>
      </x:c>
      <x:c r="E2" s="81" t="n">
        <x:v>0</x:v>
      </x:c>
      <x:c r="F2" s="81" t="n">
        <x:v>1</x:v>
      </x:c>
      <x:c r="G2" s="81" t="str">
        <x:v>Normal market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Market -10%</x:v>
      </x:c>
      <x:c r="B3" s="81" t="n">
        <x:v>-0.1</x:v>
      </x:c>
      <x:c r="C3" s="81" t="n">
        <x:v>-0.03</x:v>
      </x:c>
      <x:c r="D3" s="81" t="n">
        <x:v>-0.02</x:v>
      </x:c>
      <x:c r="E3" s="81" t="n">
        <x:v>-0.05</x:v>
      </x:c>
      <x:c r="F3" s="81" t="n">
        <x:v>0.97</x:v>
      </x:c>
      <x:c r="G3" s="81" t="str">
        <x:v>Moderate correction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Market -20%</x:v>
      </x:c>
      <x:c r="B4" s="81" t="n">
        <x:v>-0.2</x:v>
      </x:c>
      <x:c r="C4" s="81" t="n">
        <x:v>-0.07</x:v>
      </x:c>
      <x:c r="D4" s="81" t="n">
        <x:v>-0.05</x:v>
      </x:c>
      <x:c r="E4" s="81" t="n">
        <x:v>-0.1</x:v>
      </x:c>
      <x:c r="F4" s="81" t="n">
        <x:v>0.94</x:v>
      </x:c>
      <x:c r="G4" s="81" t="str">
        <x:v>Bear market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Redemption shock</x:v>
      </x:c>
      <x:c r="B5" s="81" t="n">
        <x:v>-0.05</x:v>
      </x:c>
      <x:c r="C5" s="81" t="n">
        <x:v>-0.15</x:v>
      </x:c>
      <x:c r="D5" s="81" t="n">
        <x:v>-0.08</x:v>
      </x:c>
      <x:c r="E5" s="81" t="n">
        <x:v>-0.03</x:v>
      </x:c>
      <x:c r="F5" s="81" t="n">
        <x:v>0.98</x:v>
      </x:c>
      <x:c r="G5" s="81" t="str">
        <x:v>Large client/fund outflow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Fee compression</x:v>
      </x:c>
      <x:c r="B6" s="81" t="n">
        <x:v>0</x:v>
      </x:c>
      <x:c r="C6" s="81" t="n">
        <x:v>0</x:v>
      </x:c>
      <x:c r="D6" s="81" t="n">
        <x:v>-0.12</x:v>
      </x:c>
      <x:c r="E6" s="81" t="n">
        <x:v>0</x:v>
      </x:c>
      <x:c r="F6" s="81" t="n">
        <x:v>0.88</x:v>
      </x:c>
      <x:c r="G6" s="81" t="str">
        <x:v>Competitive fee pressure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Control change</x:v>
      </x:c>
      <x:c r="B7" s="81" t="n">
        <x:v>0</x:v>
      </x:c>
      <x:c r="C7" s="81" t="n">
        <x:v>0.02</x:v>
      </x:c>
      <x:c r="D7" s="81" t="n">
        <x:v>0.03</x:v>
      </x:c>
      <x:c r="E7" s="81" t="n">
        <x:v>0</x:v>
      </x:c>
      <x:c r="F7" s="81" t="n">
        <x:v>1.03</x:v>
      </x:c>
      <x:c r="G7" s="81" t="str">
        <x:v>Strategic buyer synergy case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3.889999389648438" hidden="0" customWidth="1"/>
    <x:col min="3" max="3" width="5.78000020980835" hidden="0" customWidth="1"/>
    <x:col min="4" max="4" width="45.439998626708984" hidden="0" customWidth="1"/>
    <x:col min="5" max="5" width="8.5600004196167" hidden="0" customWidth="1"/>
  </x:cols>
  <x:sheetData>
    <x:row r="1">
      <x:c r="A1" s="86" t="str">
        <x:v>Rule_ID</x:v>
      </x:c>
      <x:c r="B1" s="86" t="str">
        <x:v>Condition</x:v>
      </x:c>
      <x:c r="C1" s="86" t="str">
        <x:v>Priority</x:v>
      </x:c>
      <x:c r="D1" s="86" t="str">
        <x:v>Recommendation</x:v>
      </x:c>
      <x:c r="E1" s="86" t="str">
        <x:v>Domain</x:v>
      </x:c>
    </x:row>
    <x:row r="2">
      <x:c r="A2" s="44" t="str">
        <x:v>AUM_MOMENTUM</x:v>
      </x:c>
      <x:c r="B2" s="44" t="str">
        <x:v>AUM growth &lt; 0 for 2 months</x:v>
      </x:c>
      <x:c r="C2" s="44" t="str">
        <x:v>High</x:v>
      </x:c>
      <x:c r="D2" s="44" t="str">
        <x:v>Review redemption drivers, sales pipeline and channel performance.</x:v>
      </x:c>
      <x:c r="E2" s="44" t="str">
        <x:v>Growth</x:v>
      </x:c>
    </x:row>
    <x:row r="3">
      <x:c r="A3" s="44" t="str">
        <x:v>FLOW_STRESS</x:v>
      </x:c>
      <x:c r="B3" s="44" t="str">
        <x:v>3m net flows &lt; -5% beginning AUM</x:v>
      </x:c>
      <x:c r="C3" s="44" t="str">
        <x:v>High</x:v>
      </x:c>
      <x:c r="D3" s="44" t="str">
        <x:v>Raise liquidity buffer and initiate top-client retention actions.</x:v>
      </x:c>
      <x:c r="E3" s="44" t="str">
        <x:v>Liquidity</x:v>
      </x:c>
    </x:row>
    <x:row r="4">
      <x:c r="A4" s="44" t="str">
        <x:v>ALPHA_WEAK</x:v>
      </x:c>
      <x:c r="B4" s="44" t="str">
        <x:v>3m alpha &lt; -3%</x:v>
      </x:c>
      <x:c r="C4" s="44" t="str">
        <x:v>High</x:v>
      </x:c>
      <x:c r="D4" s="44" t="str">
        <x:v>Run sector/stock attribution and challenge active weights.</x:v>
      </x:c>
      <x:c r="E4" s="44" t="str">
        <x:v>Investment</x:v>
      </x:c>
    </x:row>
    <x:row r="5">
      <x:c r="A5" s="44" t="str">
        <x:v>MNA_HIGH</x:v>
      </x:c>
      <x:c r="B5" s="44" t="str">
        <x:v>M&amp;A signal &gt; 50</x:v>
      </x:c>
      <x:c r="C5" s="44" t="str">
        <x:v>High</x:v>
      </x:c>
      <x:c r="D5" s="44" t="str">
        <x:v>Prepare ownership scenario memo and regulatory/action checklist.</x:v>
      </x:c>
      <x:c r="E5" s="44" t="str">
        <x:v>Governance</x:v>
      </x:c>
    </x:row>
    <x:row r="6">
      <x:c r="A6" s="44" t="str">
        <x:v>MARKET_RISKOFF</x:v>
      </x:c>
      <x:c r="B6" s="44" t="str">
        <x:v>Market regime = Risk-Off</x:v>
      </x:c>
      <x:c r="C6" s="44" t="str">
        <x:v>Medium</x:v>
      </x:c>
      <x:c r="D6" s="44" t="str">
        <x:v>Lower portfolio beta and review high-liquidity hedging options.</x:v>
      </x:c>
      <x:c r="E6" s="44" t="str">
        <x:v>Risk</x:v>
      </x:c>
    </x:row>
    <x:row r="7">
      <x:c r="A7" s="44" t="str">
        <x:v>FEE_PRESSURE</x:v>
      </x:c>
      <x:c r="B7" s="44" t="str">
        <x:v>Revenue/AUM declines &gt; 10% YoY</x:v>
      </x:c>
      <x:c r="C7" s="44" t="str">
        <x:v>Medium</x:v>
      </x:c>
      <x:c r="D7" s="44" t="str">
        <x:v>Review fee architecture and higher-margin product opportunities.</x:v>
      </x:c>
      <x:c r="E7" s="44" t="str">
        <x:v>Finance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64" hidden="0" customWidth="1"/>
    <x:col min="5" max="5" width="12" hidden="0" customWidth="1"/>
  </x:cols>
  <x:sheetData>
    <x:row r="1" ht="15" hidden="0" customHeight="1">
      <x:c r="A1" s="53" t="str">
        <x:v>Parameter</x:v>
      </x:c>
      <x:c r="B1" s="62" t="str">
        <x:v>Value</x:v>
      </x:c>
      <x:c r="C1" s="62" t="str">
        <x:v>Data_Type</x:v>
      </x:c>
      <x:c r="D1" s="62" t="str">
        <x:v>Description</x:v>
      </x:c>
      <x:c r="E1" s="54" t="str">
        <x:v>Editable</x:v>
      </x:c>
    </x:row>
    <x:row r="2" ht="15" hidden="0" customHeight="1">
      <x:c r="A2" s="44" t="str">
        <x:v>Index_Symbol</x:v>
      </x:c>
      <x:c r="B2" s="74" t="str">
        <x:v>VNINDEX</x:v>
      </x:c>
      <x:c r="C2" s="44" t="str">
        <x:v>Text</x:v>
      </x:c>
      <x:c r="D2" s="44" t="str">
        <x:v>Primary market benchmark requested from vnstock</x:v>
      </x:c>
      <x:c r="E2" s="44" t="str">
        <x:v>Yes</x:v>
      </x:c>
    </x:row>
    <x:row r="3" ht="15" hidden="0" customHeight="1">
      <x:c r="A3" s="44" t="str">
        <x:v>Start_Date</x:v>
      </x:c>
      <x:c r="B3" s="74" t="str">
        <x:v>2025-01-01</x:v>
      </x:c>
      <x:c r="C3" s="44" t="str">
        <x:v>Date</x:v>
      </x:c>
      <x:c r="D3" s="44" t="str">
        <x:v>Earliest market date requested</x:v>
      </x:c>
      <x:c r="E3" s="44" t="str">
        <x:v>Yes</x:v>
      </x:c>
    </x:row>
    <x:row r="4" ht="15" hidden="0" customHeight="1">
      <x:c r="A4" s="44" t="str">
        <x:v>Cache_TTL_Minutes</x:v>
      </x:c>
      <x:c r="B4" s="74" t="n">
        <x:v>60</x:v>
      </x:c>
      <x:c r="C4" s="44" t="str">
        <x:v>Integer</x:v>
      </x:c>
      <x:c r="D4" s="44" t="str">
        <x:v>Market-data cache lifetime</x:v>
      </x:c>
      <x:c r="E4" s="44" t="str">
        <x:v>Yes</x:v>
      </x:c>
    </x:row>
    <x:row r="5" ht="15" hidden="0" customHeight="1">
      <x:c r="A5" s="44" t="str">
        <x:v>Preferred_Source</x:v>
      </x:c>
      <x:c r="B5" s="74" t="str">
        <x:v>VCI</x:v>
      </x:c>
      <x:c r="C5" s="44" t="str">
        <x:v>Text</x:v>
      </x:c>
      <x:c r="D5" s="44" t="str">
        <x:v>Preferred vnstock source when supported</x:v>
      </x:c>
      <x:c r="E5" s="44" t="str">
        <x:v>Yes</x:v>
      </x:c>
    </x:row>
    <x:row r="6" ht="15" hidden="0" customHeight="1">
      <x:c r="A6" s="44" t="str">
        <x:v>Fallback_Enabled</x:v>
      </x:c>
      <x:c r="B6" s="74" t="str">
        <x:v>Yes</x:v>
      </x:c>
      <x:c r="C6" s="44" t="str">
        <x:v>Boolean</x:v>
      </x:c>
      <x:c r="D6" s="44" t="str">
        <x:v>Use deterministic synthetic series if runtime/API fails</x:v>
      </x:c>
      <x:c r="E6" s="44" t="str">
        <x:v>Yes</x:v>
      </x:c>
    </x:row>
    <x:row r="7" ht="15" hidden="0" customHeight="1">
      <x:c r="A7" s="44" t="str">
        <x:v>Offline_Base_Index</x:v>
      </x:c>
      <x:c r="B7" s="74" t="n">
        <x:v>1265</x:v>
      </x:c>
      <x:c r="C7" s="44" t="str">
        <x:v>Number</x:v>
      </x:c>
      <x:c r="D7" s="44" t="str">
        <x:v>Seed value only for offline fallback</x:v>
      </x:c>
      <x:c r="E7" s="44" t="str">
        <x:v>Yes</x:v>
      </x:c>
    </x:row>
    <x:row r="8" ht="15" hidden="0" customHeight="1">
      <x:c r="A8" s="44" t="str">
        <x:v>Risk_Off_Drawdown_Pct</x:v>
      </x:c>
      <x:c r="B8" s="75" t="n">
        <x:v>-0.12</x:v>
      </x:c>
      <x:c r="C8" s="44" t="str">
        <x:v>Percent</x:v>
      </x:c>
      <x:c r="D8" s="44" t="str">
        <x:v>3-month drawdown trigger</x:v>
      </x:c>
      <x:c r="E8" s="44" t="str">
        <x:v>Yes</x:v>
      </x:c>
    </x:row>
    <x:row r="9" ht="15" hidden="0" customHeight="1">
      <x:c r="A9" s="44" t="str">
        <x:v>Risk_On_3M_Return_Pct</x:v>
      </x:c>
      <x:c r="B9" s="75" t="n">
        <x:v>0.08</x:v>
      </x:c>
      <x:c r="C9" s="44" t="str">
        <x:v>Percent</x:v>
      </x:c>
      <x:c r="D9" s="44" t="str">
        <x:v>3-month return threshold for Risk-On</x:v>
      </x:c>
      <x:c r="E9" s="4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566c283f671413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 ht="15" hidden="0" customHeight="1">
      <x:c r="A1" s="53" t="str">
        <x:v>Date</x:v>
      </x:c>
      <x:c r="B1" s="62" t="str">
        <x:v>Fund_Code</x:v>
      </x:c>
      <x:c r="C1" s="62" t="str">
        <x:v>Sector</x:v>
      </x:c>
      <x:c r="D1" s="62" t="str">
        <x:v>Ticker</x:v>
      </x:c>
      <x:c r="E1" s="62" t="str">
        <x:v>Fund_Weight_Pct</x:v>
      </x:c>
      <x:c r="F1" s="62" t="str">
        <x:v>Benchmark_Weight_Pct</x:v>
      </x:c>
      <x:c r="G1" s="62" t="str">
        <x:v>Security_Return_Pct</x:v>
      </x:c>
      <x:c r="H1" s="62" t="str">
        <x:v>Benchmark_Return_Pct</x:v>
      </x:c>
      <x:c r="I1" s="62" t="str">
        <x:v>Contribution_Pct</x:v>
      </x:c>
      <x:c r="J1" s="62" t="str">
        <x:v>Source_ID</x:v>
      </x:c>
      <x:c r="K1" s="54" t="str">
        <x:v>Status</x:v>
      </x:c>
    </x:row>
    <x:row r="2" ht="15" hidden="0" customHeight="1">
      <x:c r="A2" s="44" t="str">
        <x:v>2026-07-31</x:v>
      </x:c>
      <x:c r="B2" s="44" t="str">
        <x:v>DCDS</x:v>
      </x:c>
      <x:c r="C2" s="44" t="str">
        <x:v>Banks</x:v>
      </x:c>
      <x:c r="D2" s="44" t="str">
        <x:v>MBB</x:v>
      </x:c>
      <x:c r="E2" s="76" t="n">
        <x:v>0.1182</x:v>
      </x:c>
      <x:c r="F2" s="76" t="n">
        <x:v>0.1112</x:v>
      </x:c>
      <x:c r="G2" s="76" t="n">
        <x:v>0.032</x:v>
      </x:c>
      <x:c r="H2" s="76" t="n">
        <x:v>0.028</x:v>
      </x:c>
      <x:c r="I2" s="76" t="n">
        <x:f>E2*(G2-H2)</x:f>
        <x:v>0.0004728</x:v>
      </x:c>
      <x:c r="J2" s="44" t="str">
        <x:v>S004</x:v>
      </x:c>
      <x:c r="K2" s="44" t="str">
        <x:v>Assumption</x:v>
      </x:c>
    </x:row>
    <x:row r="3" ht="15" hidden="0" customHeight="1">
      <x:c r="A3" s="44" t="str">
        <x:v>2026-07-31</x:v>
      </x:c>
      <x:c r="B3" s="44" t="str">
        <x:v>DCDS</x:v>
      </x:c>
      <x:c r="C3" s="44" t="str">
        <x:v>Banks</x:v>
      </x:c>
      <x:c r="D3" s="44" t="str">
        <x:v>VCB</x:v>
      </x:c>
      <x:c r="E3" s="76" t="n">
        <x:v>0.0419</x:v>
      </x:c>
      <x:c r="F3" s="76" t="n">
        <x:v>0.0441</x:v>
      </x:c>
      <x:c r="G3" s="76" t="n">
        <x:v>-0.014</x:v>
      </x:c>
      <x:c r="H3" s="76" t="n">
        <x:v>-0.01</x:v>
      </x:c>
      <x:c r="I3" s="76" t="n">
        <x:f>E3*(G3-H3)</x:f>
        <x:v>-0.0001676</x:v>
      </x:c>
      <x:c r="J3" s="44" t="str">
        <x:v>S004</x:v>
      </x:c>
      <x:c r="K3" s="44" t="str">
        <x:v>Assumption</x:v>
      </x:c>
    </x:row>
    <x:row r="4" ht="15" hidden="0" customHeight="1">
      <x:c r="A4" s="44" t="str">
        <x:v>2026-07-31</x:v>
      </x:c>
      <x:c r="B4" s="44" t="str">
        <x:v>DCDS</x:v>
      </x:c>
      <x:c r="C4" s="44" t="str">
        <x:v>Securities</x:v>
      </x:c>
      <x:c r="D4" s="44" t="str">
        <x:v>VND</x:v>
      </x:c>
      <x:c r="E4" s="76" t="n">
        <x:v>0.0684</x:v>
      </x:c>
      <x:c r="F4" s="76" t="n">
        <x:v>0.0733</x:v>
      </x:c>
      <x:c r="G4" s="76" t="n">
        <x:v>-0.042</x:v>
      </x:c>
      <x:c r="H4" s="76" t="n">
        <x:v>-0.035</x:v>
      </x:c>
      <x:c r="I4" s="76" t="n">
        <x:f>E4*(G4-H4)</x:f>
        <x:v>-0.0004788</x:v>
      </x:c>
      <x:c r="J4" s="44" t="str">
        <x:v>S004</x:v>
      </x:c>
      <x:c r="K4" s="44" t="str">
        <x:v>Assumption</x:v>
      </x:c>
    </x:row>
    <x:row r="5" ht="15" hidden="0" customHeight="1">
      <x:c r="A5" s="44" t="str">
        <x:v>2026-07-31</x:v>
      </x:c>
      <x:c r="B5" s="44" t="str">
        <x:v>DCDS</x:v>
      </x:c>
      <x:c r="C5" s="44" t="str">
        <x:v>Consumer</x:v>
      </x:c>
      <x:c r="D5" s="44" t="str">
        <x:v>MSN</x:v>
      </x:c>
      <x:c r="E5" s="76" t="n">
        <x:v>0.0856</x:v>
      </x:c>
      <x:c r="F5" s="76" t="n">
        <x:v>0.0931</x:v>
      </x:c>
      <x:c r="G5" s="76" t="n">
        <x:v>0.051</x:v>
      </x:c>
      <x:c r="H5" s="76" t="n">
        <x:v>0.046</x:v>
      </x:c>
      <x:c r="I5" s="76" t="n">
        <x:f>E5*(G5-H5)</x:f>
        <x:v>0.0004279999999999998</x:v>
      </x:c>
      <x:c r="J5" s="44" t="str">
        <x:v>S004</x:v>
      </x:c>
      <x:c r="K5" s="44" t="str">
        <x:v>Assumption</x:v>
      </x:c>
    </x:row>
    <x:row r="6" ht="15" hidden="0" customHeight="1">
      <x:c r="A6" s="44" t="str">
        <x:v>2026-07-31</x:v>
      </x:c>
      <x:c r="B6" s="44" t="str">
        <x:v>DCDS</x:v>
      </x:c>
      <x:c r="C6" s="44" t="str">
        <x:v>Real Estate</x:v>
      </x:c>
      <x:c r="D6" s="44" t="str">
        <x:v>VIC</x:v>
      </x:c>
      <x:c r="E6" s="76" t="n">
        <x:v>0.1273</x:v>
      </x:c>
      <x:c r="F6" s="76" t="n">
        <x:v>0.136</x:v>
      </x:c>
      <x:c r="G6" s="76" t="n">
        <x:v>-0.018</x:v>
      </x:c>
      <x:c r="H6" s="76" t="n">
        <x:v>-0.025</x:v>
      </x:c>
      <x:c r="I6" s="76" t="n">
        <x:f>E6*(G6-H6)</x:f>
        <x:v>0.0008911000000000004</x:v>
      </x:c>
      <x:c r="J6" s="44" t="str">
        <x:v>S004</x:v>
      </x:c>
      <x:c r="K6" s="44" t="str">
        <x:v>Assumption</x:v>
      </x:c>
    </x:row>
    <x:row r="7" ht="15" hidden="0" customHeight="1">
      <x:c r="A7" s="44" t="str">
        <x:v>2026-07-31</x:v>
      </x:c>
      <x:c r="B7" s="44" t="str">
        <x:v>DCDE</x:v>
      </x:c>
      <x:c r="C7" s="44" t="str">
        <x:v>Banks</x:v>
      </x:c>
      <x:c r="D7" s="44" t="str">
        <x:v>STB</x:v>
      </x:c>
      <x:c r="E7" s="76" t="n">
        <x:v>0.0494</x:v>
      </x:c>
      <x:c r="F7" s="76" t="n">
        <x:v>0.0314</x:v>
      </x:c>
      <x:c r="G7" s="76" t="n">
        <x:v>0.061</x:v>
      </x:c>
      <x:c r="H7" s="76" t="n">
        <x:v>0.047</x:v>
      </x:c>
      <x:c r="I7" s="76" t="n">
        <x:f>E7*(G7-H7)</x:f>
        <x:v>0.0006915999999999999</x:v>
      </x:c>
      <x:c r="J7" s="44" t="str">
        <x:v>S004</x:v>
      </x:c>
      <x:c r="K7" s="44" t="str">
        <x:v>Assumption</x:v>
      </x:c>
    </x:row>
    <x:row r="8" ht="15" hidden="0" customHeight="1">
      <x:c r="A8" s="44" t="str">
        <x:v>2026-07-31</x:v>
      </x:c>
      <x:c r="B8" s="44" t="str">
        <x:v>DCDE</x:v>
      </x:c>
      <x:c r="C8" s="44" t="str">
        <x:v>Industrials</x:v>
      </x:c>
      <x:c r="D8" s="44" t="str">
        <x:v>REE</x:v>
      </x:c>
      <x:c r="E8" s="76" t="n">
        <x:v>0.1122</x:v>
      </x:c>
      <x:c r="F8" s="76" t="n">
        <x:v>0.102</x:v>
      </x:c>
      <x:c r="G8" s="76" t="n">
        <x:v>0.027</x:v>
      </x:c>
      <x:c r="H8" s="76" t="n">
        <x:v>0.018</x:v>
      </x:c>
      <x:c r="I8" s="76" t="n">
        <x:f>E8*(G8-H8)</x:f>
        <x:v>0.0010098000000000002</x:v>
      </x:c>
      <x:c r="J8" s="44" t="str">
        <x:v>S004</x:v>
      </x:c>
      <x:c r="K8" s="44" t="str">
        <x:v>Assumption</x:v>
      </x:c>
    </x:row>
    <x:row r="9" ht="15" hidden="0" customHeight="1">
      <x:c r="A9" s="44" t="str">
        <x:v>2026-07-31</x:v>
      </x:c>
      <x:c r="B9" s="44" t="str">
        <x:v>FUEVFVND</x:v>
      </x:c>
      <x:c r="C9" s="44" t="str">
        <x:v>Technology</x:v>
      </x:c>
      <x:c r="D9" s="44" t="str">
        <x:v>FPT</x:v>
      </x:c>
      <x:c r="E9" s="76" t="n">
        <x:v>0.0549</x:v>
      </x:c>
      <x:c r="F9" s="76" t="n">
        <x:v>0.0428</x:v>
      </x:c>
      <x:c r="G9" s="76" t="n">
        <x:v>0.044</x:v>
      </x:c>
      <x:c r="H9" s="76" t="n">
        <x:v>0.041</x:v>
      </x:c>
      <x:c r="I9" s="76" t="n">
        <x:f>E9*(G9-H9)</x:f>
        <x:v>0.00016469999999999975</x:v>
      </x:c>
      <x:c r="J9" s="44" t="str">
        <x:v>S004</x:v>
      </x:c>
      <x:c r="K9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cbc700802918457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56" hidden="0" customWidth="1"/>
  </x:cols>
  <x:sheetData>
    <x:row r="1" ht="15" hidden="0" customHeight="1">
      <x:c r="A1" s="102" t="str">
        <x:v>Check_ID</x:v>
      </x:c>
      <x:c r="B1" s="103" t="str">
        <x:v>Check</x:v>
      </x:c>
      <x:c r="C1" s="103" t="str">
        <x:v>Actual</x:v>
      </x:c>
      <x:c r="D1" s="103" t="str">
        <x:v>Expected</x:v>
      </x:c>
      <x:c r="E1" s="103" t="str">
        <x:v>Difference</x:v>
      </x:c>
      <x:c r="F1" s="103" t="str">
        <x:v>Tolerance</x:v>
      </x:c>
      <x:c r="G1" s="103" t="str">
        <x:v>Status</x:v>
      </x:c>
      <x:c r="H1" s="104" t="str">
        <x:v>Fix_Hint</x:v>
      </x:c>
    </x:row>
    <x:row r="2" ht="15" hidden="0" customHeight="1">
      <x:c r="A2" s="44" t="str">
        <x:v>C001</x:v>
      </x:c>
      <x:c r="B2" s="44" t="str">
        <x:v>Company profile rows</x:v>
      </x:c>
      <x:c r="C2" s="44" t="n">
        <x:f>COUNTA('Company_Profile'!A2:A9)</x:f>
        <x:v>8</x:v>
      </x:c>
      <x:c r="D2" s="44" t="n">
        <x:v>8</x:v>
      </x:c>
      <x:c r="E2" s="44" t="n">
        <x:f>C2-D2</x:f>
        <x:v>0</x:v>
      </x:c>
      <x:c r="F2" s="44" t="n">
        <x:v>0</x:v>
      </x:c>
      <x:c r="G2" s="44" t="str">
        <x:f>IF(ABS(E2)&lt;=F2,"OK","REVIEW")</x:f>
        <x:v>OK</x:v>
      </x:c>
      <x:c r="H2" s="44" t="str">
        <x:v>Populate all mandatory company fields</x:v>
      </x:c>
    </x:row>
    <x:row r="3" ht="15" hidden="0" customHeight="1">
      <x:c r="A3" s="44" t="str">
        <x:v>C002</x:v>
      </x:c>
      <x:c r="B3" s="44" t="str">
        <x:v>Fund master rows</x:v>
      </x:c>
      <x:c r="C3" s="44" t="n">
        <x:f>COUNTA('Fund_Master'!A2:A100)</x:f>
        <x:v>6</x:v>
      </x:c>
      <x:c r="D3" s="44" t="n">
        <x:v>6</x:v>
      </x:c>
      <x:c r="E3" s="44" t="n">
        <x:f>C3-D3</x:f>
        <x:v>0</x:v>
      </x:c>
      <x:c r="F3" s="44" t="n">
        <x:v>0</x:v>
      </x:c>
      <x:c r="G3" s="44" t="str">
        <x:f>IF(ABS(E3)&lt;=F3,"OK","REVIEW")</x:f>
        <x:v>OK</x:v>
      </x:c>
      <x:c r="H3" s="44" t="str">
        <x:v>Keep at least six tracked strategies</x:v>
      </x:c>
    </x:row>
    <x:row r="4" ht="15" hidden="0" customHeight="1">
      <x:c r="A4" s="44" t="str">
        <x:v>C003</x:v>
      </x:c>
      <x:c r="B4" s="44" t="str">
        <x:v>Latest portfolio weight by DCDS</x:v>
      </x:c>
      <x:c r="C4" s="78" t="n">
        <x:f>SUMIFS('Portfolio'!E2:E500,'Portfolio'!B2:B500,"DCDS")/100</x:f>
        <x:v>1.0001</x:v>
      </x:c>
      <x:c r="D4" s="78" t="n">
        <x:v>1</x:v>
      </x:c>
      <x:c r="E4" s="78" t="n">
        <x:f>C4-D4</x:f>
        <x:v>0.00009999999999998899</x:v>
      </x:c>
      <x:c r="F4" s="78" t="n">
        <x:v>0.05</x:v>
      </x:c>
      <x:c r="G4" s="44" t="str">
        <x:f>IF(ABS(E4)&lt;=F4,"OK","REVIEW")</x:f>
        <x:v>OK</x:v>
      </x:c>
      <x:c r="H4" s="44" t="str">
        <x:v>Weights should total approximately 100%</x:v>
      </x:c>
    </x:row>
    <x:row r="5" ht="15" hidden="0" customHeight="1">
      <x:c r="A5" s="44" t="str">
        <x:v>C004</x:v>
      </x:c>
      <x:c r="B5" s="44" t="str">
        <x:v>Shareholder ownership total (%)</x:v>
      </x:c>
      <x:c r="C5" s="79" t="n">
        <x:f>SUM('Shareholders'!C2:C100)</x:f>
        <x:v>100.00000000000001</x:v>
      </x:c>
      <x:c r="D5" s="79" t="n">
        <x:v>100</x:v>
      </x:c>
      <x:c r="E5" s="79" t="n">
        <x:f>C5-D5</x:f>
        <x:v>1.4210854715202004e-14</x:v>
      </x:c>
      <x:c r="F5" s="79" t="n">
        <x:v>0.01</x:v>
      </x:c>
      <x:c r="G5" s="44" t="str">
        <x:f>IF(ABS(E5)&lt;=F5,"OK","REVIEW")</x:f>
        <x:v>OK</x:v>
      </x:c>
      <x:c r="H5" s="44" t="str">
        <x:v>Reconcile shareholder percentages</x:v>
      </x:c>
    </x:row>
    <x:row r="6" ht="15" hidden="0" customHeight="1">
      <x:c r="A6" s="44" t="str">
        <x:v>C005</x:v>
      </x:c>
      <x:c r="B6" s="44" t="str">
        <x:v>M&amp;A evidence rows</x:v>
      </x:c>
      <x:c r="C6" s="44" t="n">
        <x:f>COUNTA('M&amp;A_Evidence'!A2:A100)</x:f>
        <x:v>99</x:v>
      </x:c>
      <x:c r="D6" s="44" t="n">
        <x:v>6</x:v>
      </x:c>
      <x:c r="E6" s="44" t="n">
        <x:f>C6-D6</x:f>
        <x:v>93</x:v>
      </x:c>
      <x:c r="F6" s="44" t="n">
        <x:v>0</x:v>
      </x:c>
      <x:c r="G6" s="44" t="str">
        <x:f>IF(ABS(E6)&lt;=F6,"OK","REVIEW")</x:f>
        <x:v>REVIEW</x:v>
      </x:c>
      <x:c r="H6" s="44" t="str">
        <x:v>Maintain evidence registry</x:v>
      </x:c>
    </x:row>
    <x:row r="7" ht="15" hidden="0" customHeight="1">
      <x:c r="A7" s="44" t="str">
        <x:v>C006</x:v>
      </x:c>
      <x:c r="B7" s="44" t="str">
        <x:v>Source IDs present for evidence</x:v>
      </x:c>
      <x:c r="C7" s="44" t="n">
        <x:f>COUNTIF('M&amp;A_Evidence'!K2:K100,"&lt;&gt;")</x:f>
        <x:v>99</x:v>
      </x:c>
      <x:c r="D7" s="44" t="n">
        <x:v>6</x:v>
      </x:c>
      <x:c r="E7" s="44" t="n">
        <x:f>C7-D7</x:f>
        <x:v>93</x:v>
      </x:c>
      <x:c r="F7" s="44" t="n">
        <x:v>0</x:v>
      </x:c>
      <x:c r="G7" s="44" t="str">
        <x:f>IF(ABS(E7)&lt;=F7,"OK","REVIEW")</x:f>
        <x:v>REVIEW</x:v>
      </x:c>
      <x:c r="H7" s="44" t="str">
        <x:v>Fill missing Source_ID</x:v>
      </x:c>
    </x:row>
    <x:row r="8" ht="15" hidden="0" customHeight="1">
      <x:c r="A8" s="44" t="str">
        <x:v>C007</x:v>
      </x:c>
      <x:c r="B8" s="44" t="str">
        <x:v>Data quality domains</x:v>
      </x:c>
      <x:c r="C8" s="44" t="n">
        <x:f>COUNTA('Data_Quality'!A2:A100)</x:f>
        <x:v>8</x:v>
      </x:c>
      <x:c r="D8" s="44" t="n">
        <x:v>8</x:v>
      </x:c>
      <x:c r="E8" s="44" t="n">
        <x:f>C8-D8</x:f>
        <x:v>0</x:v>
      </x:c>
      <x:c r="F8" s="44" t="n">
        <x:v>0</x:v>
      </x:c>
      <x:c r="G8" s="44" t="str">
        <x:f>IF(ABS(E8)&lt;=F8,"OK","REVIEW")</x:f>
        <x:v>OK</x:v>
      </x:c>
      <x:c r="H8" s="44" t="str">
        <x:v>Maintain all V3 lineage domains</x:v>
      </x:c>
    </x:row>
    <x:row r="9" ht="15" hidden="0" customHeight="1">
      <x:c r="A9" s="44" t="str">
        <x:v>C008</x:v>
      </x:c>
      <x:c r="B9" s="44" t="str">
        <x:v>Financial forecast periods</x:v>
      </x:c>
      <x:c r="C9" s="44" t="n">
        <x:f>COUNTA('Financial_Drivers'!A2:A100)</x:f>
        <x:v>5</x:v>
      </x:c>
      <x:c r="D9" s="44" t="n">
        <x:v>5</x:v>
      </x:c>
      <x:c r="E9" s="44" t="n">
        <x:f>C9-D9</x:f>
        <x:v>0</x:v>
      </x:c>
      <x:c r="F9" s="44" t="n">
        <x:v>0</x:v>
      </x:c>
      <x:c r="G9" s="44" t="str">
        <x:f>IF(ABS(E9)&lt;=F9,"OK","REVIEW")</x:f>
        <x:v>OK</x:v>
      </x:c>
      <x:c r="H9" s="44" t="str">
        <x:v>Maintain 2025A–2029E model</x:v>
      </x:c>
    </x:row>
    <x:row r="10" ht="15" hidden="0" customHeight="1">
      <x:c r="A10" s="44" t="str">
        <x:v>C009</x:v>
      </x:c>
      <x:c r="B10" s="44" t="str">
        <x:v>Action tracker rows</x:v>
      </x:c>
      <x:c r="C10" s="44" t="n">
        <x:f>COUNTA('Action_Tracker'!A2:A100)</x:f>
        <x:v>5</x:v>
      </x:c>
      <x:c r="D10" s="44" t="n">
        <x:v>5</x:v>
      </x:c>
      <x:c r="E10" s="44" t="n">
        <x:f>C10-D10</x:f>
        <x:v>0</x:v>
      </x:c>
      <x:c r="F10" s="44" t="n">
        <x:v>0</x:v>
      </x:c>
      <x:c r="G10" s="44" t="str">
        <x:f>IF(ABS(E10)&lt;=F10,"OK","REVIEW")</x:f>
        <x:v>OK</x:v>
      </x:c>
      <x:c r="H10" s="44" t="str">
        <x:v>Maintain accountable actions</x:v>
      </x:c>
    </x:row>
    <x:row r="11" ht="15" hidden="0" customHeight="1">
      <x:c r="A11" s="44" t="str">
        <x:v>C010</x:v>
      </x:c>
      <x:c r="B11" s="44" t="str">
        <x:v>Network evidence rows</x:v>
      </x:c>
      <x:c r="C11" s="44" t="n">
        <x:f>COUNTA('Entity_Network'!A2:A100)</x:f>
        <x:v>99</x:v>
      </x:c>
      <x:c r="D11" s="44" t="n">
        <x:v>7</x:v>
      </x:c>
      <x:c r="E11" s="44" t="n">
        <x:f>C11-D11</x:f>
        <x:v>92</x:v>
      </x:c>
      <x:c r="F11" s="44" t="n">
        <x:v>0</x:v>
      </x:c>
      <x:c r="G11" s="44" t="str">
        <x:f>IF(ABS(E11)&lt;=F11,"OK","REVIEW")</x:f>
        <x:v>REVIEW</x:v>
      </x:c>
      <x:c r="H11" s="44" t="str">
        <x:v>Maintain entity relationship registry</x:v>
      </x:c>
    </x:row>
  </x:sheetData>
  <x:conditionalFormatting sqref="G2:G7">
    <x:cfRule type="containsText" dxfId="0" priority="1" operator="containsText" text="OK"/>
    <x:cfRule type="containsText" dxfId="1" priority="2" operator="containsText" text="REVIEW"/>
  </x:conditionalFormatting>
  <x:conditionalFormatting sqref="G2:G11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40240b974ded47d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</x:cols>
  <x:sheetData>
    <x:row r="1" ht="15" hidden="0" customHeight="1">
      <x:c r="A1" s="109" t="str">
        <x:v>Date</x:v>
      </x:c>
      <x:c r="B1" s="109" t="str">
        <x:v>Benchmark</x:v>
      </x:c>
      <x:c r="C1" s="109" t="str">
        <x:v>Index_Level</x:v>
      </x:c>
      <x:c r="D1" s="109" t="str">
        <x:v>Source_ID</x:v>
      </x:c>
      <x:c r="E1" s="109" t="str">
        <x:v>Status</x:v>
      </x:c>
    </x:row>
    <x:row r="2" ht="15" hidden="0" customHeight="1">
      <x:c r="A2" s="44" t="str">
        <x:v>2025-01-31</x:v>
      </x:c>
      <x:c r="B2" s="44" t="str">
        <x:v>VNINDEX</x:v>
      </x:c>
      <x:c r="C2" s="110" t="n">
        <x:v>1265</x:v>
      </x:c>
      <x:c r="D2" s="44" t="str">
        <x:v>S009</x:v>
      </x:c>
      <x:c r="E2" s="44" t="str">
        <x:v>Assumption</x:v>
      </x:c>
    </x:row>
    <x:row r="3" ht="15" hidden="0" customHeight="1">
      <x:c r="A3" s="44" t="str">
        <x:v>2025-01-31</x:v>
      </x:c>
      <x:c r="B3" s="44" t="str">
        <x:v>VN30</x:v>
      </x:c>
      <x:c r="C3" s="110" t="n">
        <x:v>1246.025</x:v>
      </x:c>
      <x:c r="D3" s="44" t="str">
        <x:v>S009</x:v>
      </x:c>
      <x:c r="E3" s="44" t="str">
        <x:v>Assumption</x:v>
      </x:c>
    </x:row>
    <x:row r="4" ht="15" hidden="0" customHeight="1">
      <x:c r="A4" s="44" t="str">
        <x:v>2025-01-31</x:v>
      </x:c>
      <x:c r="B4" s="44" t="str">
        <x:v>VN Diamond</x:v>
      </x:c>
      <x:c r="C4" s="110" t="n">
        <x:v>1227.05</x:v>
      </x:c>
      <x:c r="D4" s="44" t="str">
        <x:v>S009</x:v>
      </x:c>
      <x:c r="E4" s="44" t="str">
        <x:v>Assumption</x:v>
      </x:c>
    </x:row>
    <x:row r="5" ht="15" hidden="0" customHeight="1">
      <x:c r="A5" s="44" t="str">
        <x:v>2025-01-31</x:v>
      </x:c>
      <x:c r="B5" s="44" t="str">
        <x:v>Deposit/Bond</x:v>
      </x:c>
      <x:c r="C5" s="110" t="n">
        <x:v>1000</x:v>
      </x:c>
      <x:c r="D5" s="44" t="str">
        <x:v>S009</x:v>
      </x:c>
      <x:c r="E5" s="44" t="str">
        <x:v>Assumption</x:v>
      </x:c>
    </x:row>
    <x:row r="6" ht="15" hidden="0" customHeight="1">
      <x:c r="A6" s="44" t="str">
        <x:v>2025-02-28</x:v>
      </x:c>
      <x:c r="B6" s="44" t="str">
        <x:v>VNINDEX</x:v>
      </x:c>
      <x:c r="C6" s="110" t="n">
        <x:v>1284</x:v>
      </x:c>
      <x:c r="D6" s="44" t="str">
        <x:v>S009</x:v>
      </x:c>
      <x:c r="E6" s="44" t="str">
        <x:v>Assumption</x:v>
      </x:c>
    </x:row>
    <x:row r="7" ht="15" hidden="0" customHeight="1">
      <x:c r="A7" s="44" t="str">
        <x:v>2025-02-28</x:v>
      </x:c>
      <x:c r="B7" s="44" t="str">
        <x:v>VN30</x:v>
      </x:c>
      <x:c r="C7" s="110" t="n">
        <x:v>1266.024</x:v>
      </x:c>
      <x:c r="D7" s="44" t="str">
        <x:v>S009</x:v>
      </x:c>
      <x:c r="E7" s="44" t="str">
        <x:v>Assumption</x:v>
      </x:c>
    </x:row>
    <x:row r="8" ht="15" hidden="0" customHeight="1">
      <x:c r="A8" s="44" t="str">
        <x:v>2025-02-28</x:v>
      </x:c>
      <x:c r="B8" s="44" t="str">
        <x:v>VN Diamond</x:v>
      </x:c>
      <x:c r="C8" s="110" t="n">
        <x:v>1247.406</x:v>
      </x:c>
      <x:c r="D8" s="44" t="str">
        <x:v>S009</x:v>
      </x:c>
      <x:c r="E8" s="44" t="str">
        <x:v>Assumption</x:v>
      </x:c>
    </x:row>
    <x:row r="9" ht="15" hidden="0" customHeight="1">
      <x:c r="A9" s="44" t="str">
        <x:v>2025-02-28</x:v>
      </x:c>
      <x:c r="B9" s="44" t="str">
        <x:v>Deposit/Bond</x:v>
      </x:c>
      <x:c r="C9" s="110" t="n">
        <x:v>1005.5000000000001</x:v>
      </x:c>
      <x:c r="D9" s="44" t="str">
        <x:v>S009</x:v>
      </x:c>
      <x:c r="E9" s="44" t="str">
        <x:v>Assumption</x:v>
      </x:c>
    </x:row>
    <x:row r="10" ht="15" hidden="0" customHeight="1">
      <x:c r="A10" s="44" t="str">
        <x:v>2025-03-31</x:v>
      </x:c>
      <x:c r="B10" s="44" t="str">
        <x:v>VNINDEX</x:v>
      </x:c>
      <x:c r="C10" s="110" t="n">
        <x:v>1301</x:v>
      </x:c>
      <x:c r="D10" s="44" t="str">
        <x:v>S009</x:v>
      </x:c>
      <x:c r="E10" s="44" t="str">
        <x:v>Assumption</x:v>
      </x:c>
    </x:row>
    <x:row r="11" ht="15" hidden="0" customHeight="1">
      <x:c r="A11" s="44" t="str">
        <x:v>2025-03-31</x:v>
      </x:c>
      <x:c r="B11" s="44" t="str">
        <x:v>VN30</x:v>
      </x:c>
      <x:c r="C11" s="110" t="n">
        <x:v>1284.087</x:v>
      </x:c>
      <x:c r="D11" s="44" t="str">
        <x:v>S009</x:v>
      </x:c>
      <x:c r="E11" s="44" t="str">
        <x:v>Assumption</x:v>
      </x:c>
    </x:row>
    <x:row r="12" ht="15" hidden="0" customHeight="1">
      <x:c r="A12" s="44" t="str">
        <x:v>2025-03-31</x:v>
      </x:c>
      <x:c r="B12" s="44" t="str">
        <x:v>VN Diamond</x:v>
      </x:c>
      <x:c r="C12" s="110" t="n">
        <x:v>1265.873</x:v>
      </x:c>
      <x:c r="D12" s="44" t="str">
        <x:v>S009</x:v>
      </x:c>
      <x:c r="E12" s="44" t="str">
        <x:v>Assumption</x:v>
      </x:c>
    </x:row>
    <x:row r="13" ht="15" hidden="0" customHeight="1">
      <x:c r="A13" s="44" t="str">
        <x:v>2025-03-31</x:v>
      </x:c>
      <x:c r="B13" s="44" t="str">
        <x:v>Deposit/Bond</x:v>
      </x:c>
      <x:c r="C13" s="110" t="n">
        <x:v>1011.0302500000001</x:v>
      </x:c>
      <x:c r="D13" s="44" t="str">
        <x:v>S009</x:v>
      </x:c>
      <x:c r="E13" s="44" t="str">
        <x:v>Assumption</x:v>
      </x:c>
    </x:row>
    <x:row r="14" ht="15" hidden="0" customHeight="1">
      <x:c r="A14" s="44" t="str">
        <x:v>2025-04-30</x:v>
      </x:c>
      <x:c r="B14" s="44" t="str">
        <x:v>VNINDEX</x:v>
      </x:c>
      <x:c r="C14" s="110" t="n">
        <x:v>1288</x:v>
      </x:c>
      <x:c r="D14" s="44" t="str">
        <x:v>S009</x:v>
      </x:c>
      <x:c r="E14" s="44" t="str">
        <x:v>Assumption</x:v>
      </x:c>
    </x:row>
    <x:row r="15" ht="15" hidden="0" customHeight="1">
      <x:c r="A15" s="44" t="str">
        <x:v>2025-04-30</x:v>
      </x:c>
      <x:c r="B15" s="44" t="str">
        <x:v>VN30</x:v>
      </x:c>
      <x:c r="C15" s="110" t="n">
        <x:v>1272.544</x:v>
      </x:c>
      <x:c r="D15" s="44" t="str">
        <x:v>S009</x:v>
      </x:c>
      <x:c r="E15" s="44" t="str">
        <x:v>Assumption</x:v>
      </x:c>
    </x:row>
    <x:row r="16" ht="15" hidden="0" customHeight="1">
      <x:c r="A16" s="44" t="str">
        <x:v>2025-04-30</x:v>
      </x:c>
      <x:c r="B16" s="44" t="str">
        <x:v>VN Diamond</x:v>
      </x:c>
      <x:c r="C16" s="110" t="n">
        <x:v>1255.156</x:v>
      </x:c>
      <x:c r="D16" s="44" t="str">
        <x:v>S009</x:v>
      </x:c>
      <x:c r="E16" s="44" t="str">
        <x:v>Assumption</x:v>
      </x:c>
    </x:row>
    <x:row r="17" ht="15" hidden="0" customHeight="1">
      <x:c r="A17" s="44" t="str">
        <x:v>2025-04-30</x:v>
      </x:c>
      <x:c r="B17" s="44" t="str">
        <x:v>Deposit/Bond</x:v>
      </x:c>
      <x:c r="C17" s="110" t="n">
        <x:v>1016.5909163750002</x:v>
      </x:c>
      <x:c r="D17" s="44" t="str">
        <x:v>S009</x:v>
      </x:c>
      <x:c r="E17" s="44" t="str">
        <x:v>Assumption</x:v>
      </x:c>
    </x:row>
    <x:row r="18" ht="15" hidden="0" customHeight="1">
      <x:c r="A18" s="44" t="str">
        <x:v>2025-05-31</x:v>
      </x:c>
      <x:c r="B18" s="44" t="str">
        <x:v>VNINDEX</x:v>
      </x:c>
      <x:c r="C18" s="110" t="n">
        <x:v>1322</x:v>
      </x:c>
      <x:c r="D18" s="44" t="str">
        <x:v>S009</x:v>
      </x:c>
      <x:c r="E18" s="44" t="str">
        <x:v>Assumption</x:v>
      </x:c>
    </x:row>
    <x:row r="19" ht="15" hidden="0" customHeight="1">
      <x:c r="A19" s="44" t="str">
        <x:v>2025-05-31</x:v>
      </x:c>
      <x:c r="B19" s="44" t="str">
        <x:v>VN30</x:v>
      </x:c>
      <x:c r="C19" s="110" t="n">
        <x:v>1307.458</x:v>
      </x:c>
      <x:c r="D19" s="44" t="str">
        <x:v>S009</x:v>
      </x:c>
      <x:c r="E19" s="44" t="str">
        <x:v>Assumption</x:v>
      </x:c>
    </x:row>
    <x:row r="20" ht="15" hidden="0" customHeight="1">
      <x:c r="A20" s="44" t="str">
        <x:v>2025-05-31</x:v>
      </x:c>
      <x:c r="B20" s="44" t="str">
        <x:v>VN Diamond</x:v>
      </x:c>
      <x:c r="C20" s="110" t="n">
        <x:v>1290.272</x:v>
      </x:c>
      <x:c r="D20" s="44" t="str">
        <x:v>S009</x:v>
      </x:c>
      <x:c r="E20" s="44" t="str">
        <x:v>Assumption</x:v>
      </x:c>
    </x:row>
    <x:row r="21" ht="15" hidden="0" customHeight="1">
      <x:c r="A21" s="44" t="str">
        <x:v>2025-05-31</x:v>
      </x:c>
      <x:c r="B21" s="44" t="str">
        <x:v>Deposit/Bond</x:v>
      </x:c>
      <x:c r="C21" s="110" t="n">
        <x:v>1022.1821664150627</x:v>
      </x:c>
      <x:c r="D21" s="44" t="str">
        <x:v>S009</x:v>
      </x:c>
      <x:c r="E21" s="44" t="str">
        <x:v>Assumption</x:v>
      </x:c>
    </x:row>
    <x:row r="22" ht="15" hidden="0" customHeight="1">
      <x:c r="A22" s="44" t="str">
        <x:v>2025-06-30</x:v>
      </x:c>
      <x:c r="B22" s="44" t="str">
        <x:v>VNINDEX</x:v>
      </x:c>
      <x:c r="C22" s="110" t="n">
        <x:v>1376</x:v>
      </x:c>
      <x:c r="D22" s="44" t="str">
        <x:v>S009</x:v>
      </x:c>
      <x:c r="E22" s="44" t="str">
        <x:v>Assumption</x:v>
      </x:c>
    </x:row>
    <x:row r="23" ht="15" hidden="0" customHeight="1">
      <x:c r="A23" s="44" t="str">
        <x:v>2025-06-30</x:v>
      </x:c>
      <x:c r="B23" s="44" t="str">
        <x:v>VN30</x:v>
      </x:c>
      <x:c r="C23" s="110" t="n">
        <x:v>1362.24</x:v>
      </x:c>
      <x:c r="D23" s="44" t="str">
        <x:v>S009</x:v>
      </x:c>
      <x:c r="E23" s="44" t="str">
        <x:v>Assumption</x:v>
      </x:c>
    </x:row>
    <x:row r="24" ht="15" hidden="0" customHeight="1">
      <x:c r="A24" s="44" t="str">
        <x:v>2025-06-30</x:v>
      </x:c>
      <x:c r="B24" s="44" t="str">
        <x:v>VN Diamond</x:v>
      </x:c>
      <x:c r="C24" s="110" t="n">
        <x:v>1345.04</x:v>
      </x:c>
      <x:c r="D24" s="44" t="str">
        <x:v>S009</x:v>
      </x:c>
      <x:c r="E24" s="44" t="str">
        <x:v>Assumption</x:v>
      </x:c>
    </x:row>
    <x:row r="25" ht="15" hidden="0" customHeight="1">
      <x:c r="A25" s="44" t="str">
        <x:v>2025-06-30</x:v>
      </x:c>
      <x:c r="B25" s="44" t="str">
        <x:v>Deposit/Bond</x:v>
      </x:c>
      <x:c r="C25" s="110" t="n">
        <x:v>1027.8041683303456</x:v>
      </x:c>
      <x:c r="D25" s="44" t="str">
        <x:v>S009</x:v>
      </x:c>
      <x:c r="E25" s="44" t="str">
        <x:v>Assumption</x:v>
      </x:c>
    </x:row>
    <x:row r="26" ht="15" hidden="0" customHeight="1">
      <x:c r="A26" s="44" t="str">
        <x:v>2025-07-31</x:v>
      </x:c>
      <x:c r="B26" s="44" t="str">
        <x:v>VNINDEX</x:v>
      </x:c>
      <x:c r="C26" s="110" t="n">
        <x:v>1354</x:v>
      </x:c>
      <x:c r="D26" s="44" t="str">
        <x:v>S009</x:v>
      </x:c>
      <x:c r="E26" s="44" t="str">
        <x:v>Assumption</x:v>
      </x:c>
    </x:row>
    <x:row r="27" ht="15" hidden="0" customHeight="1">
      <x:c r="A27" s="44" t="str">
        <x:v>2025-07-31</x:v>
      </x:c>
      <x:c r="B27" s="44" t="str">
        <x:v>VN30</x:v>
      </x:c>
      <x:c r="C27" s="110" t="n">
        <x:v>1341.814</x:v>
      </x:c>
      <x:c r="D27" s="44" t="str">
        <x:v>S009</x:v>
      </x:c>
      <x:c r="E27" s="44" t="str">
        <x:v>Assumption</x:v>
      </x:c>
    </x:row>
    <x:row r="28" ht="15" hidden="0" customHeight="1">
      <x:c r="A28" s="44" t="str">
        <x:v>2025-07-31</x:v>
      </x:c>
      <x:c r="B28" s="44" t="str">
        <x:v>VN Diamond</x:v>
      </x:c>
      <x:c r="C28" s="110" t="n">
        <x:v>1325.566</x:v>
      </x:c>
      <x:c r="D28" s="44" t="str">
        <x:v>S009</x:v>
      </x:c>
      <x:c r="E28" s="44" t="str">
        <x:v>Assumption</x:v>
      </x:c>
    </x:row>
    <x:row r="29" ht="15" hidden="0" customHeight="1">
      <x:c r="A29" s="44" t="str">
        <x:v>2025-07-31</x:v>
      </x:c>
      <x:c r="B29" s="44" t="str">
        <x:v>Deposit/Bond</x:v>
      </x:c>
      <x:c r="C29" s="110" t="n">
        <x:v>1033.4570912561626</x:v>
      </x:c>
      <x:c r="D29" s="44" t="str">
        <x:v>S009</x:v>
      </x:c>
      <x:c r="E29" s="44" t="str">
        <x:v>Assumption</x:v>
      </x:c>
    </x:row>
    <x:row r="30" ht="15" hidden="0" customHeight="1">
      <x:c r="A30" s="44" t="str">
        <x:v>2025-08-31</x:v>
      </x:c>
      <x:c r="B30" s="44" t="str">
        <x:v>VNINDEX</x:v>
      </x:c>
      <x:c r="C30" s="110" t="n">
        <x:v>1401</x:v>
      </x:c>
      <x:c r="D30" s="44" t="str">
        <x:v>S009</x:v>
      </x:c>
      <x:c r="E30" s="44" t="str">
        <x:v>Assumption</x:v>
      </x:c>
    </x:row>
    <x:row r="31" ht="15" hidden="0" customHeight="1">
      <x:c r="A31" s="44" t="str">
        <x:v>2025-08-31</x:v>
      </x:c>
      <x:c r="B31" s="44" t="str">
        <x:v>VN30</x:v>
      </x:c>
      <x:c r="C31" s="110" t="n">
        <x:v>1389.792</x:v>
      </x:c>
      <x:c r="D31" s="44" t="str">
        <x:v>S009</x:v>
      </x:c>
      <x:c r="E31" s="44" t="str">
        <x:v>Assumption</x:v>
      </x:c>
    </x:row>
    <x:row r="32" ht="15" hidden="0" customHeight="1">
      <x:c r="A32" s="44" t="str">
        <x:v>2025-08-31</x:v>
      </x:c>
      <x:c r="B32" s="44" t="str">
        <x:v>VN Diamond</x:v>
      </x:c>
      <x:c r="C32" s="110" t="n">
        <x:v>1373.6805</x:v>
      </x:c>
      <x:c r="D32" s="44" t="str">
        <x:v>S009</x:v>
      </x:c>
      <x:c r="E32" s="44" t="str">
        <x:v>Assumption</x:v>
      </x:c>
    </x:row>
    <x:row r="33" ht="15" hidden="0" customHeight="1">
      <x:c r="A33" s="44" t="str">
        <x:v>2025-08-31</x:v>
      </x:c>
      <x:c r="B33" s="44" t="str">
        <x:v>Deposit/Bond</x:v>
      </x:c>
      <x:c r="C33" s="110" t="n">
        <x:v>1039.1411052580715</x:v>
      </x:c>
      <x:c r="D33" s="44" t="str">
        <x:v>S009</x:v>
      </x:c>
      <x:c r="E33" s="44" t="str">
        <x:v>Assumption</x:v>
      </x:c>
    </x:row>
    <x:row r="34" ht="15" hidden="0" customHeight="1">
      <x:c r="A34" s="44" t="str">
        <x:v>2025-09-30</x:v>
      </x:c>
      <x:c r="B34" s="44" t="str">
        <x:v>VNINDEX</x:v>
      </x:c>
      <x:c r="C34" s="110" t="n">
        <x:v>1418</x:v>
      </x:c>
      <x:c r="D34" s="44" t="str">
        <x:v>S009</x:v>
      </x:c>
      <x:c r="E34" s="44" t="str">
        <x:v>Assumption</x:v>
      </x:c>
    </x:row>
    <x:row r="35" ht="15" hidden="0" customHeight="1">
      <x:c r="A35" s="44" t="str">
        <x:v>2025-09-30</x:v>
      </x:c>
      <x:c r="B35" s="44" t="str">
        <x:v>VN30</x:v>
      </x:c>
      <x:c r="C35" s="110" t="n">
        <x:v>1408.074</x:v>
      </x:c>
      <x:c r="D35" s="44" t="str">
        <x:v>S009</x:v>
      </x:c>
      <x:c r="E35" s="44" t="str">
        <x:v>Assumption</x:v>
      </x:c>
    </x:row>
    <x:row r="36" ht="15" hidden="0" customHeight="1">
      <x:c r="A36" s="44" t="str">
        <x:v>2025-09-30</x:v>
      </x:c>
      <x:c r="B36" s="44" t="str">
        <x:v>VN Diamond</x:v>
      </x:c>
      <x:c r="C36" s="110" t="n">
        <x:v>1392.4759999999999</x:v>
      </x:c>
      <x:c r="D36" s="44" t="str">
        <x:v>S009</x:v>
      </x:c>
      <x:c r="E36" s="44" t="str">
        <x:v>Assumption</x:v>
      </x:c>
    </x:row>
    <x:row r="37" ht="15" hidden="0" customHeight="1">
      <x:c r="A37" s="44" t="str">
        <x:v>2025-09-30</x:v>
      </x:c>
      <x:c r="B37" s="44" t="str">
        <x:v>Deposit/Bond</x:v>
      </x:c>
      <x:c r="C37" s="110" t="n">
        <x:v>1044.856381336991</x:v>
      </x:c>
      <x:c r="D37" s="44" t="str">
        <x:v>S009</x:v>
      </x:c>
      <x:c r="E37" s="44" t="str">
        <x:v>Assumption</x:v>
      </x:c>
    </x:row>
    <x:row r="38" ht="15" hidden="0" customHeight="1">
      <x:c r="A38" s="44" t="str">
        <x:v>2025-10-31</x:v>
      </x:c>
      <x:c r="B38" s="44" t="str">
        <x:v>VNINDEX</x:v>
      </x:c>
      <x:c r="C38" s="110" t="n">
        <x:v>1392</x:v>
      </x:c>
      <x:c r="D38" s="44" t="str">
        <x:v>S009</x:v>
      </x:c>
      <x:c r="E38" s="44" t="str">
        <x:v>Assumption</x:v>
      </x:c>
    </x:row>
    <x:row r="39" ht="15" hidden="0" customHeight="1">
      <x:c r="A39" s="44" t="str">
        <x:v>2025-10-31</x:v>
      </x:c>
      <x:c r="B39" s="44" t="str">
        <x:v>VN30</x:v>
      </x:c>
      <x:c r="C39" s="110" t="n">
        <x:v>1383.648</x:v>
      </x:c>
      <x:c r="D39" s="44" t="str">
        <x:v>S009</x:v>
      </x:c>
      <x:c r="E39" s="44" t="str">
        <x:v>Assumption</x:v>
      </x:c>
    </x:row>
    <x:row r="40" ht="15" hidden="0" customHeight="1">
      <x:c r="A40" s="44" t="str">
        <x:v>2025-10-31</x:v>
      </x:c>
      <x:c r="B40" s="44" t="str">
        <x:v>VN Diamond</x:v>
      </x:c>
      <x:c r="C40" s="110" t="n">
        <x:v>1369.032</x:v>
      </x:c>
      <x:c r="D40" s="44" t="str">
        <x:v>S009</x:v>
      </x:c>
      <x:c r="E40" s="44" t="str">
        <x:v>Assumption</x:v>
      </x:c>
    </x:row>
    <x:row r="41" ht="15" hidden="0" customHeight="1">
      <x:c r="A41" s="44" t="str">
        <x:v>2025-10-31</x:v>
      </x:c>
      <x:c r="B41" s="44" t="str">
        <x:v>Deposit/Bond</x:v>
      </x:c>
      <x:c r="C41" s="110" t="n">
        <x:v>1050.6030914343446</x:v>
      </x:c>
      <x:c r="D41" s="44" t="str">
        <x:v>S009</x:v>
      </x:c>
      <x:c r="E41" s="44" t="str">
        <x:v>Assumption</x:v>
      </x:c>
    </x:row>
    <x:row r="42" ht="15" hidden="0" customHeight="1">
      <x:c r="A42" s="44" t="str">
        <x:v>2025-11-30</x:v>
      </x:c>
      <x:c r="B42" s="44" t="str">
        <x:v>VNINDEX</x:v>
      </x:c>
      <x:c r="C42" s="110" t="n">
        <x:v>1360</x:v>
      </x:c>
      <x:c r="D42" s="44" t="str">
        <x:v>S009</x:v>
      </x:c>
      <x:c r="E42" s="44" t="str">
        <x:v>Assumption</x:v>
      </x:c>
    </x:row>
    <x:row r="43" ht="15" hidden="0" customHeight="1">
      <x:c r="A43" s="44" t="str">
        <x:v>2025-11-30</x:v>
      </x:c>
      <x:c r="B43" s="44" t="str">
        <x:v>VN30</x:v>
      </x:c>
      <x:c r="C43" s="110" t="n">
        <x:v>1353.2</x:v>
      </x:c>
      <x:c r="D43" s="44" t="str">
        <x:v>S009</x:v>
      </x:c>
      <x:c r="E43" s="44" t="str">
        <x:v>Assumption</x:v>
      </x:c>
    </x:row>
    <x:row r="44" ht="15" hidden="0" customHeight="1">
      <x:c r="A44" s="44" t="str">
        <x:v>2025-11-30</x:v>
      </x:c>
      <x:c r="B44" s="44" t="str">
        <x:v>VN Diamond</x:v>
      </x:c>
      <x:c r="C44" s="110" t="n">
        <x:v>1339.6</x:v>
      </x:c>
      <x:c r="D44" s="44" t="str">
        <x:v>S009</x:v>
      </x:c>
      <x:c r="E44" s="44" t="str">
        <x:v>Assumption</x:v>
      </x:c>
    </x:row>
    <x:row r="45" ht="15" hidden="0" customHeight="1">
      <x:c r="A45" s="44" t="str">
        <x:v>2025-11-30</x:v>
      </x:c>
      <x:c r="B45" s="44" t="str">
        <x:v>Deposit/Bond</x:v>
      </x:c>
      <x:c r="C45" s="110" t="n">
        <x:v>1056.3814084372336</x:v>
      </x:c>
      <x:c r="D45" s="44" t="str">
        <x:v>S009</x:v>
      </x:c>
      <x:c r="E45" s="44" t="str">
        <x:v>Assumption</x:v>
      </x:c>
    </x:row>
    <x:row r="46" ht="15" hidden="0" customHeight="1">
      <x:c r="A46" s="44" t="str">
        <x:v>2025-12-31</x:v>
      </x:c>
      <x:c r="B46" s="44" t="str">
        <x:v>VNINDEX</x:v>
      </x:c>
      <x:c r="C46" s="110" t="n">
        <x:v>1388</x:v>
      </x:c>
      <x:c r="D46" s="44" t="str">
        <x:v>S009</x:v>
      </x:c>
      <x:c r="E46" s="44" t="str">
        <x:v>Assumption</x:v>
      </x:c>
    </x:row>
    <x:row r="47" ht="15" hidden="0" customHeight="1">
      <x:c r="A47" s="44" t="str">
        <x:v>2025-12-31</x:v>
      </x:c>
      <x:c r="B47" s="44" t="str">
        <x:v>VN30</x:v>
      </x:c>
      <x:c r="C47" s="110" t="n">
        <x:v>1382.448</x:v>
      </x:c>
      <x:c r="D47" s="44" t="str">
        <x:v>S009</x:v>
      </x:c>
      <x:c r="E47" s="44" t="str">
        <x:v>Assumption</x:v>
      </x:c>
    </x:row>
    <x:row r="48" ht="15" hidden="0" customHeight="1">
      <x:c r="A48" s="44" t="str">
        <x:v>2025-12-31</x:v>
      </x:c>
      <x:c r="B48" s="44" t="str">
        <x:v>VN Diamond</x:v>
      </x:c>
      <x:c r="C48" s="110" t="n">
        <x:v>1369.262</x:v>
      </x:c>
      <x:c r="D48" s="44" t="str">
        <x:v>S009</x:v>
      </x:c>
      <x:c r="E48" s="44" t="str">
        <x:v>Assumption</x:v>
      </x:c>
    </x:row>
    <x:row r="49" ht="15" hidden="0" customHeight="1">
      <x:c r="A49" s="44" t="str">
        <x:v>2025-12-31</x:v>
      </x:c>
      <x:c r="B49" s="44" t="str">
        <x:v>Deposit/Bond</x:v>
      </x:c>
      <x:c r="C49" s="110" t="n">
        <x:v>1062.1915061836385</x:v>
      </x:c>
      <x:c r="D49" s="44" t="str">
        <x:v>S009</x:v>
      </x:c>
      <x:c r="E49" s="44" t="str">
        <x:v>Assumption</x:v>
      </x:c>
    </x:row>
    <x:row r="50" ht="15" hidden="0" customHeight="1">
      <x:c r="A50" s="44" t="str">
        <x:v>2026-01-31</x:v>
      </x:c>
      <x:c r="B50" s="44" t="str">
        <x:v>VNINDEX</x:v>
      </x:c>
      <x:c r="C50" s="110" t="n">
        <x:v>1412</x:v>
      </x:c>
      <x:c r="D50" s="44" t="str">
        <x:v>S009</x:v>
      </x:c>
      <x:c r="E50" s="44" t="str">
        <x:v>Assumption</x:v>
      </x:c>
    </x:row>
    <x:row r="51" ht="15" hidden="0" customHeight="1">
      <x:c r="A51" s="44" t="str">
        <x:v>2026-01-31</x:v>
      </x:c>
      <x:c r="B51" s="44" t="str">
        <x:v>VN30</x:v>
      </x:c>
      <x:c r="C51" s="110" t="n">
        <x:v>1407.764</x:v>
      </x:c>
      <x:c r="D51" s="44" t="str">
        <x:v>S009</x:v>
      </x:c>
      <x:c r="E51" s="44" t="str">
        <x:v>Assumption</x:v>
      </x:c>
    </x:row>
    <x:row r="52" ht="15" hidden="0" customHeight="1">
      <x:c r="A52" s="44" t="str">
        <x:v>2026-01-31</x:v>
      </x:c>
      <x:c r="B52" s="44" t="str">
        <x:v>VN Diamond</x:v>
      </x:c>
      <x:c r="C52" s="110" t="n">
        <x:v>1395.056</x:v>
      </x:c>
      <x:c r="D52" s="44" t="str">
        <x:v>S009</x:v>
      </x:c>
      <x:c r="E52" s="44" t="str">
        <x:v>Assumption</x:v>
      </x:c>
    </x:row>
    <x:row r="53" ht="15" hidden="0" customHeight="1">
      <x:c r="A53" s="44" t="str">
        <x:v>2026-01-31</x:v>
      </x:c>
      <x:c r="B53" s="44" t="str">
        <x:v>Deposit/Bond</x:v>
      </x:c>
      <x:c r="C53" s="110" t="n">
        <x:v>1068.0335594676485</x:v>
      </x:c>
      <x:c r="D53" s="44" t="str">
        <x:v>S009</x:v>
      </x:c>
      <x:c r="E53" s="44" t="str">
        <x:v>Assumption</x:v>
      </x:c>
    </x:row>
    <x:row r="54" ht="15" hidden="0" customHeight="1">
      <x:c r="A54" s="44" t="str">
        <x:v>2026-02-28</x:v>
      </x:c>
      <x:c r="B54" s="44" t="str">
        <x:v>VNINDEX</x:v>
      </x:c>
      <x:c r="C54" s="110" t="n">
        <x:v>1381</x:v>
      </x:c>
      <x:c r="D54" s="44" t="str">
        <x:v>S009</x:v>
      </x:c>
      <x:c r="E54" s="44" t="str">
        <x:v>Assumption</x:v>
      </x:c>
    </x:row>
    <x:row r="55" ht="15" hidden="0" customHeight="1">
      <x:c r="A55" s="44" t="str">
        <x:v>2026-02-28</x:v>
      </x:c>
      <x:c r="B55" s="44" t="str">
        <x:v>VN30</x:v>
      </x:c>
      <x:c r="C55" s="110" t="n">
        <x:v>1378.238</x:v>
      </x:c>
      <x:c r="D55" s="44" t="str">
        <x:v>S009</x:v>
      </x:c>
      <x:c r="E55" s="44" t="str">
        <x:v>Assumption</x:v>
      </x:c>
    </x:row>
    <x:row r="56" ht="15" hidden="0" customHeight="1">
      <x:c r="A56" s="44" t="str">
        <x:v>2026-02-28</x:v>
      </x:c>
      <x:c r="B56" s="44" t="str">
        <x:v>VN Diamond</x:v>
      </x:c>
      <x:c r="C56" s="110" t="n">
        <x:v>1366.4995</x:v>
      </x:c>
      <x:c r="D56" s="44" t="str">
        <x:v>S009</x:v>
      </x:c>
      <x:c r="E56" s="44" t="str">
        <x:v>Assumption</x:v>
      </x:c>
    </x:row>
    <x:row r="57" ht="15" hidden="0" customHeight="1">
      <x:c r="A57" s="44" t="str">
        <x:v>2026-02-28</x:v>
      </x:c>
      <x:c r="B57" s="44" t="str">
        <x:v>Deposit/Bond</x:v>
      </x:c>
      <x:c r="C57" s="110" t="n">
        <x:v>1073.9077440447204</x:v>
      </x:c>
      <x:c r="D57" s="44" t="str">
        <x:v>S009</x:v>
      </x:c>
      <x:c r="E57" s="44" t="str">
        <x:v>Assumption</x:v>
      </x:c>
    </x:row>
    <x:row r="58" ht="15" hidden="0" customHeight="1">
      <x:c r="A58" s="44" t="str">
        <x:v>2026-03-31</x:v>
      </x:c>
      <x:c r="B58" s="44" t="str">
        <x:v>VNINDEX</x:v>
      </x:c>
      <x:c r="C58" s="110" t="n">
        <x:v>1395</x:v>
      </x:c>
      <x:c r="D58" s="44" t="str">
        <x:v>S009</x:v>
      </x:c>
      <x:c r="E58" s="44" t="str">
        <x:v>Assumption</x:v>
      </x:c>
    </x:row>
    <x:row r="59" ht="15" hidden="0" customHeight="1">
      <x:c r="A59" s="44" t="str">
        <x:v>2026-03-31</x:v>
      </x:c>
      <x:c r="B59" s="44" t="str">
        <x:v>VN30</x:v>
      </x:c>
      <x:c r="C59" s="110" t="n">
        <x:v>1393.605</x:v>
      </x:c>
      <x:c r="D59" s="44" t="str">
        <x:v>S009</x:v>
      </x:c>
      <x:c r="E59" s="44" t="str">
        <x:v>Assumption</x:v>
      </x:c>
    </x:row>
    <x:row r="60" ht="15" hidden="0" customHeight="1">
      <x:c r="A60" s="44" t="str">
        <x:v>2026-03-31</x:v>
      </x:c>
      <x:c r="B60" s="44" t="str">
        <x:v>VN Diamond</x:v>
      </x:c>
      <x:c r="C60" s="110" t="n">
        <x:v>1382.445</x:v>
      </x:c>
      <x:c r="D60" s="44" t="str">
        <x:v>S009</x:v>
      </x:c>
      <x:c r="E60" s="44" t="str">
        <x:v>Assumption</x:v>
      </x:c>
    </x:row>
    <x:row r="61" ht="15" hidden="0" customHeight="1">
      <x:c r="A61" s="44" t="str">
        <x:v>2026-03-31</x:v>
      </x:c>
      <x:c r="B61" s="44" t="str">
        <x:v>Deposit/Bond</x:v>
      </x:c>
      <x:c r="C61" s="110" t="n">
        <x:v>1079.8142366369666</x:v>
      </x:c>
      <x:c r="D61" s="44" t="str">
        <x:v>S009</x:v>
      </x:c>
      <x:c r="E61" s="44" t="str">
        <x:v>Assumption</x:v>
      </x:c>
    </x:row>
    <x:row r="62" ht="15" hidden="0" customHeight="1">
      <x:c r="A62" s="44" t="str">
        <x:v>2026-04-30</x:v>
      </x:c>
      <x:c r="B62" s="44" t="str">
        <x:v>VNINDEX</x:v>
      </x:c>
      <x:c r="C62" s="110" t="n">
        <x:v>1444</x:v>
      </x:c>
      <x:c r="D62" s="44" t="str">
        <x:v>S009</x:v>
      </x:c>
      <x:c r="E62" s="44" t="str">
        <x:v>Assumption</x:v>
      </x:c>
    </x:row>
    <x:row r="63" ht="15" hidden="0" customHeight="1">
      <x:c r="A63" s="44" t="str">
        <x:v>2026-04-30</x:v>
      </x:c>
      <x:c r="B63" s="44" t="str">
        <x:v>VN30</x:v>
      </x:c>
      <x:c r="C63" s="110" t="n">
        <x:v>1444</x:v>
      </x:c>
      <x:c r="D63" s="44" t="str">
        <x:v>S009</x:v>
      </x:c>
      <x:c r="E63" s="44" t="str">
        <x:v>Assumption</x:v>
      </x:c>
    </x:row>
    <x:row r="64" ht="15" hidden="0" customHeight="1">
      <x:c r="A64" s="44" t="str">
        <x:v>2026-04-30</x:v>
      </x:c>
      <x:c r="B64" s="44" t="str">
        <x:v>VN Diamond</x:v>
      </x:c>
      <x:c r="C64" s="110" t="n">
        <x:v>1433.1699999999998</x:v>
      </x:c>
      <x:c r="D64" s="44" t="str">
        <x:v>S009</x:v>
      </x:c>
      <x:c r="E64" s="44" t="str">
        <x:v>Assumption</x:v>
      </x:c>
    </x:row>
    <x:row r="65" ht="15" hidden="0" customHeight="1">
      <x:c r="A65" s="44" t="str">
        <x:v>2026-04-30</x:v>
      </x:c>
      <x:c r="B65" s="44" t="str">
        <x:v>Deposit/Bond</x:v>
      </x:c>
      <x:c r="C65" s="110" t="n">
        <x:v>1085.75321493847</x:v>
      </x:c>
      <x:c r="D65" s="44" t="str">
        <x:v>S009</x:v>
      </x:c>
      <x:c r="E65" s="44" t="str">
        <x:v>Assumption</x:v>
      </x:c>
    </x:row>
    <x:row r="66" ht="15" hidden="0" customHeight="1">
      <x:c r="A66" s="44" t="str">
        <x:v>2026-05-31</x:v>
      </x:c>
      <x:c r="B66" s="44" t="str">
        <x:v>VNINDEX</x:v>
      </x:c>
      <x:c r="C66" s="110" t="n">
        <x:v>1410</x:v>
      </x:c>
      <x:c r="D66" s="44" t="str">
        <x:v>S009</x:v>
      </x:c>
      <x:c r="E66" s="44" t="str">
        <x:v>Assumption</x:v>
      </x:c>
    </x:row>
    <x:row r="67" ht="15" hidden="0" customHeight="1">
      <x:c r="A67" s="44" t="str">
        <x:v>2026-05-31</x:v>
      </x:c>
      <x:c r="B67" s="44" t="str">
        <x:v>VN30</x:v>
      </x:c>
      <x:c r="C67" s="110" t="n">
        <x:v>1411.4099999999999</x:v>
      </x:c>
      <x:c r="D67" s="44" t="str">
        <x:v>S009</x:v>
      </x:c>
      <x:c r="E67" s="44" t="str">
        <x:v>Assumption</x:v>
      </x:c>
    </x:row>
    <x:row r="68" ht="15" hidden="0" customHeight="1">
      <x:c r="A68" s="44" t="str">
        <x:v>2026-05-31</x:v>
      </x:c>
      <x:c r="B68" s="44" t="str">
        <x:v>VN Diamond</x:v>
      </x:c>
      <x:c r="C68" s="110" t="n">
        <x:v>1401.54</x:v>
      </x:c>
      <x:c r="D68" s="44" t="str">
        <x:v>S009</x:v>
      </x:c>
      <x:c r="E68" s="44" t="str">
        <x:v>Assumption</x:v>
      </x:c>
    </x:row>
    <x:row r="69" ht="15" hidden="0" customHeight="1">
      <x:c r="A69" s="44" t="str">
        <x:v>2026-05-31</x:v>
      </x:c>
      <x:c r="B69" s="44" t="str">
        <x:v>Deposit/Bond</x:v>
      </x:c>
      <x:c r="C69" s="110" t="n">
        <x:v>1091.7248576206316</x:v>
      </x:c>
      <x:c r="D69" s="44" t="str">
        <x:v>S009</x:v>
      </x:c>
      <x:c r="E69" s="44" t="str">
        <x:v>Assumption</x:v>
      </x:c>
    </x:row>
    <x:row r="70" ht="15" hidden="0" customHeight="1">
      <x:c r="A70" s="44" t="str">
        <x:v>2026-06-30</x:v>
      </x:c>
      <x:c r="B70" s="44" t="str">
        <x:v>VNINDEX</x:v>
      </x:c>
      <x:c r="C70" s="110" t="n">
        <x:v>1472</x:v>
      </x:c>
      <x:c r="D70" s="44" t="str">
        <x:v>S009</x:v>
      </x:c>
      <x:c r="E70" s="44" t="str">
        <x:v>Assumption</x:v>
      </x:c>
    </x:row>
    <x:row r="71" ht="15" hidden="0" customHeight="1">
      <x:c r="A71" s="44" t="str">
        <x:v>2026-06-30</x:v>
      </x:c>
      <x:c r="B71" s="44" t="str">
        <x:v>VN30</x:v>
      </x:c>
      <x:c r="C71" s="110" t="n">
        <x:v>1474.944</x:v>
      </x:c>
      <x:c r="D71" s="44" t="str">
        <x:v>S009</x:v>
      </x:c>
      <x:c r="E71" s="44" t="str">
        <x:v>Assumption</x:v>
      </x:c>
    </x:row>
    <x:row r="72" ht="15" hidden="0" customHeight="1">
      <x:c r="A72" s="44" t="str">
        <x:v>2026-06-30</x:v>
      </x:c>
      <x:c r="B72" s="44" t="str">
        <x:v>VN Diamond</x:v>
      </x:c>
      <x:c r="C72" s="110" t="n">
        <x:v>1465.376</x:v>
      </x:c>
      <x:c r="D72" s="44" t="str">
        <x:v>S009</x:v>
      </x:c>
      <x:c r="E72" s="44" t="str">
        <x:v>Assumption</x:v>
      </x:c>
    </x:row>
    <x:row r="73" ht="15" hidden="0" customHeight="1">
      <x:c r="A73" s="44" t="str">
        <x:v>2026-06-30</x:v>
      </x:c>
      <x:c r="B73" s="44" t="str">
        <x:v>Deposit/Bond</x:v>
      </x:c>
      <x:c r="C73" s="110" t="n">
        <x:v>1097.7293443375452</x:v>
      </x:c>
      <x:c r="D73" s="44" t="str">
        <x:v>S009</x:v>
      </x:c>
      <x:c r="E73" s="44" t="str">
        <x:v>Assumption</x:v>
      </x:c>
    </x:row>
    <x:row r="74" ht="15" hidden="0" customHeight="1">
      <x:c r="A74" s="44" t="str">
        <x:v>2026-07-31</x:v>
      </x:c>
      <x:c r="B74" s="44" t="str">
        <x:v>VNINDEX</x:v>
      </x:c>
      <x:c r="C74" s="110" t="n">
        <x:v>1501</x:v>
      </x:c>
      <x:c r="D74" s="44" t="str">
        <x:v>S009</x:v>
      </x:c>
      <x:c r="E74" s="44" t="str">
        <x:v>Assumption</x:v>
      </x:c>
    </x:row>
    <x:row r="75" ht="15" hidden="0" customHeight="1">
      <x:c r="A75" s="44" t="str">
        <x:v>2026-07-31</x:v>
      </x:c>
      <x:c r="B75" s="44" t="str">
        <x:v>VN30</x:v>
      </x:c>
      <x:c r="C75" s="110" t="n">
        <x:v>1505.503</x:v>
      </x:c>
      <x:c r="D75" s="44" t="str">
        <x:v>S009</x:v>
      </x:c>
      <x:c r="E75" s="44" t="str">
        <x:v>Assumption</x:v>
      </x:c>
    </x:row>
    <x:row r="76" ht="15" hidden="0" customHeight="1">
      <x:c r="A76" s="44" t="str">
        <x:v>2026-07-31</x:v>
      </x:c>
      <x:c r="B76" s="44" t="str">
        <x:v>VN Diamond</x:v>
      </x:c>
      <x:c r="C76" s="110" t="n">
        <x:v>1496.497</x:v>
      </x:c>
      <x:c r="D76" s="44" t="str">
        <x:v>S009</x:v>
      </x:c>
      <x:c r="E76" s="44" t="str">
        <x:v>Assumption</x:v>
      </x:c>
    </x:row>
    <x:row r="77" ht="15" hidden="0" customHeight="1">
      <x:c r="A77" s="44" t="str">
        <x:v>2026-07-31</x:v>
      </x:c>
      <x:c r="B77" s="44" t="str">
        <x:v>Deposit/Bond</x:v>
      </x:c>
      <x:c r="C77" s="110" t="n">
        <x:v>1103.7668557314018</x:v>
      </x:c>
      <x:c r="D77" s="44" t="str">
        <x:v>S009</x:v>
      </x:c>
      <x:c r="E77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fd7c170a69b2491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  <x:col min="13" max="13" width="22" hidden="0" customWidth="1"/>
    <x:col min="14" max="14" width="62" hidden="0" customWidth="1"/>
  </x:cols>
  <x:sheetData>
    <x:row r="1" ht="24" hidden="0" customHeight="1">
      <x:c r="A1" s="109" t="str">
        <x:v>Data_Domain</x:v>
      </x:c>
      <x:c r="B1" s="109" t="str">
        <x:v>Required_Fields</x:v>
      </x:c>
      <x:c r="C1" s="109" t="str">
        <x:v>Populated_Fields</x:v>
      </x:c>
      <x:c r="D1" s="109" t="str">
        <x:v>Verified_Fields</x:v>
      </x:c>
      <x:c r="E1" s="109" t="str">
        <x:v>Source_Type</x:v>
      </x:c>
      <x:c r="F1" s="109" t="str">
        <x:v>Source_Risk_1_3</x:v>
      </x:c>
      <x:c r="G1" s="109" t="str">
        <x:v>Last_Update</x:v>
      </x:c>
      <x:c r="H1" s="109" t="str">
        <x:v>Freshness_Target_Days</x:v>
      </x:c>
      <x:c r="I1" s="109" t="str">
        <x:v>Completeness_Weight</x:v>
      </x:c>
      <x:c r="J1" s="109" t="str">
        <x:v>Verification_Weight</x:v>
      </x:c>
      <x:c r="K1" s="109" t="str">
        <x:v>Freshness_Weight</x:v>
      </x:c>
      <x:c r="L1" s="109" t="str">
        <x:v>Quality_Score</x:v>
      </x:c>
      <x:c r="M1" s="109" t="str">
        <x:v>Owner</x:v>
      </x:c>
      <x:c r="N1" s="109" t="str">
        <x:v>Next_Action</x:v>
      </x:c>
    </x:row>
    <x:row r="2" ht="15" hidden="0" customHeight="1">
      <x:c r="A2" s="44" t="str">
        <x:v>Company profile</x:v>
      </x:c>
      <x:c r="B2" s="44" t="n">
        <x:v>8</x:v>
      </x:c>
      <x:c r="C2" s="44" t="n">
        <x:v>8</x:v>
      </x:c>
      <x:c r="D2" s="44" t="n">
        <x:v>8</x:v>
      </x:c>
      <x:c r="E2" s="44" t="str">
        <x:v>Public</x:v>
      </x:c>
      <x:c r="F2" s="44" t="n">
        <x:v>1</x:v>
      </x:c>
      <x:c r="G2" s="111" t="n">
        <x:v>46022</x:v>
      </x:c>
      <x:c r="H2" s="44" t="n">
        <x:v>7</x:v>
      </x:c>
      <x:c r="I2" s="44" t="n">
        <x:v>20</x:v>
      </x:c>
      <x:c r="J2" s="44" t="n">
        <x:v>20</x:v>
      </x:c>
      <x:c r="K2" s="44" t="n">
        <x:v>10</x:v>
      </x:c>
      <x:c r="L2" s="77" t="n">
        <x:f>MIN(100,(C2/B2)*I2+(D2/B2)*J2+IF(TODAY()-G2&lt;=H2,K2,MAX(0,K2*(1-(TODAY()-G2-H2)/365)))+(100-I2-J2-K2)*(4-F2)/3)</x:f>
        <x:v>94.27397260416667</x:v>
      </x:c>
      <x:c r="M2" s="44" t="str">
        <x:v>Company Secretary</x:v>
      </x:c>
      <x:c r="N2" s="44" t="str">
        <x:v>Verify latest corporate disclosures</x:v>
      </x:c>
    </x:row>
    <x:row r="3" ht="15" hidden="0" customHeight="1">
      <x:c r="A3" s="44" t="str">
        <x:v>Fund master</x:v>
      </x:c>
      <x:c r="B3" s="44" t="n">
        <x:v>6</x:v>
      </x:c>
      <x:c r="C3" s="44" t="n">
        <x:v>6</x:v>
      </x:c>
      <x:c r="D3" s="44" t="n">
        <x:v>4</x:v>
      </x:c>
      <x:c r="E3" s="44" t="str">
        <x:v>Mixed</x:v>
      </x:c>
      <x:c r="F3" s="44" t="n">
        <x:v>2</x:v>
      </x:c>
      <x:c r="G3" s="111" t="n">
        <x:v>46234</x:v>
      </x:c>
      <x:c r="H3" s="44" t="n">
        <x:v>7</x:v>
      </x:c>
      <x:c r="I3" s="44" t="n">
        <x:v>15</x:v>
      </x:c>
      <x:c r="J3" s="44" t="n">
        <x:v>15</x:v>
      </x:c>
      <x:c r="K3" s="44" t="n">
        <x:v>10</x:v>
      </x:c>
      <x:c r="L3" s="77" t="n">
        <x:f>MIN(100,(C3/B3)*I3+(D3/B3)*J3+IF(TODAY()-G3&lt;=H3,K3,MAX(0,K3*(1-(TODAY()-G3-H3)/365)))+(100-I3-J3-K3)*(4-F3)/3)</x:f>
        <x:v>75</x:v>
      </x:c>
      <x:c r="M3" s="44" t="str">
        <x:v>Product</x:v>
      </x:c>
      <x:c r="N3" s="44" t="str">
        <x:v>Confirm fee schedules and benchmark mandates</x:v>
      </x:c>
    </x:row>
    <x:row r="4" ht="15" hidden="0" customHeight="1">
      <x:c r="A4" s="44" t="str">
        <x:v>NAV history</x:v>
      </x:c>
      <x:c r="B4" s="44" t="n">
        <x:v>114</x:v>
      </x:c>
      <x:c r="C4" s="44" t="n">
        <x:v>114</x:v>
      </x:c>
      <x:c r="D4" s="44" t="n">
        <x:v>0</x:v>
      </x:c>
      <x:c r="E4" s="44" t="str">
        <x:v>Assumption</x:v>
      </x:c>
      <x:c r="F4" s="44" t="n">
        <x:v>3</x:v>
      </x:c>
      <x:c r="G4" s="111" t="n">
        <x:v>46234</x:v>
      </x:c>
      <x:c r="H4" s="44" t="n">
        <x:v>7</x:v>
      </x:c>
      <x:c r="I4" s="44" t="n">
        <x:v>20</x:v>
      </x:c>
      <x:c r="J4" s="44" t="n">
        <x:v>0</x:v>
      </x:c>
      <x:c r="K4" s="44" t="n">
        <x:v>10</x:v>
      </x:c>
      <x:c r="L4" s="77" t="n">
        <x:f>MIN(100,(C4/B4)*I4+(D4/B4)*J4+IF(TODAY()-G4&lt;=H4,K4,MAX(0,K4*(1-(TODAY()-G4-H4)/365)))+(100-I4-J4-K4)*(4-F4)/3)</x:f>
        <x:v>53.333333333333336</x:v>
      </x:c>
      <x:c r="M4" s="44" t="str">
        <x:v>Investment Ops</x:v>
      </x:c>
      <x:c r="N4" s="44" t="str">
        <x:v>Replace assumptions with official NAV history</x:v>
      </x:c>
    </x:row>
    <x:row r="5" ht="15" hidden="0" customHeight="1">
      <x:c r="A5" s="44" t="str">
        <x:v>AUM and flows</x:v>
      </x:c>
      <x:c r="B5" s="44" t="n">
        <x:v>228</x:v>
      </x:c>
      <x:c r="C5" s="44" t="n">
        <x:v>228</x:v>
      </x:c>
      <x:c r="D5" s="44" t="n">
        <x:v>0</x:v>
      </x:c>
      <x:c r="E5" s="44" t="str">
        <x:v>Assumption</x:v>
      </x:c>
      <x:c r="F5" s="44" t="n">
        <x:v>3</x:v>
      </x:c>
      <x:c r="G5" s="111" t="n">
        <x:v>46234</x:v>
      </x:c>
      <x:c r="H5" s="44" t="n">
        <x:v>7</x:v>
      </x:c>
      <x:c r="I5" s="44" t="n">
        <x:v>20</x:v>
      </x:c>
      <x:c r="J5" s="44" t="n">
        <x:v>0</x:v>
      </x:c>
      <x:c r="K5" s="44" t="n">
        <x:v>10</x:v>
      </x:c>
      <x:c r="L5" s="77" t="n">
        <x:f>MIN(100,(C5/B5)*I5+(D5/B5)*J5+IF(TODAY()-G5&lt;=H5,K5,MAX(0,K5*(1-(TODAY()-G5-H5)/365)))+(100-I5-J5-K5)*(4-F5)/3)</x:f>
        <x:v>53.333333333333336</x:v>
      </x:c>
      <x:c r="M5" s="44" t="str">
        <x:v>Finance / Distribution</x:v>
      </x:c>
      <x:c r="N5" s="44" t="str">
        <x:v>Load verified monthly AUM and subscriptions/redemptions</x:v>
      </x:c>
    </x:row>
    <x:row r="6" ht="15" hidden="0" customHeight="1">
      <x:c r="A6" s="44" t="str">
        <x:v>Portfolio</x:v>
      </x:c>
      <x:c r="B6" s="44" t="n">
        <x:v>65</x:v>
      </x:c>
      <x:c r="C6" s="44" t="n">
        <x:v>65</x:v>
      </x:c>
      <x:c r="D6" s="44" t="n">
        <x:v>0</x:v>
      </x:c>
      <x:c r="E6" s="44" t="str">
        <x:v>Assumption</x:v>
      </x:c>
      <x:c r="F6" s="44" t="n">
        <x:v>3</x:v>
      </x:c>
      <x:c r="G6" s="111" t="n">
        <x:v>46234</x:v>
      </x:c>
      <x:c r="H6" s="44" t="n">
        <x:v>7</x:v>
      </x:c>
      <x:c r="I6" s="44" t="n">
        <x:v>15</x:v>
      </x:c>
      <x:c r="J6" s="44" t="n">
        <x:v>0</x:v>
      </x:c>
      <x:c r="K6" s="44" t="n">
        <x:v>10</x:v>
      </x:c>
      <x:c r="L6" s="77" t="n">
        <x:f>MIN(100,(C6/B6)*I6+(D6/B6)*J6+IF(TODAY()-G6&lt;=H6,K6,MAX(0,K6*(1-(TODAY()-G6-H6)/365)))+(100-I6-J6-K6)*(4-F6)/3)</x:f>
        <x:v>50</x:v>
      </x:c>
      <x:c r="M6" s="44" t="str">
        <x:v>Investment Ops</x:v>
      </x:c>
      <x:c r="N6" s="44" t="str">
        <x:v>Load actual holdings and benchmark weights</x:v>
      </x:c>
    </x:row>
    <x:row r="7" ht="15" hidden="0" customHeight="1">
      <x:c r="A7" s="44" t="str">
        <x:v>Financials</x:v>
      </x:c>
      <x:c r="B7" s="44" t="n">
        <x:v>4</x:v>
      </x:c>
      <x:c r="C7" s="44" t="n">
        <x:v>4</x:v>
      </x:c>
      <x:c r="D7" s="44" t="n">
        <x:v>0</x:v>
      </x:c>
      <x:c r="E7" s="44" t="str">
        <x:v>Assumption</x:v>
      </x:c>
      <x:c r="F7" s="44" t="n">
        <x:v>3</x:v>
      </x:c>
      <x:c r="G7" s="111" t="n">
        <x:v>46387</x:v>
      </x:c>
      <x:c r="H7" s="44" t="n">
        <x:v>7</x:v>
      </x:c>
      <x:c r="I7" s="44" t="n">
        <x:v>15</x:v>
      </x:c>
      <x:c r="J7" s="44" t="n">
        <x:v>0</x:v>
      </x:c>
      <x:c r="K7" s="44" t="n">
        <x:v>10</x:v>
      </x:c>
      <x:c r="L7" s="77" t="n">
        <x:f>MIN(100,(C7/B7)*I7+(D7/B7)*J7+IF(TODAY()-G7&lt;=H7,K7,MAX(0,K7*(1-(TODAY()-G7-H7)/365)))+(100-I7-J7-K7)*(4-F7)/3)</x:f>
        <x:v>50</x:v>
      </x:c>
      <x:c r="M7" s="44" t="str">
        <x:v>Finance</x:v>
      </x:c>
      <x:c r="N7" s="44" t="str">
        <x:v>Replace with audited/management accounts</x:v>
      </x:c>
    </x:row>
    <x:row r="8" ht="15" hidden="0" customHeight="1">
      <x:c r="A8" s="44" t="str">
        <x:v>Ownership &amp; governance</x:v>
      </x:c>
      <x:c r="B8" s="44" t="n">
        <x:v>10</x:v>
      </x:c>
      <x:c r="C8" s="44" t="n">
        <x:v>10</x:v>
      </x:c>
      <x:c r="D8" s="44" t="n">
        <x:v>2</x:v>
      </x:c>
      <x:c r="E8" s="44" t="str">
        <x:v>Mixed</x:v>
      </x:c>
      <x:c r="F8" s="44" t="n">
        <x:v>2</x:v>
      </x:c>
      <x:c r="G8" s="111" t="n">
        <x:v>46227</x:v>
      </x:c>
      <x:c r="H8" s="44" t="n">
        <x:v>7</x:v>
      </x:c>
      <x:c r="I8" s="44" t="n">
        <x:v>15</x:v>
      </x:c>
      <x:c r="J8" s="44" t="n">
        <x:v>5</x:v>
      </x:c>
      <x:c r="K8" s="44" t="n">
        <x:v>10</x:v>
      </x:c>
      <x:c r="L8" s="77" t="n">
        <x:f>MIN(100,(C8/B8)*I8+(D8/B8)*J8+IF(TODAY()-G8&lt;=H8,K8,MAX(0,K8*(1-(TODAY()-G8-H8)/365)))+(100-I8-J8-K8)*(4-F8)/3)</x:f>
        <x:v>72.55707762731481</x:v>
      </x:c>
      <x:c r="M8" s="44" t="str">
        <x:v>Board Secretary</x:v>
      </x:c>
      <x:c r="N8" s="44" t="str">
        <x:v>Reconcile governance report and shareholder register</x:v>
      </x:c>
    </x:row>
    <x:row r="9" ht="15" hidden="0" customHeight="1">
      <x:c r="A9" s="44" t="str">
        <x:v>M&amp;A evidence</x:v>
      </x:c>
      <x:c r="B9" s="44" t="n">
        <x:v>6</x:v>
      </x:c>
      <x:c r="C9" s="44" t="n">
        <x:v>6</x:v>
      </x:c>
      <x:c r="D9" s="44" t="n">
        <x:v>2</x:v>
      </x:c>
      <x:c r="E9" s="44" t="str">
        <x:v>Mixed</x:v>
      </x:c>
      <x:c r="F9" s="44" t="n">
        <x:v>2</x:v>
      </x:c>
      <x:c r="G9" s="111" t="n">
        <x:v>46234</x:v>
      </x:c>
      <x:c r="H9" s="44" t="n">
        <x:v>7</x:v>
      </x:c>
      <x:c r="I9" s="44" t="n">
        <x:v>15</x:v>
      </x:c>
      <x:c r="J9" s="44" t="n">
        <x:v>5</x:v>
      </x:c>
      <x:c r="K9" s="44" t="n">
        <x:v>10</x:v>
      </x:c>
      <x:c r="L9" s="77" t="n">
        <x:f>MIN(100,(C9/B9)*I9+(D9/B9)*J9+IF(TODAY()-G9&lt;=H9,K9,MAX(0,K9*(1-(TODAY()-G9-H9)/365)))+(100-I9-J9-K9)*(4-F9)/3)</x:f>
        <x:v>73.33333333333333</x:v>
      </x:c>
      <x:c r="M9" s="44" t="str">
        <x:v>Strategy</x:v>
      </x:c>
      <x:c r="N9" s="44" t="str">
        <x:v>Close unresolved evidence gaps</x:v>
      </x:c>
    </x:row>
  </x:sheetData>
  <x:conditionalFormatting sqref="L2:L9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dadb58687d9475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20" hidden="0" customWidth="1"/>
    <x:col min="14" max="14" width="17" hidden="0" customWidth="1"/>
    <x:col min="15" max="15" width="12" hidden="0" customWidth="1"/>
    <x:col min="16" max="16" width="18" hidden="0" customWidth="1"/>
  </x:cols>
  <x:sheetData>
    <x:row r="1" ht="24" hidden="0" customHeight="1">
      <x:c r="A1" s="109" t="str">
        <x:v>Year</x:v>
      </x:c>
      <x:c r="B1" s="109" t="str">
        <x:v>Period_Type</x:v>
      </x:c>
      <x:c r="C1" s="109" t="str">
        <x:v>Beginning_AUM_VND_bn</x:v>
      </x:c>
      <x:c r="D1" s="109" t="str">
        <x:v>Net_Flow_VND_bn</x:v>
      </x:c>
      <x:c r="E1" s="109" t="str">
        <x:v>Market_Return_Pct</x:v>
      </x:c>
      <x:c r="F1" s="109" t="str">
        <x:v>Ending_AUM_VND_bn</x:v>
      </x:c>
      <x:c r="G1" s="109" t="str">
        <x:v>Average_AUM_VND_bn</x:v>
      </x:c>
      <x:c r="H1" s="109" t="str">
        <x:v>Fee_Yield_Pct</x:v>
      </x:c>
      <x:c r="I1" s="109" t="str">
        <x:v>Revenue_VND_bn</x:v>
      </x:c>
      <x:c r="J1" s="109" t="str">
        <x:v>Personnel_VND_bn</x:v>
      </x:c>
      <x:c r="K1" s="109" t="str">
        <x:v>Other_Opex_VND_bn</x:v>
      </x:c>
      <x:c r="L1" s="109" t="str">
        <x:v>PBT_VND_bn</x:v>
      </x:c>
      <x:c r="M1" s="109" t="str">
        <x:v>Effective_Tax_Pct</x:v>
      </x:c>
      <x:c r="N1" s="109" t="str">
        <x:v>NPAT_VND_bn</x:v>
      </x:c>
      <x:c r="O1" s="109" t="str">
        <x:v>Source_ID</x:v>
      </x:c>
      <x:c r="P1" s="109" t="str">
        <x:v>Status</x:v>
      </x:c>
    </x:row>
    <x:row r="2" ht="15" hidden="0" customHeight="1">
      <x:c r="A2" s="44" t="n">
        <x:v>2025</x:v>
      </x:c>
      <x:c r="B2" s="44" t="str">
        <x:v>Actual</x:v>
      </x:c>
      <x:c r="C2" s="113" t="n">
        <x:v>140000</x:v>
      </x:c>
      <x:c r="D2" s="113" t="n">
        <x:v>0</x:v>
      </x:c>
      <x:c r="E2" s="78" t="n">
        <x:v>0</x:v>
      </x:c>
      <x:c r="F2" s="113" t="n">
        <x:v>140000</x:v>
      </x:c>
      <x:c r="G2" s="113" t="n">
        <x:v>140000</x:v>
      </x:c>
      <x:c r="H2" s="76" t="n">
        <x:v>0.00886</x:v>
      </x:c>
      <x:c r="I2" s="113" t="n">
        <x:v>1240</x:v>
      </x:c>
      <x:c r="J2" s="113" t="n">
        <x:v>410</x:v>
      </x:c>
      <x:c r="K2" s="113" t="n">
        <x:v>425</x:v>
      </x:c>
      <x:c r="L2" s="113" t="n">
        <x:v>405</x:v>
      </x:c>
      <x:c r="M2" s="78" t="n">
        <x:v>0.185</x:v>
      </x:c>
      <x:c r="N2" s="113" t="n">
        <x:v>330</x:v>
      </x:c>
      <x:c r="O2" s="44" t="str">
        <x:v>S004</x:v>
      </x:c>
      <x:c r="P2" s="44" t="str">
        <x:v>Assumption</x:v>
      </x:c>
    </x:row>
    <x:row r="3" ht="15" hidden="0" customHeight="1">
      <x:c r="A3" s="44" t="n">
        <x:v>2026</x:v>
      </x:c>
      <x:c r="B3" s="44" t="str">
        <x:v>Forecast</x:v>
      </x:c>
      <x:c r="C3" s="113" t="n">
        <x:f>F2</x:f>
        <x:v>140000</x:v>
      </x:c>
      <x:c r="D3" s="114" t="n">
        <x:v>3000</x:v>
      </x:c>
      <x:c r="E3" s="75" t="n">
        <x:v>0.06</x:v>
      </x:c>
      <x:c r="F3" s="113" t="n">
        <x:f>C3*(1+E3)+D3</x:f>
        <x:v>151400</x:v>
      </x:c>
      <x:c r="G3" s="113" t="n">
        <x:f>(C3+F3)/2</x:f>
        <x:v>145700</x:v>
      </x:c>
      <x:c r="H3" s="112" t="n">
        <x:v>0.00855</x:v>
      </x:c>
      <x:c r="I3" s="113" t="n">
        <x:f>G3*H3</x:f>
        <x:v>1245.7350000000001</x:v>
      </x:c>
      <x:c r="J3" s="114" t="n">
        <x:v>455</x:v>
      </x:c>
      <x:c r="K3" s="114" t="n">
        <x:v>360</x:v>
      </x:c>
      <x:c r="L3" s="113" t="n">
        <x:f>I3-J3-K3</x:f>
        <x:v>430.7350000000001</x:v>
      </x:c>
      <x:c r="M3" s="75" t="n">
        <x:v>0.14</x:v>
      </x:c>
      <x:c r="N3" s="113" t="n">
        <x:f>L3*(1-M3)</x:f>
        <x:v>370.4321000000001</x:v>
      </x:c>
      <x:c r="O3" s="44" t="str">
        <x:v>S010</x:v>
      </x:c>
      <x:c r="P3" s="44" t="str">
        <x:v>Assumption</x:v>
      </x:c>
    </x:row>
    <x:row r="4" ht="15" hidden="0" customHeight="1">
      <x:c r="A4" s="44" t="n">
        <x:v>2027</x:v>
      </x:c>
      <x:c r="B4" s="44" t="str">
        <x:v>Forecast</x:v>
      </x:c>
      <x:c r="C4" s="113" t="n">
        <x:f>F3</x:f>
        <x:v>151400</x:v>
      </x:c>
      <x:c r="D4" s="114" t="n">
        <x:v>5000</x:v>
      </x:c>
      <x:c r="E4" s="75" t="n">
        <x:v>0.08</x:v>
      </x:c>
      <x:c r="F4" s="113" t="n">
        <x:f>C4*(1+E4)+D4</x:f>
        <x:v>168512</x:v>
      </x:c>
      <x:c r="G4" s="113" t="n">
        <x:f>(C4+F4)/2</x:f>
        <x:v>159956</x:v>
      </x:c>
      <x:c r="H4" s="112" t="n">
        <x:v>0.00835</x:v>
      </x:c>
      <x:c r="I4" s="113" t="n">
        <x:f>G4*H4</x:f>
        <x:v>1335.6326</x:v>
      </x:c>
      <x:c r="J4" s="114" t="n">
        <x:v>490</x:v>
      </x:c>
      <x:c r="K4" s="114" t="n">
        <x:v>390</x:v>
      </x:c>
      <x:c r="L4" s="113" t="n">
        <x:f>I4-J4-K4</x:f>
        <x:v>455.6325999999999</x:v>
      </x:c>
      <x:c r="M4" s="75" t="n">
        <x:v>0.14</x:v>
      </x:c>
      <x:c r="N4" s="113" t="n">
        <x:f>L4*(1-M4)</x:f>
        <x:v>391.8440359999999</x:v>
      </x:c>
      <x:c r="O4" s="44" t="str">
        <x:v>S010</x:v>
      </x:c>
      <x:c r="P4" s="44" t="str">
        <x:v>Assumption</x:v>
      </x:c>
    </x:row>
    <x:row r="5" ht="15" hidden="0" customHeight="1">
      <x:c r="A5" s="44" t="n">
        <x:v>2028</x:v>
      </x:c>
      <x:c r="B5" s="44" t="str">
        <x:v>Forecast</x:v>
      </x:c>
      <x:c r="C5" s="113" t="n">
        <x:f>F4</x:f>
        <x:v>168512</x:v>
      </x:c>
      <x:c r="D5" s="114" t="n">
        <x:v>6500</x:v>
      </x:c>
      <x:c r="E5" s="75" t="n">
        <x:v>0.07</x:v>
      </x:c>
      <x:c r="F5" s="113" t="n">
        <x:f>C5*(1+E5)+D5</x:f>
        <x:v>186807.84</x:v>
      </x:c>
      <x:c r="G5" s="113" t="n">
        <x:f>(C5+F5)/2</x:f>
        <x:v>177659.91999999998</x:v>
      </x:c>
      <x:c r="H5" s="112" t="n">
        <x:v>0.0082</x:v>
      </x:c>
      <x:c r="I5" s="113" t="n">
        <x:f>G5*H5</x:f>
        <x:v>1456.811344</x:v>
      </x:c>
      <x:c r="J5" s="114" t="n">
        <x:v>525</x:v>
      </x:c>
      <x:c r="K5" s="114" t="n">
        <x:v>420</x:v>
      </x:c>
      <x:c r="L5" s="113" t="n">
        <x:f>I5-J5-K5</x:f>
        <x:v>511.81134399999996</x:v>
      </x:c>
      <x:c r="M5" s="75" t="n">
        <x:v>0.14</x:v>
      </x:c>
      <x:c r="N5" s="113" t="n">
        <x:f>L5*(1-M5)</x:f>
        <x:v>440.15775583999994</x:v>
      </x:c>
      <x:c r="O5" s="44" t="str">
        <x:v>S010</x:v>
      </x:c>
      <x:c r="P5" s="44" t="str">
        <x:v>Assumption</x:v>
      </x:c>
    </x:row>
    <x:row r="6" ht="15" hidden="0" customHeight="1">
      <x:c r="A6" s="44" t="n">
        <x:v>2029</x:v>
      </x:c>
      <x:c r="B6" s="44" t="str">
        <x:v>Forecast</x:v>
      </x:c>
      <x:c r="C6" s="113" t="n">
        <x:f>F5</x:f>
        <x:v>186807.84</x:v>
      </x:c>
      <x:c r="D6" s="114" t="n">
        <x:v>8000</x:v>
      </x:c>
      <x:c r="E6" s="75" t="n">
        <x:v>0.06</x:v>
      </x:c>
      <x:c r="F6" s="113" t="n">
        <x:f>C6*(1+E6)+D6</x:f>
        <x:v>206016.31040000002</x:v>
      </x:c>
      <x:c r="G6" s="113" t="n">
        <x:f>(C6+F6)/2</x:f>
        <x:v>196412.07520000002</x:v>
      </x:c>
      <x:c r="H6" s="112" t="n">
        <x:v>0.0081</x:v>
      </x:c>
      <x:c r="I6" s="113" t="n">
        <x:f>G6*H6</x:f>
        <x:v>1590.93780912</x:v>
      </x:c>
      <x:c r="J6" s="114" t="n">
        <x:v>560</x:v>
      </x:c>
      <x:c r="K6" s="114" t="n">
        <x:v>450</x:v>
      </x:c>
      <x:c r="L6" s="113" t="n">
        <x:f>I6-J6-K6</x:f>
        <x:v>580.9378091200001</x:v>
      </x:c>
      <x:c r="M6" s="75" t="n">
        <x:v>0.14</x:v>
      </x:c>
      <x:c r="N6" s="113" t="n">
        <x:f>L6*(1-M6)</x:f>
        <x:v>499.6065158432001</x:v>
      </x:c>
      <x:c r="O6" s="44" t="str">
        <x:v>S010</x:v>
      </x:c>
      <x:c r="P6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9835031f2c76464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64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42" hidden="0" customWidth="1"/>
    <x:col min="11" max="11" width="38" hidden="0" customWidth="1"/>
    <x:col min="12" max="12" width="14" hidden="0" customWidth="1"/>
    <x:col min="13" max="13" width="42" hidden="0" customWidth="1"/>
  </x:cols>
  <x:sheetData>
    <x:row r="1" ht="24" hidden="0" customHeight="1">
      <x:c r="A1" s="109" t="str">
        <x:v>Action_ID</x:v>
      </x:c>
      <x:c r="B1" s="109" t="str">
        <x:v>Priority</x:v>
      </x:c>
      <x:c r="C1" s="109" t="str">
        <x:v>Domain</x:v>
      </x:c>
      <x:c r="D1" s="109" t="str">
        <x:v>Recommendation</x:v>
      </x:c>
      <x:c r="E1" s="109" t="str">
        <x:v>Owner</x:v>
      </x:c>
      <x:c r="F1" s="109" t="str">
        <x:v>Start_Date</x:v>
      </x:c>
      <x:c r="G1" s="109" t="str">
        <x:v>Due_Date</x:v>
      </x:c>
      <x:c r="H1" s="109" t="str">
        <x:v>Status</x:v>
      </x:c>
      <x:c r="I1" s="109" t="str">
        <x:v>Progress_Pct</x:v>
      </x:c>
      <x:c r="J1" s="109" t="str">
        <x:v>Expected_Impact</x:v>
      </x:c>
      <x:c r="K1" s="109" t="str">
        <x:v>Evidence_or_Output</x:v>
      </x:c>
      <x:c r="L1" s="109" t="str">
        <x:v>Last_Update</x:v>
      </x:c>
      <x:c r="M1" s="109" t="str">
        <x:v>Escalation_Rule</x:v>
      </x:c>
    </x:row>
    <x:row r="2" ht="15" hidden="0" customHeight="1">
      <x:c r="A2" s="44" t="str">
        <x:v>ACT001</x:v>
      </x:c>
      <x:c r="B2" s="44" t="str">
        <x:v>High</x:v>
      </x:c>
      <x:c r="C2" s="44" t="str">
        <x:v>Data quality</x:v>
      </x:c>
      <x:c r="D2" s="44" t="str">
        <x:v>Replace assumption-based NAV and AUM history with verified data</x:v>
      </x:c>
      <x:c r="E2" s="44" t="str">
        <x:v>Investment Operations</x:v>
      </x:c>
      <x:c r="F2" s="44" t="str">
        <x:v>2026-08-04</x:v>
      </x:c>
      <x:c r="G2" s="44" t="str">
        <x:v>2026-08-18</x:v>
      </x:c>
      <x:c r="H2" s="44" t="str">
        <x:v>Open</x:v>
      </x:c>
      <x:c r="I2" s="115" t="n">
        <x:v>0</x:v>
      </x:c>
      <x:c r="J2" s="44" t="str">
        <x:v>Verified fund-performance analytics</x:v>
      </x:c>
      <x:c r="K2" s="44" t="str">
        <x:v>Official NAV/AUM files</x:v>
      </x:c>
      <x:c r="L2" s="44" t="str">
        <x:v>2026-08-04</x:v>
      </x:c>
      <x:c r="M2" s="44" t="str">
        <x:v>Escalate if overdue &gt; 3 days</x:v>
      </x:c>
    </x:row>
    <x:row r="3" ht="15" hidden="0" customHeight="1">
      <x:c r="A3" s="44" t="str">
        <x:v>ACT002</x:v>
      </x:c>
      <x:c r="B3" s="44" t="str">
        <x:v>High</x:v>
      </x:c>
      <x:c r="C3" s="44" t="str">
        <x:v>M&amp;A forensics</x:v>
      </x:c>
      <x:c r="D3" s="44" t="str">
        <x:v>Reconcile 24-Jul governance report against prior ownership and related parties</x:v>
      </x:c>
      <x:c r="E3" s="44" t="str">
        <x:v>Board Secretary</x:v>
      </x:c>
      <x:c r="F3" s="44" t="str">
        <x:v>2026-08-04</x:v>
      </x:c>
      <x:c r="G3" s="44" t="str">
        <x:v>2026-08-11</x:v>
      </x:c>
      <x:c r="H3" s="44" t="str">
        <x:v>In progress</x:v>
      </x:c>
      <x:c r="I3" s="115" t="n">
        <x:v>0.35</x:v>
      </x:c>
      <x:c r="J3" s="44" t="str">
        <x:v>Close critical evidence gaps</x:v>
      </x:c>
      <x:c r="K3" s="44" t="str">
        <x:v>Governance reconciliation memo</x:v>
      </x:c>
      <x:c r="L3" s="44" t="str">
        <x:v>2026-08-04</x:v>
      </x:c>
      <x:c r="M3" s="44" t="str">
        <x:v>Escalate if unresolved by due date</x:v>
      </x:c>
    </x:row>
    <x:row r="4" ht="15" hidden="0" customHeight="1">
      <x:c r="A4" s="44" t="str">
        <x:v>ACT003</x:v>
      </x:c>
      <x:c r="B4" s="44" t="str">
        <x:v>High</x:v>
      </x:c>
      <x:c r="C4" s="44" t="str">
        <x:v>Investment</x:v>
      </x:c>
      <x:c r="D4" s="44" t="str">
        <x:v>Run DCDS sector and stock attribution challenge</x:v>
      </x:c>
      <x:c r="E4" s="44" t="str">
        <x:v>CIO</x:v>
      </x:c>
      <x:c r="F4" s="44" t="str">
        <x:v>2026-08-04</x:v>
      </x:c>
      <x:c r="G4" s="44" t="str">
        <x:v>2026-08-14</x:v>
      </x:c>
      <x:c r="H4" s="44" t="str">
        <x:v>Open</x:v>
      </x:c>
      <x:c r="I4" s="115" t="n">
        <x:v>0.1</x:v>
      </x:c>
      <x:c r="J4" s="44" t="str">
        <x:v>Identify alpha drivers and remediation</x:v>
      </x:c>
      <x:c r="K4" s="44" t="str">
        <x:v>Attribution pack</x:v>
      </x:c>
      <x:c r="L4" s="44" t="str">
        <x:v>2026-08-04</x:v>
      </x:c>
      <x:c r="M4" s="44" t="str">
        <x:v>Escalate if no owner update in 7 days</x:v>
      </x:c>
    </x:row>
    <x:row r="5" ht="15" hidden="0" customHeight="1">
      <x:c r="A5" s="44" t="str">
        <x:v>ACT004</x:v>
      </x:c>
      <x:c r="B5" s="44" t="str">
        <x:v>Medium</x:v>
      </x:c>
      <x:c r="C5" s="44" t="str">
        <x:v>Finance</x:v>
      </x:c>
      <x:c r="D5" s="44" t="str">
        <x:v>Validate fee yields and cost split in integrated model</x:v>
      </x:c>
      <x:c r="E5" s="44" t="str">
        <x:v>CFO</x:v>
      </x:c>
      <x:c r="F5" s="44" t="str">
        <x:v>2026-08-04</x:v>
      </x:c>
      <x:c r="G5" s="44" t="str">
        <x:v>2026-08-21</x:v>
      </x:c>
      <x:c r="H5" s="44" t="str">
        <x:v>Open</x:v>
      </x:c>
      <x:c r="I5" s="115" t="n">
        <x:v>0</x:v>
      </x:c>
      <x:c r="J5" s="44" t="str">
        <x:v>Board-ready earnings sensitivity</x:v>
      </x:c>
      <x:c r="K5" s="44" t="str">
        <x:v>Finance validation note</x:v>
      </x:c>
      <x:c r="L5" s="44" t="str">
        <x:v>2026-08-04</x:v>
      </x:c>
      <x:c r="M5" s="44" t="str">
        <x:v>Escalate if forecast variance &gt; 10%</x:v>
      </x:c>
    </x:row>
    <x:row r="6" ht="15" hidden="0" customHeight="1">
      <x:c r="A6" s="44" t="str">
        <x:v>ACT005</x:v>
      </x:c>
      <x:c r="B6" s="44" t="str">
        <x:v>Medium</x:v>
      </x:c>
      <x:c r="C6" s="44" t="str">
        <x:v>Risk</x:v>
      </x:c>
      <x:c r="D6" s="44" t="str">
        <x:v>Refresh liquidity and redemption stress tests</x:v>
      </x:c>
      <x:c r="E6" s="44" t="str">
        <x:v>CRO</x:v>
      </x:c>
      <x:c r="F6" s="44" t="str">
        <x:v>2026-08-04</x:v>
      </x:c>
      <x:c r="G6" s="44" t="str">
        <x:v>2026-08-25</x:v>
      </x:c>
      <x:c r="H6" s="44" t="str">
        <x:v>Open</x:v>
      </x:c>
      <x:c r="I6" s="115" t="n">
        <x:v>0</x:v>
      </x:c>
      <x:c r="J6" s="44" t="str">
        <x:v>Updated liquidity buffer recommendation</x:v>
      </x:c>
      <x:c r="K6" s="44" t="str">
        <x:v>Risk committee paper</x:v>
      </x:c>
      <x:c r="L6" s="44" t="str">
        <x:v>2026-08-04</x:v>
      </x:c>
      <x:c r="M6" s="44" t="str">
        <x:v>Escalate for Stress market regime</x:v>
      </x:c>
    </x:row>
  </x:sheetData>
  <x:conditionalFormatting sqref="H2:H6">
    <x:cfRule type="containsText" dxfId="2" priority="1" operator="containsText" text="Completed"/>
    <x:cfRule type="containsText" dxfId="3" priority="2" operator="containsText" text="Blocked"/>
  </x:conditionalFormatting>
  <x:dataValidations count="2">
    <x:dataValidation type="list" sqref="B2:B6">
      <x:formula1>"High,Medium,Low"</x:formula1>
    </x:dataValidation>
    <x:dataValidation type="list" sqref="H2:H6">
      <x:formula1>"Open,In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b070ffa77486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</x:cols>
  <x:sheetData>
    <x:row r="1" ht="28" customHeight="1">
      <x:c r="A1" s="118" t="str">
        <x:v>PRODUCT PROFITABILITY ENGINE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Blue inputs may be replaced with verified management data. Contribution and break-even fields are formula-driven.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Fund_Code</x:v>
      </x:c>
      <x:c r="B3" s="124" t="str">
        <x:v>Average_AUM_VND_bn</x:v>
      </x:c>
      <x:c r="C3" s="124" t="str">
        <x:v>Effective_Fee_Pct</x:v>
      </x:c>
      <x:c r="D3" s="124" t="str">
        <x:v>Other_Revenue_VND_bn</x:v>
      </x:c>
      <x:c r="E3" s="124" t="str">
        <x:v>Direct_Cost_VND_bn</x:v>
      </x:c>
      <x:c r="F3" s="124" t="str">
        <x:v>Allocated_Cost_VND_bn</x:v>
      </x:c>
      <x:c r="G3" s="124" t="str">
        <x:v>Revenue_VND_bn</x:v>
      </x:c>
      <x:c r="H3" s="124" t="str">
        <x:v>Contribution_VND_bn</x:v>
      </x:c>
      <x:c r="I3" s="124" t="str">
        <x:v>Contribution_Margin_Pct</x:v>
      </x:c>
      <x:c r="J3" s="124" t="str">
        <x:v>Break_Even_AUM_VND_bn</x:v>
      </x:c>
      <x:c r="K3" s="124" t="str">
        <x:v>Source_Status</x:v>
      </x:c>
    </x:row>
    <x:row r="4" ht="22" customHeight="1">
      <x:c r="A4" s="125" t="str">
        <x:v>DCDS</x:v>
      </x:c>
      <x:c r="B4" s="140" t="n">
        <x:v>18500</x:v>
      </x:c>
      <x:c r="C4" s="143" t="n">
        <x:v>0.015</x:v>
      </x:c>
      <x:c r="D4" s="140" t="n">
        <x:v>5</x:v>
      </x:c>
      <x:c r="E4" s="140" t="n">
        <x:v>78</x:v>
      </x:c>
      <x:c r="F4" s="140" t="n">
        <x:v>42</x:v>
      </x:c>
      <x:c r="G4" s="152" t="n">
        <x:f>B4*C4+D4</x:f>
        <x:v>282.5</x:v>
      </x:c>
      <x:c r="H4" s="152" t="n">
        <x:f>G4-E4-F4</x:f>
        <x:v>162.5</x:v>
      </x:c>
      <x:c r="I4" s="137" t="n">
        <x:f>IFERROR(H4/G4,0)</x:f>
        <x:v>0.5752212389380531</x:v>
      </x:c>
      <x:c r="J4" s="152" t="n">
        <x:f>IFERROR((E4+F4-D4)/C4,0)</x:f>
        <x:v>7666.666666666667</x:v>
      </x:c>
      <x:c r="K4" s="127" t="str">
        <x:v>Assumption</x:v>
      </x:c>
    </x:row>
    <x:row r="5" ht="22" customHeight="1">
      <x:c r="A5" s="128" t="str">
        <x:v>DCBF</x:v>
      </x:c>
      <x:c r="B5" s="141" t="n">
        <x:v>13200</x:v>
      </x:c>
      <x:c r="C5" s="144" t="n">
        <x:v>0.009</x:v>
      </x:c>
      <x:c r="D5" s="141" t="n">
        <x:v>2</x:v>
      </x:c>
      <x:c r="E5" s="141" t="n">
        <x:v>38</x:v>
      </x:c>
      <x:c r="F5" s="141" t="n">
        <x:v>24</x:v>
      </x:c>
      <x:c r="G5" s="153" t="n">
        <x:f>B5*C5+D5</x:f>
        <x:v>120.8</x:v>
      </x:c>
      <x:c r="H5" s="153" t="n">
        <x:f>G5-E5-F5</x:f>
        <x:v>58.8</x:v>
      </x:c>
      <x:c r="I5" s="138" t="n">
        <x:f>IFERROR(H5/G5,0)</x:f>
        <x:v>0.4867549668874172</x:v>
      </x:c>
      <x:c r="J5" s="153" t="n">
        <x:f>IFERROR((E5+F5-D5)/C5,0)</x:f>
        <x:v>6666.666666666667</x:v>
      </x:c>
      <x:c r="K5" s="130" t="str">
        <x:v>Assumption</x:v>
      </x:c>
    </x:row>
    <x:row r="6" ht="22" customHeight="1">
      <x:c r="A6" s="128" t="str">
        <x:v>DCDE</x:v>
      </x:c>
      <x:c r="B6" s="141" t="n">
        <x:v>8400</x:v>
      </x:c>
      <x:c r="C6" s="144" t="n">
        <x:v>0.013</x:v>
      </x:c>
      <x:c r="D6" s="141" t="n">
        <x:v>2</x:v>
      </x:c>
      <x:c r="E6" s="141" t="n">
        <x:v>42</x:v>
      </x:c>
      <x:c r="F6" s="141" t="n">
        <x:v>25</x:v>
      </x:c>
      <x:c r="G6" s="153" t="n">
        <x:f>B6*C6+D6</x:f>
        <x:v>111.19999999999999</x:v>
      </x:c>
      <x:c r="H6" s="153" t="n">
        <x:f>G6-E6-F6</x:f>
        <x:v>44.19999999999999</x:v>
      </x:c>
      <x:c r="I6" s="138" t="n">
        <x:f>IFERROR(H6/G6,0)</x:f>
        <x:v>0.3974820143884891</x:v>
      </x:c>
      <x:c r="J6" s="153" t="n">
        <x:f>IFERROR((E6+F6-D6)/C6,0)</x:f>
        <x:v>5000</x:v>
      </x:c>
      <x:c r="K6" s="130" t="str">
        <x:v>Assumption</x:v>
      </x:c>
    </x:row>
    <x:row r="7" ht="22" customHeight="1">
      <x:c r="A7" s="128" t="str">
        <x:v>E1VFVN30</x:v>
      </x:c>
      <x:c r="B7" s="141" t="n">
        <x:v>7600</x:v>
      </x:c>
      <x:c r="C7" s="144" t="n">
        <x:v>0.006</x:v>
      </x:c>
      <x:c r="D7" s="141" t="n">
        <x:v>1</x:v>
      </x:c>
      <x:c r="E7" s="141" t="n">
        <x:v>18</x:v>
      </x:c>
      <x:c r="F7" s="141" t="n">
        <x:v>14</x:v>
      </x:c>
      <x:c r="G7" s="153" t="n">
        <x:f>B7*C7+D7</x:f>
        <x:v>46.6</x:v>
      </x:c>
      <x:c r="H7" s="153" t="n">
        <x:f>G7-E7-F7</x:f>
        <x:v>14.600000000000001</x:v>
      </x:c>
      <x:c r="I7" s="138" t="n">
        <x:f>IFERROR(H7/G7,0)</x:f>
        <x:v>0.3133047210300429</x:v>
      </x:c>
      <x:c r="J7" s="153" t="n">
        <x:f>IFERROR((E7+F7-D7)/C7,0)</x:f>
        <x:v>5166.666666666667</x:v>
      </x:c>
      <x:c r="K7" s="130" t="str">
        <x:v>Assumption</x:v>
      </x:c>
    </x:row>
    <x:row r="8" ht="22" customHeight="1">
      <x:c r="A8" s="128" t="str">
        <x:v>FUEVFVND</x:v>
      </x:c>
      <x:c r="B8" s="141" t="n">
        <x:v>15400</x:v>
      </x:c>
      <x:c r="C8" s="144" t="n">
        <x:v>0.007</x:v>
      </x:c>
      <x:c r="D8" s="141" t="n">
        <x:v>2</x:v>
      </x:c>
      <x:c r="E8" s="141" t="n">
        <x:v>26</x:v>
      </x:c>
      <x:c r="F8" s="141" t="n">
        <x:v>18</x:v>
      </x:c>
      <x:c r="G8" s="153" t="n">
        <x:f>B8*C8+D8</x:f>
        <x:v>109.8</x:v>
      </x:c>
      <x:c r="H8" s="153" t="n">
        <x:f>G8-E8-F8</x:f>
        <x:v>65.8</x:v>
      </x:c>
      <x:c r="I8" s="138" t="n">
        <x:f>IFERROR(H8/G8,0)</x:f>
        <x:v>0.599271402550091</x:v>
      </x:c>
      <x:c r="J8" s="153" t="n">
        <x:f>IFERROR((E8+F8-D8)/C8,0)</x:f>
        <x:v>6000</x:v>
      </x:c>
      <x:c r="K8" s="130" t="str">
        <x:v>Assumption</x:v>
      </x:c>
    </x:row>
    <x:row r="9" ht="22" customHeight="1">
      <x:c r="A9" s="131" t="str">
        <x:v>DCAF</x:v>
      </x:c>
      <x:c r="B9" s="142" t="n">
        <x:v>6100</x:v>
      </x:c>
      <x:c r="C9" s="145" t="n">
        <x:v>0.011</x:v>
      </x:c>
      <x:c r="D9" s="142" t="n">
        <x:v>1</x:v>
      </x:c>
      <x:c r="E9" s="142" t="n">
        <x:v>29</x:v>
      </x:c>
      <x:c r="F9" s="142" t="n">
        <x:v>18</x:v>
      </x:c>
      <x:c r="G9" s="154" t="n">
        <x:f>B9*C9+D9</x:f>
        <x:v>68.1</x:v>
      </x:c>
      <x:c r="H9" s="154" t="n">
        <x:f>G9-E9-F9</x:f>
        <x:v>21.099999999999994</x:v>
      </x:c>
      <x:c r="I9" s="139" t="n">
        <x:f>IFERROR(H9/G9,0)</x:f>
        <x:v>0.3098384728340675</x:v>
      </x:c>
      <x:c r="J9" s="154" t="n">
        <x:f>IFERROR((E9+F9-D9)/C9,0)</x:f>
        <x:v>4181.818181818182</x:v>
      </x:c>
      <x:c r="K9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0" hidden="0" customWidth="1"/>
    <x:col min="4" max="4" width="18" hidden="0" customWidth="1"/>
    <x:col min="5" max="5" width="19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28" customHeight="1">
      <x:c r="A1" s="118" t="str">
        <x:v>DISTRIBUTION INTELLIGENCE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0" customHeight="1">
      <x:c r="A2" s="121" t="str">
        <x:v>Illustrative channel data. Replace via Master Excel; concentration and economics feed management recommendations.</x:v>
      </x:c>
      <x:c r="B2" s="121"/>
      <x:c r="C2" s="121"/>
      <x:c r="D2" s="121"/>
      <x:c r="E2" s="121"/>
      <x:c r="F2" s="121"/>
      <x:c r="G2" s="121"/>
      <x:c r="H2" s="121"/>
      <x:c r="I2" s="121"/>
      <x:c r="J2" s="121"/>
    </x:row>
    <x:row r="3" ht="30" customHeight="1">
      <x:c r="A3" s="124" t="str">
        <x:v>Channel</x:v>
      </x:c>
      <x:c r="B3" s="124" t="str">
        <x:v>Gross_Sales_VND_bn</x:v>
      </x:c>
      <x:c r="C3" s="124" t="str">
        <x:v>Redemptions_VND_bn</x:v>
      </x:c>
      <x:c r="D3" s="124" t="str">
        <x:v>Net_Sales_VND_bn</x:v>
      </x:c>
      <x:c r="E3" s="124" t="str">
        <x:v>Ending_AUM_VND_bn</x:v>
      </x:c>
      <x:c r="F3" s="124" t="str">
        <x:v>Distribution_Cost_VND_bn</x:v>
      </x:c>
      <x:c r="G3" s="124" t="str">
        <x:v>Active_Investors</x:v>
      </x:c>
      <x:c r="H3" s="124" t="str">
        <x:v>Retention_Pct</x:v>
      </x:c>
      <x:c r="I3" s="124" t="str">
        <x:v>AUM_Share_Pct</x:v>
      </x:c>
      <x:c r="J3" s="124" t="str">
        <x:v>Source_Status</x:v>
      </x:c>
    </x:row>
    <x:row r="4" ht="22" customHeight="1">
      <x:c r="A4" s="125" t="str">
        <x:v>Direct / Digital</x:v>
      </x:c>
      <x:c r="B4" s="126" t="n">
        <x:v>1550</x:v>
      </x:c>
      <x:c r="C4" s="126" t="n">
        <x:v>920</x:v>
      </x:c>
      <x:c r="D4" s="126" t="n">
        <x:f>B4-C4</x:f>
        <x:v>630</x:v>
      </x:c>
      <x:c r="E4" s="126" t="n">
        <x:v>11200</x:v>
      </x:c>
      <x:c r="F4" s="126" t="n">
        <x:v>42</x:v>
      </x:c>
      <x:c r="G4" s="126" t="n">
        <x:v>18500</x:v>
      </x:c>
      <x:c r="H4" s="137" t="n">
        <x:v>0.82</x:v>
      </x:c>
      <x:c r="I4" s="137" t="n">
        <x:f>IFERROR(E4/SUM($E$4:$E$8),0)</x:f>
        <x:v>0.11826821541710665</x:v>
      </x:c>
      <x:c r="J4" s="127" t="str">
        <x:v>Assumption</x:v>
      </x:c>
    </x:row>
    <x:row r="5" ht="22" customHeight="1">
      <x:c r="A5" s="128" t="str">
        <x:v>Bank Partners</x:v>
      </x:c>
      <x:c r="B5" s="129" t="n">
        <x:v>2250</x:v>
      </x:c>
      <x:c r="C5" s="129" t="n">
        <x:v>1380</x:v>
      </x:c>
      <x:c r="D5" s="129" t="n">
        <x:f>B5-C5</x:f>
        <x:v>870</x:v>
      </x:c>
      <x:c r="E5" s="129" t="n">
        <x:v>16400</x:v>
      </x:c>
      <x:c r="F5" s="129" t="n">
        <x:v>88</x:v>
      </x:c>
      <x:c r="G5" s="129" t="n">
        <x:v>9200</x:v>
      </x:c>
      <x:c r="H5" s="138" t="n">
        <x:v>0.86</x:v>
      </x:c>
      <x:c r="I5" s="138" t="n">
        <x:f>IFERROR(E5/SUM($E$4:$E$8),0)</x:f>
        <x:v>0.17317845828933473</x:v>
      </x:c>
      <x:c r="J5" s="130" t="str">
        <x:v>Assumption</x:v>
      </x:c>
    </x:row>
    <x:row r="6" ht="22" customHeight="1">
      <x:c r="A6" s="128" t="str">
        <x:v>Securities Partners</x:v>
      </x:c>
      <x:c r="B6" s="129" t="n">
        <x:v>1780</x:v>
      </x:c>
      <x:c r="C6" s="129" t="n">
        <x:v>1250</x:v>
      </x:c>
      <x:c r="D6" s="129" t="n">
        <x:f>B6-C6</x:f>
        <x:v>530</x:v>
      </x:c>
      <x:c r="E6" s="129" t="n">
        <x:v>12900</x:v>
      </x:c>
      <x:c r="F6" s="129" t="n">
        <x:v>61</x:v>
      </x:c>
      <x:c r="G6" s="129" t="n">
        <x:v>11400</x:v>
      </x:c>
      <x:c r="H6" s="138" t="n">
        <x:v>0.79</x:v>
      </x:c>
      <x:c r="I6" s="138" t="n">
        <x:f>IFERROR(E6/SUM($E$4:$E$8),0)</x:f>
        <x:v>0.13621964097148892</x:v>
      </x:c>
      <x:c r="J6" s="130" t="str">
        <x:v>Assumption</x:v>
      </x:c>
    </x:row>
    <x:row r="7" ht="22" customHeight="1">
      <x:c r="A7" s="128" t="str">
        <x:v>Institutional</x:v>
      </x:c>
      <x:c r="B7" s="129" t="n">
        <x:v>980</x:v>
      </x:c>
      <x:c r="C7" s="129" t="n">
        <x:v>620</x:v>
      </x:c>
      <x:c r="D7" s="129" t="n">
        <x:f>B7-C7</x:f>
        <x:v>360</x:v>
      </x:c>
      <x:c r="E7" s="129" t="n">
        <x:v>31800</x:v>
      </x:c>
      <x:c r="F7" s="129" t="n">
        <x:v>21</x:v>
      </x:c>
      <x:c r="G7" s="129" t="n">
        <x:v>140</x:v>
      </x:c>
      <x:c r="H7" s="138" t="n">
        <x:v>0.91</x:v>
      </x:c>
      <x:c r="I7" s="138" t="n">
        <x:f>IFERROR(E7/SUM($E$4:$E$8),0)</x:f>
        <x:v>0.3357972544878564</x:v>
      </x:c>
      <x:c r="J7" s="130" t="str">
        <x:v>Assumption</x:v>
      </x:c>
    </x:row>
    <x:row r="8" ht="22" customHeight="1">
      <x:c r="A8" s="131" t="str">
        <x:v>Foreign Institutional</x:v>
      </x:c>
      <x:c r="B8" s="132" t="n">
        <x:v>840</x:v>
      </x:c>
      <x:c r="C8" s="132" t="n">
        <x:v>710</x:v>
      </x:c>
      <x:c r="D8" s="132" t="n">
        <x:f>B8-C8</x:f>
        <x:v>130</x:v>
      </x:c>
      <x:c r="E8" s="132" t="n">
        <x:v>22400</x:v>
      </x:c>
      <x:c r="F8" s="132" t="n">
        <x:v>25</x:v>
      </x:c>
      <x:c r="G8" s="132" t="n">
        <x:v>85</x:v>
      </x:c>
      <x:c r="H8" s="139" t="n">
        <x:v>0.88</x:v>
      </x:c>
      <x:c r="I8" s="139" t="n">
        <x:f>IFERROR(E8/SUM($E$4:$E$8),0)</x:f>
        <x:v>0.2365364308342133</x:v>
      </x:c>
      <x:c r="J8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20" hidden="0" customWidth="1"/>
    <x:col min="5" max="5" width="19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INVESTOR BEHAVIOUR &amp; REDEMPTION EWS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Cohort-level assumptions for monitoring. Redemption risk score is a management signal, not a forecast probability.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Cohort</x:v>
      </x:c>
      <x:c r="B3" s="124" t="str">
        <x:v>Investor_Type</x:v>
      </x:c>
      <x:c r="C3" s="124" t="str">
        <x:v>Opening_AUM_VND_bn</x:v>
      </x:c>
      <x:c r="D3" s="124" t="str">
        <x:v>Subscriptions_VND_bn</x:v>
      </x:c>
      <x:c r="E3" s="124" t="str">
        <x:v>Redemptions_VND_bn</x:v>
      </x:c>
      <x:c r="F3" s="124" t="str">
        <x:v>Ending_AUM_VND_bn</x:v>
      </x:c>
      <x:c r="G3" s="124" t="str">
        <x:v>Avg_Holding_Months</x:v>
      </x:c>
      <x:c r="H3" s="124" t="str">
        <x:v>Underperformance_3M_Pct</x:v>
      </x:c>
      <x:c r="I3" s="124" t="str">
        <x:v>Concentration_Pct</x:v>
      </x:c>
      <x:c r="J3" s="124" t="str">
        <x:v>Risk_Score</x:v>
      </x:c>
      <x:c r="K3" s="124" t="str">
        <x:v>Risk_Level</x:v>
      </x:c>
      <x:c r="L3" s="124" t="str">
        <x:v>Source_Status</x:v>
      </x:c>
    </x:row>
    <x:row r="4" ht="22" customHeight="1">
      <x:c r="A4" s="125" t="str">
        <x:v>2025-H1</x:v>
      </x:c>
      <x:c r="B4" s="126" t="str">
        <x:v>Retail</x:v>
      </x:c>
      <x:c r="C4" s="126" t="n">
        <x:v>6800</x:v>
      </x:c>
      <x:c r="D4" s="126" t="n">
        <x:v>1200</x:v>
      </x:c>
      <x:c r="E4" s="126" t="n">
        <x:v>980</x:v>
      </x:c>
      <x:c r="F4" s="126" t="n">
        <x:f>C4+D4-E4</x:f>
        <x:v>7020</x:v>
      </x:c>
      <x:c r="G4" s="126" t="n">
        <x:v>14</x:v>
      </x:c>
      <x:c r="H4" s="137" t="n">
        <x:v>-0.012</x:v>
      </x:c>
      <x:c r="I4" s="137" t="n">
        <x:v>0.08</x:v>
      </x:c>
      <x:c r="J4" s="155" t="n">
        <x:f>MIN(100,MAX(0,E4/(C4+D4)*50+MAX(0,-H4)*800+I4*50+IF(G4&lt;6,20,0)))</x:f>
        <x:v>19.725</x:v>
      </x:c>
      <x:c r="K4" s="126" t="str">
        <x:f>IF(J4&gt;=70,"HIGH",IF(J4&gt;=45,"MEDIUM","LOW"))</x:f>
        <x:v>LOW</x:v>
      </x:c>
      <x:c r="L4" s="127" t="str">
        <x:v>Assumption</x:v>
      </x:c>
    </x:row>
    <x:row r="5" ht="22" customHeight="1">
      <x:c r="A5" s="128" t="str">
        <x:v>2025-H2</x:v>
      </x:c>
      <x:c r="B5" s="129" t="str">
        <x:v>Retail</x:v>
      </x:c>
      <x:c r="C5" s="129" t="n">
        <x:v>5400</x:v>
      </x:c>
      <x:c r="D5" s="129" t="n">
        <x:v>1750</x:v>
      </x:c>
      <x:c r="E5" s="129" t="n">
        <x:v>1120</x:v>
      </x:c>
      <x:c r="F5" s="129" t="n">
        <x:f>C5+D5-E5</x:f>
        <x:v>6030</x:v>
      </x:c>
      <x:c r="G5" s="129" t="n">
        <x:v>9</x:v>
      </x:c>
      <x:c r="H5" s="138" t="n">
        <x:v>-0.018</x:v>
      </x:c>
      <x:c r="I5" s="138" t="n">
        <x:v>0.06</x:v>
      </x:c>
      <x:c r="J5" s="156" t="n">
        <x:f>MIN(100,MAX(0,E5/(C5+D5)*50+MAX(0,-H5)*800+I5*50+IF(G5&lt;6,20,0)))</x:f>
        <x:v>25.232167832167832</x:v>
      </x:c>
      <x:c r="K5" s="129" t="str">
        <x:f>IF(J5&gt;=70,"HIGH",IF(J5&gt;=45,"MEDIUM","LOW"))</x:f>
        <x:v>LOW</x:v>
      </x:c>
      <x:c r="L5" s="130" t="str">
        <x:v>Assumption</x:v>
      </x:c>
    </x:row>
    <x:row r="6" ht="22" customHeight="1">
      <x:c r="A6" s="128" t="str">
        <x:v>2026-H1</x:v>
      </x:c>
      <x:c r="B6" s="129" t="str">
        <x:v>Retail</x:v>
      </x:c>
      <x:c r="C6" s="129" t="n">
        <x:v>4200</x:v>
      </x:c>
      <x:c r="D6" s="129" t="n">
        <x:v>2100</x:v>
      </x:c>
      <x:c r="E6" s="129" t="n">
        <x:v>1460</x:v>
      </x:c>
      <x:c r="F6" s="129" t="n">
        <x:f>C6+D6-E6</x:f>
        <x:v>4840</x:v>
      </x:c>
      <x:c r="G6" s="129" t="n">
        <x:v>4</x:v>
      </x:c>
      <x:c r="H6" s="138" t="n">
        <x:v>-0.025</x:v>
      </x:c>
      <x:c r="I6" s="138" t="n">
        <x:v>0.05</x:v>
      </x:c>
      <x:c r="J6" s="156" t="n">
        <x:f>MIN(100,MAX(0,E6/(C6+D6)*50+MAX(0,-H6)*800+I6*50+IF(G6&lt;6,20,0)))</x:f>
        <x:v>54.08730158730159</x:v>
      </x:c>
      <x:c r="K6" s="129" t="str">
        <x:f>IF(J6&gt;=70,"HIGH",IF(J6&gt;=45,"MEDIUM","LOW"))</x:f>
        <x:v>MEDIUM</x:v>
      </x:c>
      <x:c r="L6" s="130" t="str">
        <x:v>Assumption</x:v>
      </x:c>
    </x:row>
    <x:row r="7" ht="22" customHeight="1">
      <x:c r="A7" s="128" t="str">
        <x:v>Legacy</x:v>
      </x:c>
      <x:c r="B7" s="129" t="str">
        <x:v>Domestic Institutional</x:v>
      </x:c>
      <x:c r="C7" s="129" t="n">
        <x:v>24800</x:v>
      </x:c>
      <x:c r="D7" s="129" t="n">
        <x:v>900</x:v>
      </x:c>
      <x:c r="E7" s="129" t="n">
        <x:v>620</x:v>
      </x:c>
      <x:c r="F7" s="129" t="n">
        <x:f>C7+D7-E7</x:f>
        <x:v>25080</x:v>
      </x:c>
      <x:c r="G7" s="129" t="n">
        <x:v>38</x:v>
      </x:c>
      <x:c r="H7" s="138" t="n">
        <x:v>-0.006</x:v>
      </x:c>
      <x:c r="I7" s="138" t="n">
        <x:v>0.34</x:v>
      </x:c>
      <x:c r="J7" s="156" t="n">
        <x:f>MIN(100,MAX(0,E7/(C7+D7)*50+MAX(0,-H7)*800+I7*50+IF(G7&lt;6,20,0)))</x:f>
        <x:v>23.006225680933852</x:v>
      </x:c>
      <x:c r="K7" s="129" t="str">
        <x:f>IF(J7&gt;=70,"HIGH",IF(J7&gt;=45,"MEDIUM","LOW"))</x:f>
        <x:v>LOW</x:v>
      </x:c>
      <x:c r="L7" s="130" t="str">
        <x:v>Assumption</x:v>
      </x:c>
    </x:row>
    <x:row r="8" ht="22" customHeight="1">
      <x:c r="A8" s="131" t="str">
        <x:v>Legacy</x:v>
      </x:c>
      <x:c r="B8" s="132" t="str">
        <x:v>Foreign Institutional</x:v>
      </x:c>
      <x:c r="C8" s="132" t="n">
        <x:v>19100</x:v>
      </x:c>
      <x:c r="D8" s="132" t="n">
        <x:v>760</x:v>
      </x:c>
      <x:c r="E8" s="132" t="n">
        <x:v>710</x:v>
      </x:c>
      <x:c r="F8" s="132" t="n">
        <x:f>C8+D8-E8</x:f>
        <x:v>19150</x:v>
      </x:c>
      <x:c r="G8" s="132" t="n">
        <x:v>44</x:v>
      </x:c>
      <x:c r="H8" s="139" t="n">
        <x:v>-0.009</x:v>
      </x:c>
      <x:c r="I8" s="139" t="n">
        <x:v>0.29</x:v>
      </x:c>
      <x:c r="J8" s="157" t="n">
        <x:f>MIN(100,MAX(0,E8/(C8+D8)*50+MAX(0,-H8)*800+I8*50+IF(G8&lt;6,20,0)))</x:f>
        <x:v>23.487512588116815</x:v>
      </x:c>
      <x:c r="K8" s="132" t="str">
        <x:f>IF(J8&gt;=70,"HIGH",IF(J8&gt;=45,"MEDIUM","LOW"))</x:f>
        <x:v>LOW</x:v>
      </x:c>
      <x:c r="L8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5" hidden="0" customWidth="1"/>
    <x:col min="11" max="11" width="20" hidden="0" customWidth="1"/>
    <x:col min="12" max="12" width="24" hidden="0" customWidth="1"/>
    <x:col min="13" max="13" width="18" hidden="0" customWidth="1"/>
  </x:cols>
  <x:sheetData>
    <x:row r="1" ht="28" customHeight="1">
      <x:c r="A1" s="118" t="str">
        <x:v>REGULATORY &amp; COMPLIANCE COCKPIT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0" customHeight="1">
      <x:c r="A2" s="121" t="str">
        <x:v>Illustrative controls only; legal/compliance owners must validate the applicable rule, threshold and evidence.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 ht="30" customHeight="1">
      <x:c r="A3" s="124" t="str">
        <x:v>Control_ID</x:v>
      </x:c>
      <x:c r="B3" s="124" t="str">
        <x:v>Fund_Code</x:v>
      </x:c>
      <x:c r="C3" s="124" t="str">
        <x:v>Control_Area</x:v>
      </x:c>
      <x:c r="D3" s="124" t="str">
        <x:v>Metric</x:v>
      </x:c>
      <x:c r="E3" s="124" t="str">
        <x:v>Current_Value</x:v>
      </x:c>
      <x:c r="F3" s="124" t="str">
        <x:v>Limit_Value</x:v>
      </x:c>
      <x:c r="G3" s="124" t="str">
        <x:v>Headroom</x:v>
      </x:c>
      <x:c r="H3" s="124" t="str">
        <x:v>Unit</x:v>
      </x:c>
      <x:c r="I3" s="124" t="str">
        <x:v>Status</x:v>
      </x:c>
      <x:c r="J3" s="124" t="str">
        <x:v>Due_Date</x:v>
      </x:c>
      <x:c r="K3" s="124" t="str">
        <x:v>Owner</x:v>
      </x:c>
      <x:c r="L3" s="124" t="str">
        <x:v>Evidence</x:v>
      </x:c>
      <x:c r="M3" s="124" t="str">
        <x:v>Source_Status</x:v>
      </x:c>
    </x:row>
    <x:row r="4" ht="22" customHeight="1">
      <x:c r="A4" s="125" t="str">
        <x:v>RC-001</x:v>
      </x:c>
      <x:c r="B4" s="126" t="str">
        <x:v>DCDS</x:v>
      </x:c>
      <x:c r="C4" s="126" t="str">
        <x:v>Concentration</x:v>
      </x:c>
      <x:c r="D4" s="126" t="str">
        <x:v>Largest issuer exposure</x:v>
      </x:c>
      <x:c r="E4" s="126" t="n">
        <x:v>8.5</x:v>
      </x:c>
      <x:c r="F4" s="126" t="n">
        <x:v>10</x:v>
      </x:c>
      <x:c r="G4" s="126" t="n">
        <x:f>IF(H4="days",E4-F4,F4-E4)</x:f>
        <x:v>1.5</x:v>
      </x:c>
      <x:c r="H4" s="126" t="str">
        <x:v>%</x:v>
      </x:c>
      <x:c r="I4" s="126" t="str">
        <x:v>Monitor</x:v>
      </x:c>
      <x:c r="J4" s="146" t="n">
        <x:v>46265</x:v>
      </x:c>
      <x:c r="K4" s="126" t="str">
        <x:v>Compliance</x:v>
      </x:c>
      <x:c r="L4" s="126" t="str">
        <x:v>Portfolio register</x:v>
      </x:c>
      <x:c r="M4" s="127" t="str">
        <x:v>Assumption</x:v>
      </x:c>
    </x:row>
    <x:row r="5" ht="22" customHeight="1">
      <x:c r="A5" s="128" t="str">
        <x:v>RC-002</x:v>
      </x:c>
      <x:c r="B5" s="129" t="str">
        <x:v>DCBF</x:v>
      </x:c>
      <x:c r="C5" s="129" t="str">
        <x:v>Liquidity</x:v>
      </x:c>
      <x:c r="D5" s="129" t="str">
        <x:v>Liquid assets coverage</x:v>
      </x:c>
      <x:c r="E5" s="129" t="n">
        <x:v>18</x:v>
      </x:c>
      <x:c r="F5" s="129" t="n">
        <x:v>15</x:v>
      </x:c>
      <x:c r="G5" s="129" t="n">
        <x:f>IF(H5="days",E5-F5,F5-E5)</x:f>
        <x:v>-3</x:v>
      </x:c>
      <x:c r="H5" s="129" t="str">
        <x:v>%</x:v>
      </x:c>
      <x:c r="I5" s="129" t="str">
        <x:v>Compliant</x:v>
      </x:c>
      <x:c r="J5" s="147" t="n">
        <x:v>46265</x:v>
      </x:c>
      <x:c r="K5" s="129" t="str">
        <x:v>Risk</x:v>
      </x:c>
      <x:c r="L5" s="129" t="str">
        <x:v>Liquidity report</x:v>
      </x:c>
      <x:c r="M5" s="130" t="str">
        <x:v>Assumption</x:v>
      </x:c>
    </x:row>
    <x:row r="6" ht="22" customHeight="1">
      <x:c r="A6" s="128" t="str">
        <x:v>RC-003</x:v>
      </x:c>
      <x:c r="B6" s="129" t="str">
        <x:v>FUEVFVND</x:v>
      </x:c>
      <x:c r="C6" s="129" t="str">
        <x:v>ETF</x:v>
      </x:c>
      <x:c r="D6" s="129" t="str">
        <x:v>Tracking error</x:v>
      </x:c>
      <x:c r="E6" s="129" t="n">
        <x:v>2.3</x:v>
      </x:c>
      <x:c r="F6" s="129" t="n">
        <x:v>3</x:v>
      </x:c>
      <x:c r="G6" s="129" t="n">
        <x:f>IF(H6="days",E6-F6,F6-E6)</x:f>
        <x:v>0.7000000000000002</x:v>
      </x:c>
      <x:c r="H6" s="129" t="str">
        <x:v>%</x:v>
      </x:c>
      <x:c r="I6" s="129" t="str">
        <x:v>Monitor</x:v>
      </x:c>
      <x:c r="J6" s="147" t="n">
        <x:v>46249</x:v>
      </x:c>
      <x:c r="K6" s="129" t="str">
        <x:v>CIO</x:v>
      </x:c>
      <x:c r="L6" s="129" t="str">
        <x:v>ETF calculation</x:v>
      </x:c>
      <x:c r="M6" s="130" t="str">
        <x:v>Assumption</x:v>
      </x:c>
    </x:row>
    <x:row r="7" ht="22" customHeight="1">
      <x:c r="A7" s="128" t="str">
        <x:v>RC-004</x:v>
      </x:c>
      <x:c r="B7" s="129" t="str">
        <x:v>ALL</x:v>
      </x:c>
      <x:c r="C7" s="129" t="str">
        <x:v>Disclosure</x:v>
      </x:c>
      <x:c r="D7" s="129" t="str">
        <x:v>Days to filing deadline</x:v>
      </x:c>
      <x:c r="E7" s="129" t="n">
        <x:v>6</x:v>
      </x:c>
      <x:c r="F7" s="129" t="n">
        <x:v>0</x:v>
      </x:c>
      <x:c r="G7" s="129" t="n">
        <x:f>IF(H7="days",E7-F7,F7-E7)</x:f>
        <x:v>6</x:v>
      </x:c>
      <x:c r="H7" s="129" t="str">
        <x:v>days</x:v>
      </x:c>
      <x:c r="I7" s="129" t="str">
        <x:v>Action</x:v>
      </x:c>
      <x:c r="J7" s="147" t="n">
        <x:v>46244</x:v>
      </x:c>
      <x:c r="K7" s="129" t="str">
        <x:v>Board Secretariat</x:v>
      </x:c>
      <x:c r="L7" s="129" t="str">
        <x:v>Disclosure calendar</x:v>
      </x:c>
      <x:c r="M7" s="130" t="str">
        <x:v>Assumption</x:v>
      </x:c>
    </x:row>
    <x:row r="8" ht="22" customHeight="1">
      <x:c r="A8" s="131" t="str">
        <x:v>RC-005</x:v>
      </x:c>
      <x:c r="B8" s="132" t="str">
        <x:v>ALL</x:v>
      </x:c>
      <x:c r="C8" s="132" t="str">
        <x:v>Related Parties</x:v>
      </x:c>
      <x:c r="D8" s="132" t="str">
        <x:v>Unreconciled related-party items</x:v>
      </x:c>
      <x:c r="E8" s="132" t="n">
        <x:v>2</x:v>
      </x:c>
      <x:c r="F8" s="132" t="n">
        <x:v>0</x:v>
      </x:c>
      <x:c r="G8" s="132" t="n">
        <x:f>IF(H8="days",E8-F8,F8-E8)</x:f>
        <x:v>-2</x:v>
      </x:c>
      <x:c r="H8" s="132" t="str">
        <x:v>count</x:v>
      </x:c>
      <x:c r="I8" s="132" t="str">
        <x:v>Action</x:v>
      </x:c>
      <x:c r="J8" s="148" t="n">
        <x:v>46246</x:v>
      </x:c>
      <x:c r="K8" s="132" t="str">
        <x:v>Compliance</x:v>
      </x:c>
      <x:c r="L8" s="132" t="str">
        <x:v>Governance report</x:v>
      </x:c>
      <x:c r="M8" s="133" t="str">
        <x:v>Working hypothesis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0" hidden="0" customWidth="1"/>
    <x:col min="4" max="4" width="18" hidden="0" customWidth="1"/>
    <x:col min="5" max="5" width="22" hidden="0" customWidth="1"/>
    <x:col min="6" max="6" width="23" hidden="0" customWidth="1"/>
    <x:col min="7" max="7" width="21" hidden="0" customWidth="1"/>
    <x:col min="8" max="8" width="17" hidden="0" customWidth="1"/>
    <x:col min="9" max="9" width="15" hidden="0" customWidth="1"/>
    <x:col min="10" max="10" width="20" hidden="0" customWidth="1"/>
    <x:col min="11" max="11" width="16" hidden="0" customWidth="1"/>
  </x:cols>
  <x:sheetData>
    <x:row r="1" ht="28" customHeight="1">
      <x:c r="A1" s="118" t="str">
        <x:v>PRODUCT STRATEGY LAB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Decision score combines demand, economics, distribution, capability and regulation; assumptions must be validated before product approval.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Product_Idea</x:v>
      </x:c>
      <x:c r="B3" s="124" t="str">
        <x:v>Market_Demand</x:v>
      </x:c>
      <x:c r="C3" s="124" t="str">
        <x:v>Revenue_Potential</x:v>
      </x:c>
      <x:c r="D3" s="124" t="str">
        <x:v>Distribution_Fit</x:v>
      </x:c>
      <x:c r="E3" s="124" t="str">
        <x:v>Investment_Capability</x:v>
      </x:c>
      <x:c r="F3" s="124" t="str">
        <x:v>Regulatory_Feasibility</x:v>
      </x:c>
      <x:c r="G3" s="124" t="str">
        <x:v>Cannibalisation_Risk</x:v>
      </x:c>
      <x:c r="H3" s="124" t="str">
        <x:v>Weighted_Score</x:v>
      </x:c>
      <x:c r="I3" s="124" t="str">
        <x:v>Decision</x:v>
      </x:c>
      <x:c r="J3" s="124" t="str">
        <x:v>Owner</x:v>
      </x:c>
      <x:c r="K3" s="124" t="str">
        <x:v>Source_Status</x:v>
      </x:c>
    </x:row>
    <x:row r="4" ht="22" customHeight="1">
      <x:c r="A4" s="125" t="str">
        <x:v>Money Market Fund</x:v>
      </x:c>
      <x:c r="B4" s="126" t="n">
        <x:v>8</x:v>
      </x:c>
      <x:c r="C4" s="126" t="n">
        <x:v>8</x:v>
      </x:c>
      <x:c r="D4" s="126" t="n">
        <x:v>9</x:v>
      </x:c>
      <x:c r="E4" s="126" t="n">
        <x:v>8</x:v>
      </x:c>
      <x:c r="F4" s="126" t="n">
        <x:v>8</x:v>
      </x:c>
      <x:c r="G4" s="126" t="n">
        <x:v>3</x:v>
      </x:c>
      <x:c r="H4" s="126" t="n">
        <x:f>B4*0.2+C4*0.2+D4*0.2+E4*0.15+F4*0.2-G4*0.05</x:f>
        <x:v>7.65</x:v>
      </x:c>
      <x:c r="I4" s="126" t="str">
        <x:f>IF(H4&gt;=7.5,"PILOT",IF(H4&gt;=6,"MONITOR","HOLD"))</x:f>
        <x:v>PILOT</x:v>
      </x:c>
      <x:c r="J4" s="126" t="str">
        <x:v>Product</x:v>
      </x:c>
      <x:c r="K4" s="127" t="str">
        <x:v>Assumption</x:v>
      </x:c>
    </x:row>
    <x:row r="5" ht="22" customHeight="1">
      <x:c r="A5" s="128" t="str">
        <x:v>Retirement Fund</x:v>
      </x:c>
      <x:c r="B5" s="129" t="n">
        <x:v>8</x:v>
      </x:c>
      <x:c r="C5" s="129" t="n">
        <x:v>7</x:v>
      </x:c>
      <x:c r="D5" s="129" t="n">
        <x:v>8</x:v>
      </x:c>
      <x:c r="E5" s="129" t="n">
        <x:v>7</x:v>
      </x:c>
      <x:c r="F5" s="129" t="n">
        <x:v>7</x:v>
      </x:c>
      <x:c r="G5" s="129" t="n">
        <x:v>2</x:v>
      </x:c>
      <x:c r="H5" s="129" t="n">
        <x:f>B5*0.2+C5*0.2+D5*0.2+E5*0.15+F5*0.2-G5*0.05</x:f>
        <x:v>6.95</x:v>
      </x:c>
      <x:c r="I5" s="129" t="str">
        <x:f>IF(H5&gt;=7.5,"PILOT",IF(H5&gt;=6,"MONITOR","HOLD"))</x:f>
        <x:v>MONITOR</x:v>
      </x:c>
      <x:c r="J5" s="129" t="str">
        <x:v>Strategy</x:v>
      </x:c>
      <x:c r="K5" s="130" t="str">
        <x:v>Assumption</x:v>
      </x:c>
    </x:row>
    <x:row r="6" ht="22" customHeight="1">
      <x:c r="A6" s="128" t="str">
        <x:v>Sector ETF</x:v>
      </x:c>
      <x:c r="B6" s="129" t="n">
        <x:v>7</x:v>
      </x:c>
      <x:c r="C6" s="129" t="n">
        <x:v>7</x:v>
      </x:c>
      <x:c r="D6" s="129" t="n">
        <x:v>8</x:v>
      </x:c>
      <x:c r="E6" s="129" t="n">
        <x:v>9</x:v>
      </x:c>
      <x:c r="F6" s="129" t="n">
        <x:v>8</x:v>
      </x:c>
      <x:c r="G6" s="129" t="n">
        <x:v>5</x:v>
      </x:c>
      <x:c r="H6" s="129" t="n">
        <x:f>B6*0.2+C6*0.2+D6*0.2+E6*0.15+F6*0.2-G6*0.05</x:f>
        <x:v>7.1</x:v>
      </x:c>
      <x:c r="I6" s="129" t="str">
        <x:f>IF(H6&gt;=7.5,"PILOT",IF(H6&gt;=6,"MONITOR","HOLD"))</x:f>
        <x:v>MONITOR</x:v>
      </x:c>
      <x:c r="J6" s="129" t="str">
        <x:v>ETF Team</x:v>
      </x:c>
      <x:c r="K6" s="130" t="str">
        <x:v>Assumption</x:v>
      </x:c>
    </x:row>
    <x:row r="7" ht="22" customHeight="1">
      <x:c r="A7" s="128" t="str">
        <x:v>ESG Equity Fund</x:v>
      </x:c>
      <x:c r="B7" s="129" t="n">
        <x:v>6</x:v>
      </x:c>
      <x:c r="C7" s="129" t="n">
        <x:v>6</x:v>
      </x:c>
      <x:c r="D7" s="129" t="n">
        <x:v>7</x:v>
      </x:c>
      <x:c r="E7" s="129" t="n">
        <x:v>7</x:v>
      </x:c>
      <x:c r="F7" s="129" t="n">
        <x:v>8</x:v>
      </x:c>
      <x:c r="G7" s="129" t="n">
        <x:v>4</x:v>
      </x:c>
      <x:c r="H7" s="129" t="n">
        <x:f>B7*0.2+C7*0.2+D7*0.2+E7*0.15+F7*0.2-G7*0.05</x:f>
        <x:v>6.250000000000001</x:v>
      </x:c>
      <x:c r="I7" s="129" t="str">
        <x:f>IF(H7&gt;=7.5,"PILOT",IF(H7&gt;=6,"MONITOR","HOLD"))</x:f>
        <x:v>MONITOR</x:v>
      </x:c>
      <x:c r="J7" s="129" t="str">
        <x:v>Product</x:v>
      </x:c>
      <x:c r="K7" s="130" t="str">
        <x:v>Assumption</x:v>
      </x:c>
    </x:row>
    <x:row r="8" ht="22" customHeight="1">
      <x:c r="A8" s="131" t="str">
        <x:v>Private Credit Platform</x:v>
      </x:c>
      <x:c r="B8" s="132" t="n">
        <x:v>7</x:v>
      </x:c>
      <x:c r="C8" s="132" t="n">
        <x:v>9</x:v>
      </x:c>
      <x:c r="D8" s="132" t="n">
        <x:v>5</x:v>
      </x:c>
      <x:c r="E8" s="132" t="n">
        <x:v>5</x:v>
      </x:c>
      <x:c r="F8" s="132" t="n">
        <x:v>4</x:v>
      </x:c>
      <x:c r="G8" s="132" t="n">
        <x:v>7</x:v>
      </x:c>
      <x:c r="H8" s="132" t="n">
        <x:f>B8*0.2+C8*0.2+D8*0.2+E8*0.15+F8*0.2-G8*0.05</x:f>
        <x:v>5.4</x:v>
      </x:c>
      <x:c r="I8" s="132" t="str">
        <x:f>IF(H8&gt;=7.5,"PILOT",IF(H8&gt;=6,"MONITOR","HOLD"))</x:f>
        <x:v>HOLD</x:v>
      </x:c>
      <x:c r="J8" s="132" t="str">
        <x:v>Strategy / Legal</x:v>
      </x:c>
      <x:c r="K8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BUSINESS PLAN &amp; KPI CONTROL TOWER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Actual/Budget/Forecast values are illustrative. Variances are calculated in-sheet for auditability.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KPI</x:v>
      </x:c>
      <x:c r="B3" s="124" t="str">
        <x:v>Unit</x:v>
      </x:c>
      <x:c r="C3" s="124" t="str">
        <x:v>Actual_YTD</x:v>
      </x:c>
      <x:c r="D3" s="124" t="str">
        <x:v>Budget_YTD</x:v>
      </x:c>
      <x:c r="E3" s="124" t="str">
        <x:v>Variance_Abs</x:v>
      </x:c>
      <x:c r="F3" s="124" t="str">
        <x:v>Variance_Pct</x:v>
      </x:c>
      <x:c r="G3" s="124" t="str">
        <x:v>FY_Forecast</x:v>
      </x:c>
      <x:c r="H3" s="124" t="str">
        <x:v>FY_Plan</x:v>
      </x:c>
      <x:c r="I3" s="124" t="str">
        <x:v>Forecast_vs_Plan_Pct</x:v>
      </x:c>
      <x:c r="J3" s="124" t="str">
        <x:v>Owner</x:v>
      </x:c>
      <x:c r="K3" s="124" t="str">
        <x:v>Status</x:v>
      </x:c>
      <x:c r="L3" s="124" t="str">
        <x:v>Source_Status</x:v>
      </x:c>
    </x:row>
    <x:row r="4" ht="22" customHeight="1">
      <x:c r="A4" s="125" t="str">
        <x:v>Average AUM</x:v>
      </x:c>
      <x:c r="B4" s="126" t="str">
        <x:v>VND bn</x:v>
      </x:c>
      <x:c r="C4" s="126" t="n">
        <x:v>132000</x:v>
      </x:c>
      <x:c r="D4" s="126" t="n">
        <x:v>135000</x:v>
      </x:c>
      <x:c r="E4" s="126" t="n">
        <x:f>C4-D4</x:f>
        <x:v>-3000</x:v>
      </x:c>
      <x:c r="F4" s="137" t="n">
        <x:f>IFERROR(E4/D4,0)</x:f>
        <x:v>-0.022222222222222223</x:v>
      </x:c>
      <x:c r="G4" s="126" t="n">
        <x:v>141000</x:v>
      </x:c>
      <x:c r="H4" s="126" t="n">
        <x:v>148000</x:v>
      </x:c>
      <x:c r="I4" s="137" t="n">
        <x:f>IFERROR(G4/H4-1,0)</x:f>
        <x:v>-0.04729729729729726</x:v>
      </x:c>
      <x:c r="J4" s="126" t="str">
        <x:v>CEO / Distribution</x:v>
      </x:c>
      <x:c r="K4" s="126" t="str">
        <x:f>IF(I4&gt;=0,"ON TRACK",IF(I4&gt;=-0.05,"WATCH","OFF TRACK"))</x:f>
        <x:v>WATCH</x:v>
      </x:c>
      <x:c r="L4" s="127" t="str">
        <x:v>Assumption</x:v>
      </x:c>
    </x:row>
    <x:row r="5" ht="22" customHeight="1">
      <x:c r="A5" s="128" t="str">
        <x:v>Net flow</x:v>
      </x:c>
      <x:c r="B5" s="129" t="str">
        <x:v>VND bn</x:v>
      </x:c>
      <x:c r="C5" s="129" t="n">
        <x:v>2100</x:v>
      </x:c>
      <x:c r="D5" s="129" t="n">
        <x:v>4200</x:v>
      </x:c>
      <x:c r="E5" s="129" t="n">
        <x:f>C5-D5</x:f>
        <x:v>-2100</x:v>
      </x:c>
      <x:c r="F5" s="138" t="n">
        <x:f>IFERROR(E5/D5,0)</x:f>
        <x:v>-0.5</x:v>
      </x:c>
      <x:c r="G5" s="129" t="n">
        <x:v>4800</x:v>
      </x:c>
      <x:c r="H5" s="129" t="n">
        <x:v>8500</x:v>
      </x:c>
      <x:c r="I5" s="138" t="n">
        <x:f>IFERROR(G5/H5-1,0)</x:f>
        <x:v>-0.43529411764705883</x:v>
      </x:c>
      <x:c r="J5" s="129" t="str">
        <x:v>Distribution</x:v>
      </x:c>
      <x:c r="K5" s="129" t="str">
        <x:f>IF(I5&gt;=0,"ON TRACK",IF(I5&gt;=-0.05,"WATCH","OFF TRACK"))</x:f>
        <x:v>OFF TRACK</x:v>
      </x:c>
      <x:c r="L5" s="130" t="str">
        <x:v>Assumption</x:v>
      </x:c>
    </x:row>
    <x:row r="6" ht="22" customHeight="1">
      <x:c r="A6" s="128" t="str">
        <x:v>Revenue</x:v>
      </x:c>
      <x:c r="B6" s="129" t="str">
        <x:v>VND bn</x:v>
      </x:c>
      <x:c r="C6" s="129" t="n">
        <x:v>935</x:v>
      </x:c>
      <x:c r="D6" s="129" t="n">
        <x:v>970</x:v>
      </x:c>
      <x:c r="E6" s="129" t="n">
        <x:f>C6-D6</x:f>
        <x:v>-35</x:v>
      </x:c>
      <x:c r="F6" s="138" t="n">
        <x:f>IFERROR(E6/D6,0)</x:f>
        <x:v>-0.03608247422680412</x:v>
      </x:c>
      <x:c r="G6" s="129" t="n">
        <x:v>1940</x:v>
      </x:c>
      <x:c r="H6" s="129" t="n">
        <x:v>2070</x:v>
      </x:c>
      <x:c r="I6" s="138" t="n">
        <x:f>IFERROR(G6/H6-1,0)</x:f>
        <x:v>-0.0628019323671497</x:v>
      </x:c>
      <x:c r="J6" s="129" t="str">
        <x:v>CFO</x:v>
      </x:c>
      <x:c r="K6" s="129" t="str">
        <x:f>IF(I6&gt;=0,"ON TRACK",IF(I6&gt;=-0.05,"WATCH","OFF TRACK"))</x:f>
        <x:v>OFF TRACK</x:v>
      </x:c>
      <x:c r="L6" s="130" t="str">
        <x:v>Assumption</x:v>
      </x:c>
    </x:row>
    <x:row r="7" ht="22" customHeight="1">
      <x:c r="A7" s="128" t="str">
        <x:v>NPAT</x:v>
      </x:c>
      <x:c r="B7" s="129" t="str">
        <x:v>VND bn</x:v>
      </x:c>
      <x:c r="C7" s="129" t="n">
        <x:v>382</x:v>
      </x:c>
      <x:c r="D7" s="129" t="n">
        <x:v>410</x:v>
      </x:c>
      <x:c r="E7" s="129" t="n">
        <x:f>C7-D7</x:f>
        <x:v>-28</x:v>
      </x:c>
      <x:c r="F7" s="138" t="n">
        <x:f>IFERROR(E7/D7,0)</x:f>
        <x:v>-0.06829268292682927</x:v>
      </x:c>
      <x:c r="G7" s="129" t="n">
        <x:v>790</x:v>
      </x:c>
      <x:c r="H7" s="129" t="n">
        <x:v>865</x:v>
      </x:c>
      <x:c r="I7" s="138" t="n">
        <x:f>IFERROR(G7/H7-1,0)</x:f>
        <x:v>-0.08670520231213874</x:v>
      </x:c>
      <x:c r="J7" s="129" t="str">
        <x:v>CFO</x:v>
      </x:c>
      <x:c r="K7" s="129" t="str">
        <x:f>IF(I7&gt;=0,"ON TRACK",IF(I7&gt;=-0.05,"WATCH","OFF TRACK"))</x:f>
        <x:v>OFF TRACK</x:v>
      </x:c>
      <x:c r="L7" s="130" t="str">
        <x:v>Assumption</x:v>
      </x:c>
    </x:row>
    <x:row r="8" ht="22" customHeight="1">
      <x:c r="A8" s="128" t="str">
        <x:v>Active investors</x:v>
      </x:c>
      <x:c r="B8" s="129" t="str">
        <x:v>count</x:v>
      </x:c>
      <x:c r="C8" s="129" t="n">
        <x:v>39325</x:v>
      </x:c>
      <x:c r="D8" s="129" t="n">
        <x:v>42000</x:v>
      </x:c>
      <x:c r="E8" s="129" t="n">
        <x:f>C8-D8</x:f>
        <x:v>-2675</x:v>
      </x:c>
      <x:c r="F8" s="138" t="n">
        <x:f>IFERROR(E8/D8,0)</x:f>
        <x:v>-0.06369047619047619</x:v>
      </x:c>
      <x:c r="G8" s="129" t="n">
        <x:v>44800</x:v>
      </x:c>
      <x:c r="H8" s="129" t="n">
        <x:v>50000</x:v>
      </x:c>
      <x:c r="I8" s="138" t="n">
        <x:f>IFERROR(G8/H8-1,0)</x:f>
        <x:v>-0.10399999999999998</x:v>
      </x:c>
      <x:c r="J8" s="129" t="str">
        <x:v>Distribution</x:v>
      </x:c>
      <x:c r="K8" s="129" t="str">
        <x:f>IF(I8&gt;=0,"ON TRACK",IF(I8&gt;=-0.05,"WATCH","OFF TRACK"))</x:f>
        <x:v>OFF TRACK</x:v>
      </x:c>
      <x:c r="L8" s="130" t="str">
        <x:v>Assumption</x:v>
      </x:c>
    </x:row>
    <x:row r="9" ht="22" customHeight="1">
      <x:c r="A9" s="131" t="str">
        <x:v>Funds above benchmark</x:v>
      </x:c>
      <x:c r="B9" s="132" t="str">
        <x:v>%</x:v>
      </x:c>
      <x:c r="C9" s="139" t="n">
        <x:v>0.67</x:v>
      </x:c>
      <x:c r="D9" s="139" t="n">
        <x:v>0.75</x:v>
      </x:c>
      <x:c r="E9" s="132" t="n">
        <x:f>C9-D9</x:f>
        <x:v>-0.07999999999999996</x:v>
      </x:c>
      <x:c r="F9" s="139" t="n">
        <x:f>IFERROR(E9/D9,0)</x:f>
        <x:v>-0.10666666666666662</x:v>
      </x:c>
      <x:c r="G9" s="139" t="n">
        <x:v>0.7</x:v>
      </x:c>
      <x:c r="H9" s="139" t="n">
        <x:v>0.75</x:v>
      </x:c>
      <x:c r="I9" s="139" t="n">
        <x:f>IFERROR(G9/H9-1,0)</x:f>
        <x:v>-0.06666666666666676</x:v>
      </x:c>
      <x:c r="J9" s="132" t="str">
        <x:v>CIO</x:v>
      </x:c>
      <x:c r="K9" s="132" t="str">
        <x:f>IF(I9&gt;=0,"ON TRACK",IF(I9&gt;=-0.05,"WATCH","OFF TRACK"))</x:f>
        <x:v>OFF TRACK</x:v>
      </x:c>
      <x:c r="L9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42" hidden="0" customWidth="1"/>
    <x:col min="5" max="5" width="13" hidden="0" customWidth="1"/>
    <x:col min="6" max="6" width="18" hidden="0" customWidth="1"/>
    <x:col min="7" max="7" width="19" hidden="0" customWidth="1"/>
    <x:col min="8" max="8" width="20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18" hidden="0" customWidth="1"/>
    <x:col min="14" max="14" width="28" hidden="0" customWidth="1"/>
    <x:col min="15" max="15" width="15" hidden="0" customWidth="1"/>
    <x:col min="16" max="16" width="20" hidden="0" customWidth="1"/>
  </x:cols>
  <x:sheetData>
    <x:row r="1" ht="28" customHeight="1">
      <x:c r="A1" s="118" t="str">
        <x:v>DECISION &amp; RECOMMENDATION TRACKER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</x:row>
    <x:row r="2" ht="30" customHeight="1">
      <x:c r="A2" s="121" t="str">
        <x:v>Closed-loop governance: evidence → recommendation → decision → accountable execution → measured outcome.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</x:row>
    <x:row r="3" ht="30" customHeight="1">
      <x:c r="A3" s="124" t="str">
        <x:v>Decision_ID</x:v>
      </x:c>
      <x:c r="B3" s="124" t="str">
        <x:v>Date_Raised</x:v>
      </x:c>
      <x:c r="C3" s="124" t="str">
        <x:v>Domain</x:v>
      </x:c>
      <x:c r="D3" s="124" t="str">
        <x:v>Recommendation</x:v>
      </x:c>
      <x:c r="E3" s="124" t="str">
        <x:v>Priority</x:v>
      </x:c>
      <x:c r="F3" s="124" t="str">
        <x:v>Decision_Status</x:v>
      </x:c>
      <x:c r="G3" s="124" t="str">
        <x:v>Decision_Owner</x:v>
      </x:c>
      <x:c r="H3" s="124" t="str">
        <x:v>Action_Owner</x:v>
      </x:c>
      <x:c r="I3" s="124" t="str">
        <x:v>Due_Date</x:v>
      </x:c>
      <x:c r="J3" s="124" t="str">
        <x:v>Progress_Pct</x:v>
      </x:c>
      <x:c r="K3" s="124" t="str">
        <x:v>Expected_Value_VND_bn</x:v>
      </x:c>
      <x:c r="L3" s="124" t="str">
        <x:v>Realised_Value_VND_bn</x:v>
      </x:c>
      <x:c r="M3" s="124" t="str">
        <x:v>Outcome</x:v>
      </x:c>
      <x:c r="N3" s="124" t="str">
        <x:v>Evidence_Reference</x:v>
      </x:c>
      <x:c r="O3" s="124" t="str">
        <x:v>Last_Update</x:v>
      </x:c>
      <x:c r="P3" s="124" t="str">
        <x:v>Source_Status</x:v>
      </x:c>
    </x:row>
    <x:row r="4" ht="22" customHeight="1">
      <x:c r="A4" s="125" t="str">
        <x:v>DEC-001</x:v>
      </x:c>
      <x:c r="B4" s="146" t="n">
        <x:v>46227</x:v>
      </x:c>
      <x:c r="C4" s="126" t="str">
        <x:v>Ownership</x:v>
      </x:c>
      <x:c r="D4" s="126" t="str">
        <x:v>Reconcile shareholder register and governance report</x:v>
      </x:c>
      <x:c r="E4" s="126" t="str">
        <x:v>HIGH</x:v>
      </x:c>
      <x:c r="F4" s="126" t="str">
        <x:v>Approved</x:v>
      </x:c>
      <x:c r="G4" s="126" t="str">
        <x:v>Board</x:v>
      </x:c>
      <x:c r="H4" s="126" t="str">
        <x:v>Board Secretariat</x:v>
      </x:c>
      <x:c r="I4" s="146" t="n">
        <x:v>46249</x:v>
      </x:c>
      <x:c r="J4" s="149" t="n">
        <x:v>0.55</x:v>
      </x:c>
      <x:c r="K4" s="126" t="n">
        <x:v>0</x:v>
      </x:c>
      <x:c r="L4" s="126" t="n">
        <x:v>0</x:v>
      </x:c>
      <x:c r="M4" s="126" t="str">
        <x:v>In progress</x:v>
      </x:c>
      <x:c r="N4" s="126" t="str">
        <x:v>M&amp;A_Events / Board_Events</x:v>
      </x:c>
      <x:c r="O4" s="146" t="n">
        <x:v>46235</x:v>
      </x:c>
      <x:c r="P4" s="127" t="str">
        <x:v>Working hypothesis</x:v>
      </x:c>
    </x:row>
    <x:row r="5" ht="22" customHeight="1">
      <x:c r="A5" s="128" t="str">
        <x:v>DEC-002</x:v>
      </x:c>
      <x:c r="B5" s="147" t="n">
        <x:v>46231</x:v>
      </x:c>
      <x:c r="C5" s="129" t="str">
        <x:v>Distribution</x:v>
      </x:c>
      <x:c r="D5" s="129" t="str">
        <x:v>Review redemption drivers by channel</x:v>
      </x:c>
      <x:c r="E5" s="129" t="str">
        <x:v>HIGH</x:v>
      </x:c>
      <x:c r="F5" s="129" t="str">
        <x:v>Approved</x:v>
      </x:c>
      <x:c r="G5" s="129" t="str">
        <x:v>CEO</x:v>
      </x:c>
      <x:c r="H5" s="129" t="str">
        <x:v>Distribution</x:v>
      </x:c>
      <x:c r="I5" s="147" t="n">
        <x:v>46265</x:v>
      </x:c>
      <x:c r="J5" s="150" t="n">
        <x:v>0.35</x:v>
      </x:c>
      <x:c r="K5" s="129" t="n">
        <x:v>45</x:v>
      </x:c>
      <x:c r="L5" s="129" t="n">
        <x:v>0</x:v>
      </x:c>
      <x:c r="M5" s="129" t="str">
        <x:v>In progress</x:v>
      </x:c>
      <x:c r="N5" s="129" t="str">
        <x:v>Distribution_Channels</x:v>
      </x:c>
      <x:c r="O5" s="147" t="n">
        <x:v>46235</x:v>
      </x:c>
      <x:c r="P5" s="130" t="str">
        <x:v>Assumption</x:v>
      </x:c>
    </x:row>
    <x:row r="6" ht="22" customHeight="1">
      <x:c r="A6" s="128" t="str">
        <x:v>DEC-003</x:v>
      </x:c>
      <x:c r="B6" s="147" t="n">
        <x:v>46233</x:v>
      </x:c>
      <x:c r="C6" s="129" t="str">
        <x:v>Product</x:v>
      </x:c>
      <x:c r="D6" s="129" t="str">
        <x:v>Prepare money-market fund pilot business case</x:v>
      </x:c>
      <x:c r="E6" s="129" t="str">
        <x:v>MEDIUM</x:v>
      </x:c>
      <x:c r="F6" s="129" t="str">
        <x:v>Under review</x:v>
      </x:c>
      <x:c r="G6" s="129" t="str">
        <x:v>CEO</x:v>
      </x:c>
      <x:c r="H6" s="129" t="str">
        <x:v>Product</x:v>
      </x:c>
      <x:c r="I6" s="147" t="n">
        <x:v>46280</x:v>
      </x:c>
      <x:c r="J6" s="150" t="n">
        <x:v>0.15</x:v>
      </x:c>
      <x:c r="K6" s="129" t="n">
        <x:v>60</x:v>
      </x:c>
      <x:c r="L6" s="129" t="n">
        <x:v>0</x:v>
      </x:c>
      <x:c r="M6" s="129" t="str">
        <x:v>Business case</x:v>
      </x:c>
      <x:c r="N6" s="129" t="str">
        <x:v>Product_Strategy</x:v>
      </x:c>
      <x:c r="O6" s="147" t="n">
        <x:v>46235</x:v>
      </x:c>
      <x:c r="P6" s="130" t="str">
        <x:v>Assumption</x:v>
      </x:c>
    </x:row>
    <x:row r="7" ht="22" customHeight="1">
      <x:c r="A7" s="131" t="str">
        <x:v>DEC-004</x:v>
      </x:c>
      <x:c r="B7" s="148" t="n">
        <x:v>46235</x:v>
      </x:c>
      <x:c r="C7" s="132" t="str">
        <x:v>Compliance</x:v>
      </x:c>
      <x:c r="D7" s="132" t="str">
        <x:v>Close related-party reconciliation gaps</x:v>
      </x:c>
      <x:c r="E7" s="132" t="str">
        <x:v>HIGH</x:v>
      </x:c>
      <x:c r="F7" s="132" t="str">
        <x:v>Approved</x:v>
      </x:c>
      <x:c r="G7" s="132" t="str">
        <x:v>CRO</x:v>
      </x:c>
      <x:c r="H7" s="132" t="str">
        <x:v>Compliance</x:v>
      </x:c>
      <x:c r="I7" s="148" t="n">
        <x:v>46246</x:v>
      </x:c>
      <x:c r="J7" s="151" t="n">
        <x:v>0.45</x:v>
      </x:c>
      <x:c r="K7" s="132" t="n">
        <x:v>0</x:v>
      </x:c>
      <x:c r="L7" s="132" t="n">
        <x:v>0</x:v>
      </x:c>
      <x:c r="M7" s="132" t="str">
        <x:v>In progress</x:v>
      </x:c>
      <x:c r="N7" s="132" t="str">
        <x:v>Regulatory_Compliance</x:v>
      </x:c>
      <x:c r="O7" s="148" t="n">
        <x:v>46236</x:v>
      </x:c>
      <x:c r="P7" s="133" t="str">
        <x:v>Working hypothesis</x:v>
      </x:c>
    </x:row>
  </x:sheetData>
  <x:mergeCells>
    <x:mergeCell ref="A1:P1"/>
    <x:mergeCell ref="A2:P2"/>
  </x:mergeCells>
  <x:dataValidations count="2">
    <x:dataValidation type="list" sqref="E4:E200">
      <x:formula1>"HIGH,MEDIUM,LOW"</x:formula1>
    </x:dataValidation>
    <x:dataValidation type="list" sqref="F4:F200">
      <x:formula1>"Proposed,Under review,Approved,Rejected,Closed"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8" hidden="0" customWidth="1"/>
    <x:col min="5" max="5" width="14" hidden="0" customWidth="1"/>
    <x:col min="6" max="6" width="14" hidden="0" customWidth="1"/>
    <x:col min="7" max="7" width="48" hidden="0" customWidth="1"/>
    <x:col min="8" max="8" width="18" hidden="0" customWidth="1"/>
    <x:col min="9" max="9" width="28" hidden="0" customWidth="1"/>
    <x:col min="10" max="10" width="16" hidden="0" customWidth="1"/>
  </x:cols>
  <x:sheetData>
    <x:row r="1" ht="28" customHeight="1">
      <x:c r="A1" s="159" t="str">
        <x:v>MACRO &amp; LIQUIDITY INDICATORS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>
      <x:c r="A2" s="162" t="str">
        <x:v>Illustrative operating inputs. Replace values and source metadata with verified releases; platform calculations read this sheet from Master Excel.</x:v>
      </x:c>
      <x:c r="B2" s="162"/>
      <x:c r="C2" s="162"/>
      <x:c r="D2" s="162"/>
      <x:c r="E2" s="162"/>
      <x:c r="F2" s="162"/>
      <x:c r="G2" s="162"/>
      <x:c r="H2" s="162"/>
      <x:c r="I2" s="162"/>
      <x:c r="J2" s="162"/>
    </x:row>
    <x:row r="3" ht="30" customHeight="1">
      <x:c r="A3" s="165" t="str">
        <x:v>As_of</x:v>
      </x:c>
      <x:c r="B3" s="165" t="str">
        <x:v>Indicator</x:v>
      </x:c>
      <x:c r="C3" s="165" t="str">
        <x:v>Current_Value</x:v>
      </x:c>
      <x:c r="D3" s="165" t="str">
        <x:v>Previous_Value</x:v>
      </x:c>
      <x:c r="E3" s="165" t="str">
        <x:v>Unit</x:v>
      </x:c>
      <x:c r="F3" s="165" t="str">
        <x:v>Direction</x:v>
      </x:c>
      <x:c r="G3" s="165" t="str">
        <x:v>Market_Implication</x:v>
      </x:c>
      <x:c r="H3" s="165" t="str">
        <x:v>Source_Status</x:v>
      </x:c>
      <x:c r="I3" s="165" t="str">
        <x:v>Source_Reference</x:v>
      </x:c>
      <x:c r="J3" s="165" t="str">
        <x:v>Owner</x:v>
      </x:c>
    </x:row>
    <x:row r="4">
      <x:c r="A4" s="166" t="n">
        <x:v>46203</x:v>
      </x:c>
      <x:c r="B4" s="126" t="str">
        <x:v>CPI YoY</x:v>
      </x:c>
      <x:c r="C4" s="126" t="n">
        <x:v>3.6</x:v>
      </x:c>
      <x:c r="D4" s="126" t="n">
        <x:v>3.4</x:v>
      </x:c>
      <x:c r="E4" s="126" t="str">
        <x:v>%</x:v>
      </x:c>
      <x:c r="F4" s="126" t="str">
        <x:v>Up</x:v>
      </x:c>
      <x:c r="G4" s="126" t="str">
        <x:v>Inflation pressure may limit policy easing.</x:v>
      </x:c>
      <x:c r="H4" s="126" t="str">
        <x:v>Assumption</x:v>
      </x:c>
      <x:c r="I4" s="126" t="str">
        <x:v>GSO / official release</x:v>
      </x:c>
      <x:c r="J4" s="127" t="str">
        <x:v>Strategy</x:v>
      </x:c>
    </x:row>
    <x:row r="5">
      <x:c r="A5" s="167" t="n">
        <x:v>46203</x:v>
      </x:c>
      <x:c r="B5" s="129" t="str">
        <x:v>Credit Growth YTD</x:v>
      </x:c>
      <x:c r="C5" s="129" t="n">
        <x:v>8.2</x:v>
      </x:c>
      <x:c r="D5" s="129" t="n">
        <x:v>6.4</x:v>
      </x:c>
      <x:c r="E5" s="129" t="str">
        <x:v>%</x:v>
      </x:c>
      <x:c r="F5" s="129" t="str">
        <x:v>Up</x:v>
      </x:c>
      <x:c r="G5" s="129" t="str">
        <x:v>Supports earnings and market liquidity; monitor asset quality.</x:v>
      </x:c>
      <x:c r="H5" s="129" t="str">
        <x:v>Assumption</x:v>
      </x:c>
      <x:c r="I5" s="129" t="str">
        <x:v>SBV / official release</x:v>
      </x:c>
      <x:c r="J5" s="130" t="str">
        <x:v>Strategy</x:v>
      </x:c>
    </x:row>
    <x:row r="6">
      <x:c r="A6" s="167" t="n">
        <x:v>46203</x:v>
      </x:c>
      <x:c r="B6" s="129" t="str">
        <x:v>M2 Growth YoY</x:v>
      </x:c>
      <x:c r="C6" s="129" t="n">
        <x:v>11.4</x:v>
      </x:c>
      <x:c r="D6" s="129" t="n">
        <x:v>10.8</x:v>
      </x:c>
      <x:c r="E6" s="129" t="str">
        <x:v>%</x:v>
      </x:c>
      <x:c r="F6" s="129" t="str">
        <x:v>Up</x:v>
      </x:c>
      <x:c r="G6" s="129" t="str">
        <x:v>Improving system liquidity is supportive for risk assets.</x:v>
      </x:c>
      <x:c r="H6" s="129" t="str">
        <x:v>Assumption</x:v>
      </x:c>
      <x:c r="I6" s="129" t="str">
        <x:v>SBV / official release</x:v>
      </x:c>
      <x:c r="J6" s="130" t="str">
        <x:v>Strategy</x:v>
      </x:c>
    </x:row>
    <x:row r="7">
      <x:c r="A7" s="167" t="n">
        <x:v>46237</x:v>
      </x:c>
      <x:c r="B7" s="129" t="str">
        <x:v>USD/VND</x:v>
      </x:c>
      <x:c r="C7" s="129" t="n">
        <x:v>26320</x:v>
      </x:c>
      <x:c r="D7" s="129" t="n">
        <x:v>26110</x:v>
      </x:c>
      <x:c r="E7" s="129" t="str">
        <x:v>VND/USD</x:v>
      </x:c>
      <x:c r="F7" s="129" t="str">
        <x:v>Up</x:v>
      </x:c>
      <x:c r="G7" s="129" t="str">
        <x:v>FX pressure may affect foreign flows and policy flexibility.</x:v>
      </x:c>
      <x:c r="H7" s="129" t="str">
        <x:v>Assumption</x:v>
      </x:c>
      <x:c r="I7" s="129" t="str">
        <x:v>SBV / market reference</x:v>
      </x:c>
      <x:c r="J7" s="130" t="str">
        <x:v>Risk</x:v>
      </x:c>
    </x:row>
    <x:row r="8">
      <x:c r="A8" s="167" t="n">
        <x:v>46237</x:v>
      </x:c>
      <x:c r="B8" s="129" t="str">
        <x:v>Policy Rate</x:v>
      </x:c>
      <x:c r="C8" s="129" t="n">
        <x:v>4.5</x:v>
      </x:c>
      <x:c r="D8" s="129" t="n">
        <x:v>4.5</x:v>
      </x:c>
      <x:c r="E8" s="129" t="str">
        <x:v>%</x:v>
      </x:c>
      <x:c r="F8" s="129" t="str">
        <x:v>Flat</x:v>
      </x:c>
      <x:c r="G8" s="129" t="str">
        <x:v>Stable policy setting; watch interbank transmission.</x:v>
      </x:c>
      <x:c r="H8" s="129" t="str">
        <x:v>Assumption</x:v>
      </x:c>
      <x:c r="I8" s="129" t="str">
        <x:v>SBV</x:v>
      </x:c>
      <x:c r="J8" s="130" t="str">
        <x:v>Strategy</x:v>
      </x:c>
    </x:row>
    <x:row r="9">
      <x:c r="A9" s="167" t="n">
        <x:v>46237</x:v>
      </x:c>
      <x:c r="B9" s="129" t="str">
        <x:v>10Y Government Bond Yield</x:v>
      </x:c>
      <x:c r="C9" s="129" t="n">
        <x:v>3.45</x:v>
      </x:c>
      <x:c r="D9" s="129" t="n">
        <x:v>3.32</x:v>
      </x:c>
      <x:c r="E9" s="129" t="str">
        <x:v>%</x:v>
      </x:c>
      <x:c r="F9" s="129" t="str">
        <x:v>Up</x:v>
      </x:c>
      <x:c r="G9" s="129" t="str">
        <x:v>Higher discount rate can pressure equity valuation.</x:v>
      </x:c>
      <x:c r="H9" s="129" t="str">
        <x:v>Assumption</x:v>
      </x:c>
      <x:c r="I9" s="129" t="str">
        <x:v>HNX / market reference</x:v>
      </x:c>
      <x:c r="J9" s="130" t="str">
        <x:v>Risk</x:v>
      </x:c>
    </x:row>
    <x:row r="10">
      <x:c r="A10" s="168" t="n">
        <x:v>46234</x:v>
      </x:c>
      <x:c r="B10" s="132" t="str">
        <x:v>PMI</x:v>
      </x:c>
      <x:c r="C10" s="132" t="n">
        <x:v>51.2</x:v>
      </x:c>
      <x:c r="D10" s="132" t="n">
        <x:v>50.5</x:v>
      </x:c>
      <x:c r="E10" s="132" t="str">
        <x:v>index</x:v>
      </x:c>
      <x:c r="F10" s="132" t="str">
        <x:v>Up</x:v>
      </x:c>
      <x:c r="G10" s="132" t="str">
        <x:v>Expansion signal supports cyclical sectors.</x:v>
      </x:c>
      <x:c r="H10" s="132" t="str">
        <x:v>Assumption</x:v>
      </x:c>
      <x:c r="I10" s="132" t="str">
        <x:v>S&amp;P Global / public release</x:v>
      </x:c>
      <x:c r="J10" s="133" t="str">
        <x:v>Strategy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6" hidden="0" customWidth="1"/>
    <x:col min="4" max="4" width="14" hidden="0" customWidth="1"/>
    <x:col min="5" max="5" width="15" hidden="0" customWidth="1"/>
    <x:col min="6" max="6" width="13" hidden="0" customWidth="1"/>
    <x:col min="7" max="7" width="18" hidden="0" customWidth="1"/>
    <x:col min="8" max="8" width="15" hidden="0" customWidth="1"/>
    <x:col min="9" max="9" width="48" hidden="0" customWidth="1"/>
    <x:col min="10" max="10" width="18" hidden="0" customWidth="1"/>
  </x:cols>
  <x:sheetData>
    <x:row r="1" ht="28" customHeight="1">
      <x:c r="A1" s="159" t="str">
        <x:v>OPERATING PERFORMANCE &amp; SERVICE QUALITY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>
      <x:c r="A2" s="162" t="str">
        <x:v>Management-operating indicators replace rumor-driven monitoring. Actual values remain illustrative until connected to verified internal systems.</x:v>
      </x:c>
      <x:c r="B2" s="162"/>
      <x:c r="C2" s="162"/>
      <x:c r="D2" s="162"/>
      <x:c r="E2" s="162"/>
      <x:c r="F2" s="162"/>
      <x:c r="G2" s="162"/>
      <x:c r="H2" s="162"/>
      <x:c r="I2" s="162"/>
      <x:c r="J2" s="162"/>
    </x:row>
    <x:row r="3" ht="30" customHeight="1">
      <x:c r="A3" s="165" t="str">
        <x:v>KPI</x:v>
      </x:c>
      <x:c r="B3" s="165" t="str">
        <x:v>Current_Value</x:v>
      </x:c>
      <x:c r="C3" s="165" t="str">
        <x:v>Target_Value</x:v>
      </x:c>
      <x:c r="D3" s="165" t="str">
        <x:v>Unit</x:v>
      </x:c>
      <x:c r="E3" s="165" t="str">
        <x:v>Status</x:v>
      </x:c>
      <x:c r="F3" s="165" t="str">
        <x:v>Trend</x:v>
      </x:c>
      <x:c r="G3" s="165" t="str">
        <x:v>Owner</x:v>
      </x:c>
      <x:c r="H3" s="165" t="str">
        <x:v>Frequency</x:v>
      </x:c>
      <x:c r="I3" s="165" t="str">
        <x:v>Management_Action</x:v>
      </x:c>
      <x:c r="J3" s="165" t="str">
        <x:v>Source_Status</x:v>
      </x:c>
    </x:row>
    <x:row r="4">
      <x:c r="A4" s="125" t="str">
        <x:v>Revenue / Average AUM</x:v>
      </x:c>
      <x:c r="B4" s="137" t="n">
        <x:v>0.0147</x:v>
      </x:c>
      <x:c r="C4" s="137" t="n">
        <x:v>0.015</x:v>
      </x:c>
      <x:c r="D4" s="126" t="str">
        <x:v>%</x:v>
      </x:c>
      <x:c r="E4" s="126" t="str">
        <x:v>Watch</x:v>
      </x:c>
      <x:c r="F4" s="126" t="str">
        <x:v>Down</x:v>
      </x:c>
      <x:c r="G4" s="126" t="str">
        <x:v>CFO</x:v>
      </x:c>
      <x:c r="H4" s="126" t="str">
        <x:v>Monthly</x:v>
      </x:c>
      <x:c r="I4" s="126" t="str">
        <x:v>Review fee mix and low-margin products.</x:v>
      </x:c>
      <x:c r="J4" s="127" t="str">
        <x:v>Assumption</x:v>
      </x:c>
    </x:row>
    <x:row r="5">
      <x:c r="A5" s="128" t="str">
        <x:v>Cost / Average AUM</x:v>
      </x:c>
      <x:c r="B5" s="138" t="n">
        <x:v>0.0061</x:v>
      </x:c>
      <x:c r="C5" s="138" t="n">
        <x:v>0.0058</x:v>
      </x:c>
      <x:c r="D5" s="129" t="str">
        <x:v>%</x:v>
      </x:c>
      <x:c r="E5" s="129" t="str">
        <x:v>Watch</x:v>
      </x:c>
      <x:c r="F5" s="129" t="str">
        <x:v>Up</x:v>
      </x:c>
      <x:c r="G5" s="129" t="str">
        <x:v>CFO</x:v>
      </x:c>
      <x:c r="H5" s="129" t="str">
        <x:v>Validate product and channel cost allocation.</x:v>
      </x:c>
      <x:c r="I5" s="129" t="str">
        <x:v>Assumption</x:v>
      </x:c>
      <x:c r="J5" s="130"/>
    </x:row>
    <x:row r="6">
      <x:c r="A6" s="128" t="str">
        <x:v>NPAT Margin</x:v>
      </x:c>
      <x:c r="B6" s="138" t="n">
        <x:v>0.409</x:v>
      </x:c>
      <x:c r="C6" s="138" t="n">
        <x:v>0.42</x:v>
      </x:c>
      <x:c r="D6" s="129" t="str">
        <x:v>%</x:v>
      </x:c>
      <x:c r="E6" s="129" t="str">
        <x:v>Watch</x:v>
      </x:c>
      <x:c r="F6" s="129" t="str">
        <x:v>Flat</x:v>
      </x:c>
      <x:c r="G6" s="129" t="str">
        <x:v>CFO</x:v>
      </x:c>
      <x:c r="H6" s="129" t="str">
        <x:v>Protect operating leverage through cost discipline.</x:v>
      </x:c>
      <x:c r="I6" s="129" t="str">
        <x:v>Assumption</x:v>
      </x:c>
      <x:c r="J6" s="130"/>
    </x:row>
    <x:row r="7">
      <x:c r="A7" s="128" t="str">
        <x:v>NAV Calculation Exceptions</x:v>
      </x:c>
      <x:c r="B7" s="129" t="n">
        <x:v>2</x:v>
      </x:c>
      <x:c r="C7" s="129" t="n">
        <x:v>0</x:v>
      </x:c>
      <x:c r="D7" s="129" t="str">
        <x:v>count</x:v>
      </x:c>
      <x:c r="E7" s="129" t="str">
        <x:v>Action</x:v>
      </x:c>
      <x:c r="F7" s="129" t="str">
        <x:v>Up</x:v>
      </x:c>
      <x:c r="G7" s="129" t="str">
        <x:v>Operations</x:v>
      </x:c>
      <x:c r="H7" s="129" t="str">
        <x:v>Daily</x:v>
      </x:c>
      <x:c r="I7" s="129" t="str">
        <x:v>Close exceptions and document root causes.</x:v>
      </x:c>
      <x:c r="J7" s="130" t="str">
        <x:v>Assumption</x:v>
      </x:c>
    </x:row>
    <x:row r="8">
      <x:c r="A8" s="128" t="str">
        <x:v>Regulatory Reports On Time</x:v>
      </x:c>
      <x:c r="B8" s="138" t="n">
        <x:v>0.98</x:v>
      </x:c>
      <x:c r="C8" s="138" t="n">
        <x:v>1</x:v>
      </x:c>
      <x:c r="D8" s="129" t="str">
        <x:v>%</x:v>
      </x:c>
      <x:c r="E8" s="129" t="str">
        <x:v>Watch</x:v>
      </x:c>
      <x:c r="F8" s="129" t="str">
        <x:v>Flat</x:v>
      </x:c>
      <x:c r="G8" s="129" t="str">
        <x:v>Compliance</x:v>
      </x:c>
      <x:c r="H8" s="129" t="str">
        <x:v>Monthly</x:v>
      </x:c>
      <x:c r="I8" s="129" t="str">
        <x:v>Escalate upcoming deadlines and evidence gaps.</x:v>
      </x:c>
      <x:c r="J8" s="130" t="str">
        <x:v>Assumption</x:v>
      </x:c>
    </x:row>
    <x:row r="9">
      <x:c r="A9" s="128" t="str">
        <x:v>Management Actions Closed</x:v>
      </x:c>
      <x:c r="B9" s="138" t="n">
        <x:v>0.62</x:v>
      </x:c>
      <x:c r="C9" s="138" t="n">
        <x:v>0.8</x:v>
      </x:c>
      <x:c r="D9" s="129" t="str">
        <x:v>%</x:v>
      </x:c>
      <x:c r="E9" s="129" t="str">
        <x:v>Off track</x:v>
      </x:c>
      <x:c r="F9" s="129" t="str">
        <x:v>Up</x:v>
      </x:c>
      <x:c r="G9" s="129" t="str">
        <x:v>CEO Office</x:v>
      </x:c>
      <x:c r="H9" s="129" t="str">
        <x:v>Monthly</x:v>
      </x:c>
      <x:c r="I9" s="129" t="str">
        <x:v>Reassign overdue actions and enforce deadlines.</x:v>
      </x:c>
      <x:c r="J9" s="130" t="str">
        <x:v>Assumption</x:v>
      </x:c>
    </x:row>
    <x:row r="10">
      <x:c r="A10" s="131" t="str">
        <x:v>Investor Service SLA</x:v>
      </x:c>
      <x:c r="B10" s="139" t="n">
        <x:v>0.94</x:v>
      </x:c>
      <x:c r="C10" s="139" t="n">
        <x:v>0.97</x:v>
      </x:c>
      <x:c r="D10" s="132" t="str">
        <x:v>%</x:v>
      </x:c>
      <x:c r="E10" s="132" t="str">
        <x:v>Watch</x:v>
      </x:c>
      <x:c r="F10" s="132" t="str">
        <x:v>Flat</x:v>
      </x:c>
      <x:c r="G10" s="132" t="str">
        <x:v>Operations</x:v>
      </x:c>
      <x:c r="H10" s="132" t="str">
        <x:v>Monthly</x:v>
      </x:c>
      <x:c r="I10" s="132" t="str">
        <x:v>Review service bottlenecks by channel.</x:v>
      </x:c>
      <x:c r="J10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170" t="str">
        <x:v>DCVFM CORPORATE PERFORMANCE, RISK &amp; MANAGEMENT INTELLIGENCE MASTER V4.2</x:v>
      </x:c>
      <x:c r="B1" s="170"/>
    </x:row>
    <x:row r="2">
      <x:c r="A2" s="173" t="str">
        <x:v>Single controlled input for the Streamlit platform. Live market data is retrieved separately through Vnstock.</x:v>
      </x:c>
      <x:c r="B2" s="173"/>
    </x:row>
    <x:row r="3">
      <x:c r="A3" s="176" t="str">
        <x:v>Item</x:v>
      </x:c>
      <x:c r="B3" s="176" t="str">
        <x:v>Description</x:v>
      </x:c>
    </x:row>
    <x:row r="4">
      <x:c r="A4" s="125" t="str">
        <x:v>Purpose</x:v>
      </x:c>
      <x:c r="B4" s="127" t="str">
        <x:v>Monitor fund performance, AUM, flows, portfolio, financials, operating KPIs, risk, compliance and management execution.</x:v>
      </x:c>
    </x:row>
    <x:row r="5">
      <x:c r="A5" s="128" t="str">
        <x:v>Update method</x:v>
      </x:c>
      <x:c r="B5" s="130" t="str">
        <x:v>Update this workbook or upload a replacement in the app; no code change is required for company inputs.</x:v>
      </x:c>
    </x:row>
    <x:row r="6">
      <x:c r="A6" s="128" t="str">
        <x:v>Market data</x:v>
      </x:c>
      <x:c r="B6" s="130" t="str">
        <x:v>VN-Index OHLCV is retrieved dynamically through Vnstock with cache and clearly labelled fallback.</x:v>
      </x:c>
    </x:row>
    <x:row r="7">
      <x:c r="A7" s="128" t="str">
        <x:v>Data status</x:v>
      </x:c>
      <x:c r="B7" s="130" t="str">
        <x:v>Rows marked Assumption are illustrative and must be replaced with verified internal or public data.</x:v>
      </x:c>
    </x:row>
    <x:row r="8">
      <x:c r="A8" s="128" t="str">
        <x:v>Author</x:v>
      </x:c>
      <x:c r="B8" s="130" t="str">
        <x:v>Le Hoang Quan</x:v>
      </x:c>
    </x:row>
    <x:row r="9">
      <x:c r="A9" s="128" t="str">
        <x:v>Version</x:v>
      </x:c>
      <x:c r="B9" s="130" t="str">
        <x:v>V4.2</x:v>
      </x:c>
    </x:row>
    <x:row r="10">
      <x:c r="A10" s="128" t="str">
        <x:v>Core modules</x:v>
      </x:c>
      <x:c r="B10" s="130" t="str">
        <x:v>18 consolidated operating and management tabs</x:v>
      </x:c>
    </x:row>
    <x:row r="11">
      <x:c r="A11" s="128" t="str">
        <x:v>Macro_Indicators</x:v>
      </x:c>
      <x:c r="B11" s="130" t="str">
        <x:v>Macro and liquidity inputs with source status and management implication.</x:v>
      </x:c>
    </x:row>
    <x:row r="12">
      <x:c r="A12" s="128" t="str">
        <x:v>Operating_KPI</x:v>
      </x:c>
      <x:c r="B12" s="130" t="str">
        <x:v>Service quality, reporting, productivity and execution controls.</x:v>
      </x:c>
    </x:row>
    <x:row r="13">
      <x:c r="A13" s="128" t="str">
        <x:v>Decision_Tracker</x:v>
      </x:c>
      <x:c r="B13" s="130" t="str">
        <x:v>Closed-loop recommendation, owner, deadline, progress and outcome tracking.</x:v>
      </x:c>
    </x:row>
    <x:row r="14">
      <x:c r="A14" s="131" t="str">
        <x:v>Important</x:v>
      </x:c>
      <x:c r="B14" s="133" t="str">
        <x:v>V4.2 focuses exclusively on company operations, performance, risk, compliance and management execution.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15" hidden="0" customWidth="1"/>
  </x:cols>
  <x:sheetData>
    <x:row r="1" ht="28" customHeight="1">
      <x:c r="A1" s="170" t="str">
        <x:v>MODEL ASSUMPTIONS</x:v>
      </x:c>
      <x:c r="B1" s="170"/>
      <x:c r="C1" s="170"/>
      <x:c r="D1" s="170"/>
    </x:row>
    <x:row r="2">
      <x:c r="A2" s="173" t="str">
        <x:v>Editable operating and market assumptions; validate all inputs before formal use.</x:v>
      </x:c>
      <x:c r="B2" s="173"/>
      <x:c r="C2" s="173"/>
      <x:c r="D2" s="173"/>
    </x:row>
    <x:row r="3">
      <x:c r="A3" s="176" t="str">
        <x:v>Assumption</x:v>
      </x:c>
      <x:c r="B3" s="176" t="str">
        <x:v>Value</x:v>
      </x:c>
      <x:c r="C3" s="176" t="str">
        <x:v>Description</x:v>
      </x:c>
      <x:c r="D3" s="176" t="str">
        <x:v>Source_ID</x:v>
      </x:c>
    </x:row>
    <x:row r="4">
      <x:c r="A4" s="125" t="str">
        <x:v>Risk_Free_Rate</x:v>
      </x:c>
      <x:c r="B4" s="126" t="n">
        <x:v>0.045</x:v>
      </x:c>
      <x:c r="C4" s="126" t="str">
        <x:v>Illustrative financial-model assumption</x:v>
      </x:c>
      <x:c r="D4" s="127" t="str">
        <x:v>S004</x:v>
      </x:c>
    </x:row>
    <x:row r="5">
      <x:c r="A5" s="128" t="str">
        <x:v>Market_Data_Start</x:v>
      </x:c>
      <x:c r="B5" s="129" t="str">
        <x:v>2025-01-01</x:v>
      </x:c>
      <x:c r="C5" s="129" t="str">
        <x:v>Vnstock fetch start</x:v>
      </x:c>
      <x:c r="D5" s="130" t="str">
        <x:v>S002</x:v>
      </x:c>
    </x:row>
    <x:row r="6">
      <x:c r="A6" s="128" t="str">
        <x:v>Market_Data_End</x:v>
      </x:c>
      <x:c r="B6" s="129" t="str">
        <x:v>TODAY</x:v>
      </x:c>
      <x:c r="C6" s="129" t="str">
        <x:v>Vnstock fetch end</x:v>
      </x:c>
      <x:c r="D6" s="130" t="str">
        <x:v>S002</x:v>
      </x:c>
    </x:row>
    <x:row r="7">
      <x:c r="A7" s="128" t="str">
        <x:v>Macro_Update_Frequency</x:v>
      </x:c>
      <x:c r="B7" s="129" t="str">
        <x:v>Monthly</x:v>
      </x:c>
      <x:c r="C7" s="129" t="str">
        <x:v>Target refresh cadence for macro inputs</x:v>
      </x:c>
      <x:c r="D7" s="130" t="str">
        <x:v>S004</x:v>
      </x:c>
    </x:row>
    <x:row r="8">
      <x:c r="A8" s="131" t="str">
        <x:v>Operating_KPI_Frequency</x:v>
      </x:c>
      <x:c r="B8" s="132" t="str">
        <x:v>Monthly</x:v>
      </x:c>
      <x:c r="C8" s="132" t="str">
        <x:v>Target management-review cadence</x:v>
      </x:c>
      <x:c r="D8" s="133" t="str">
        <x:v>S004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16" hidden="0" customWidth="1"/>
    <x:col min="5" max="5" width="20" hidden="0" customWidth="1"/>
    <x:col min="6" max="6" width="15" hidden="0" customWidth="1"/>
    <x:col min="7" max="7" width="14" hidden="0" customWidth="1"/>
    <x:col min="8" max="8" width="55" hidden="0" customWidth="1"/>
    <x:col min="9" max="9" width="13" hidden="0" customWidth="1"/>
    <x:col min="10" max="10" width="20" hidden="0" customWidth="1"/>
  </x:cols>
  <x:sheetData>
    <x:row r="1" ht="28" customHeight="1">
      <x:c r="A1" s="170" t="str">
        <x:v>NEWS &amp; OPERATING EVENTS</x:v>
      </x:c>
      <x:c r="B1" s="170"/>
      <x:c r="C1" s="170"/>
      <x:c r="D1" s="170"/>
      <x:c r="E1" s="170"/>
      <x:c r="F1" s="170"/>
      <x:c r="G1" s="170"/>
      <x:c r="H1" s="170"/>
      <x:c r="I1" s="170"/>
      <x:c r="J1" s="170"/>
    </x:row>
    <x:row r="2">
      <x:c r="A2" s="173" t="str">
        <x:v>Event log is limited to company operations, products, markets, governance and regulatory matters.</x:v>
      </x:c>
      <x:c r="B2" s="173"/>
      <x:c r="C2" s="173"/>
      <x:c r="D2" s="173"/>
      <x:c r="E2" s="173"/>
      <x:c r="F2" s="173"/>
      <x:c r="G2" s="173"/>
      <x:c r="H2" s="173"/>
      <x:c r="I2" s="173"/>
      <x:c r="J2" s="173"/>
    </x:row>
    <x:row r="3">
      <x:c r="A3" s="176" t="str">
        <x:v>Date</x:v>
      </x:c>
      <x:c r="B3" s="176" t="str">
        <x:v>Event_Type</x:v>
      </x:c>
      <x:c r="C3" s="176" t="str">
        <x:v>Headline</x:v>
      </x:c>
      <x:c r="D3" s="176" t="str">
        <x:v>Entity</x:v>
      </x:c>
      <x:c r="E3" s="176" t="str">
        <x:v>Sentiment_Minus2_2</x:v>
      </x:c>
      <x:c r="F3" s="176" t="str">
        <x:v>Impact_1_5</x:v>
      </x:c>
      <x:c r="G3" s="176" t="str">
        <x:v>Verified</x:v>
      </x:c>
      <x:c r="H3" s="176" t="str">
        <x:v>Management_Implication</x:v>
      </x:c>
      <x:c r="I3" s="176" t="str">
        <x:v>Source_ID</x:v>
      </x:c>
      <x:c r="J3" s="176" t="str">
        <x:v>Status</x:v>
      </x:c>
    </x:row>
    <x:row r="4">
      <x:c r="A4" s="166" t="n">
        <x:v>46041</x:v>
      </x:c>
      <x:c r="B4" s="126" t="str">
        <x:v>Capital markets</x:v>
      </x:c>
      <x:c r="C4" s="126" t="str">
        <x:v>DCV commences UPCoM trading</x:v>
      </x:c>
      <x:c r="D4" s="126" t="str">
        <x:v>DCVFM</x:v>
      </x:c>
      <x:c r="E4" s="126" t="n">
        <x:v>1</x:v>
      </x:c>
      <x:c r="F4" s="126" t="n">
        <x:v>4</x:v>
      </x:c>
      <x:c r="G4" s="126" t="str">
        <x:v>Yes</x:v>
      </x:c>
      <x:c r="H4" s="126" t="str">
        <x:v>Strengthen listed-company disclosure and investor communication.</x:v>
      </x:c>
      <x:c r="I4" s="126" t="str">
        <x:v>S001</x:v>
      </x:c>
      <x:c r="J4" s="127" t="str">
        <x:v>Public</x:v>
      </x:c>
    </x:row>
    <x:row r="5">
      <x:c r="A5" s="167" t="n">
        <x:v>46161</x:v>
      </x:c>
      <x:c r="B5" s="129" t="str">
        <x:v>Governance</x:v>
      </x:c>
      <x:c r="C5" s="129" t="str">
        <x:v>Board succession event</x:v>
      </x:c>
      <x:c r="D5" s="129" t="str">
        <x:v>DCVFM</x:v>
      </x:c>
      <x:c r="E5" s="129" t="n">
        <x:v>0</x:v>
      </x:c>
      <x:c r="F5" s="129" t="n">
        <x:v>4</x:v>
      </x:c>
      <x:c r="G5" s="129" t="str">
        <x:v>Pending</x:v>
      </x:c>
      <x:c r="H5" s="129" t="str">
        <x:v>Confirm succession, responsibilities and governance continuity.</x:v>
      </x:c>
      <x:c r="I5" s="129" t="str">
        <x:v>S004</x:v>
      </x:c>
      <x:c r="J5" s="130" t="str">
        <x:v>Document required</x:v>
      </x:c>
    </x:row>
    <x:row r="6">
      <x:c r="A6" s="167" t="n">
        <x:v>46227</x:v>
      </x:c>
      <x:c r="B6" s="129" t="str">
        <x:v>Disclosure</x:v>
      </x:c>
      <x:c r="C6" s="129" t="str">
        <x:v>Semiannual governance report</x:v>
      </x:c>
      <x:c r="D6" s="129" t="str">
        <x:v>DCVFM</x:v>
      </x:c>
      <x:c r="E6" s="129" t="n">
        <x:v>0</x:v>
      </x:c>
      <x:c r="F6" s="129" t="n">
        <x:v>5</x:v>
      </x:c>
      <x:c r="G6" s="129" t="str">
        <x:v>Pending</x:v>
      </x:c>
      <x:c r="H6" s="129" t="str">
        <x:v>Reconcile governance, related parties and disclosure obligations.</x:v>
      </x:c>
      <x:c r="I6" s="129" t="str">
        <x:v>S004</x:v>
      </x:c>
      <x:c r="J6" s="130" t="str">
        <x:v>Document required</x:v>
      </x:c>
    </x:row>
    <x:row r="7">
      <x:c r="A7" s="168" t="n">
        <x:v>46235</x:v>
      </x:c>
      <x:c r="B7" s="132" t="str">
        <x:v>Operations</x:v>
      </x:c>
      <x:c r="C7" s="132" t="str">
        <x:v>Monthly operating KPI review</x:v>
      </x:c>
      <x:c r="D7" s="132" t="str">
        <x:v>DCVFM</x:v>
      </x:c>
      <x:c r="E7" s="132" t="n">
        <x:v>0</x:v>
      </x:c>
      <x:c r="F7" s="132" t="n">
        <x:v>4</x:v>
      </x:c>
      <x:c r="G7" s="132" t="str">
        <x:v>No</x:v>
      </x:c>
      <x:c r="H7" s="132" t="str">
        <x:v>Close NAV exceptions, overdue actions and reporting gaps.</x:v>
      </x:c>
      <x:c r="I7" s="132" t="str">
        <x:v>S004</x:v>
      </x:c>
      <x:c r="J7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70" hidden="0" customWidth="1"/>
    <x:col min="4" max="4" width="18" hidden="0" customWidth="1"/>
    <x:col min="5" max="5" width="80" hidden="0" customWidth="1"/>
    <x:col min="6" max="6" width="15" hidden="0" customWidth="1"/>
  </x:cols>
  <x:sheetData>
    <x:row r="1" ht="28" customHeight="1">
      <x:c r="A1" s="170" t="str">
        <x:v>SOURCES &amp; AUDIT LOG</x:v>
      </x:c>
      <x:c r="B1" s="170"/>
      <x:c r="C1" s="170"/>
      <x:c r="D1" s="170"/>
      <x:c r="E1" s="170"/>
      <x:c r="F1" s="170"/>
    </x:row>
    <x:row r="2">
      <x:c r="A2" s="173" t="str">
        <x:v>Public references and internal-model assumptions supporting operational monitoring.</x:v>
      </x:c>
      <x:c r="B2" s="173"/>
      <x:c r="C2" s="173"/>
      <x:c r="D2" s="173"/>
      <x:c r="E2" s="173"/>
      <x:c r="F2" s="173"/>
    </x:row>
    <x:row r="3">
      <x:c r="A3" s="176" t="str">
        <x:v>Source_ID</x:v>
      </x:c>
      <x:c r="B3" s="176" t="str">
        <x:v>Topic</x:v>
      </x:c>
      <x:c r="C3" s="176" t="str">
        <x:v>Description</x:v>
      </x:c>
      <x:c r="D3" s="176" t="str">
        <x:v>Data_Type</x:v>
      </x:c>
      <x:c r="E3" s="176" t="str">
        <x:v>URL</x:v>
      </x:c>
      <x:c r="F3" s="176" t="str">
        <x:v>As_of</x:v>
      </x:c>
    </x:row>
    <x:row r="4">
      <x:c r="A4" s="125" t="str">
        <x:v>S001</x:v>
      </x:c>
      <x:c r="B4" s="126" t="str">
        <x:v>Company profile</x:v>
      </x:c>
      <x:c r="C4" s="126" t="str">
        <x:v>DCVFM public company profile, AUM anchor and UPCoM trading information.</x:v>
      </x:c>
      <x:c r="D4" s="126" t="str">
        <x:v>Public</x:v>
      </x:c>
      <x:c r="E4" s="126" t="str">
        <x:v>https://www.dragoncapital.com/institutional/news/dragon-capital-vietnam-fund-management-commences-trading-of-its-shares-on-upcom/</x:v>
      </x:c>
      <x:c r="F4" s="127" t="str">
        <x:v>2025-12-31</x:v>
      </x:c>
    </x:row>
    <x:row r="5">
      <x:c r="A5" s="128" t="str">
        <x:v>S002</x:v>
      </x:c>
      <x:c r="B5" s="129" t="str">
        <x:v>Vnstock market data</x:v>
      </x:c>
      <x:c r="C5" s="129" t="str">
        <x:v>Vnstock Unified UI for index OHLCV and market analytics.</x:v>
      </x:c>
      <x:c r="D5" s="129" t="str">
        <x:v>Public</x:v>
      </x:c>
      <x:c r="E5" s="129" t="str">
        <x:v>https://vnstocks.com/docs</x:v>
      </x:c>
      <x:c r="F5" s="130" t="str">
        <x:v>2026-08-04</x:v>
      </x:c>
    </x:row>
    <x:row r="6">
      <x:c r="A6" s="128" t="str">
        <x:v>S003</x:v>
      </x:c>
      <x:c r="B6" s="129" t="str">
        <x:v>Vnstock library</x:v>
      </x:c>
      <x:c r="C6" s="129" t="str">
        <x:v>Official Vnstock project and Unified UI usage.</x:v>
      </x:c>
      <x:c r="D6" s="129" t="str">
        <x:v>Public</x:v>
      </x:c>
      <x:c r="E6" s="129" t="str">
        <x:v>https://github.com/thinh-vu/vnstock</x:v>
      </x:c>
      <x:c r="F6" s="130" t="str">
        <x:v>2026-08-04</x:v>
      </x:c>
    </x:row>
    <x:row r="7">
      <x:c r="A7" s="128" t="str">
        <x:v>S004</x:v>
      </x:c>
      <x:c r="B7" s="129" t="str">
        <x:v>Model assumptions</x:v>
      </x:c>
      <x:c r="C7" s="129" t="str">
        <x:v>Illustrative company, macro and operating inputs to be replaced with verified data.</x:v>
      </x:c>
      <x:c r="D7" s="129" t="str">
        <x:v>Assumption</x:v>
      </x:c>
      <x:c r="E7" s="129" t="str">
        <x:v>Internal model assumption</x:v>
      </x:c>
      <x:c r="F7" s="130" t="str">
        <x:v>2026-08-04</x:v>
      </x:c>
    </x:row>
    <x:row r="8">
      <x:c r="A8" s="131" t="str">
        <x:v>S005</x:v>
      </x:c>
      <x:c r="B8" s="132" t="str">
        <x:v>Operating model</x:v>
      </x:c>
      <x:c r="C8" s="132" t="str">
        <x:v>AUM-flow-market-fee-profit driver model and management KPI framework.</x:v>
      </x:c>
      <x:c r="D8" s="132" t="str">
        <x:v>Methodology</x:v>
      </x:c>
      <x:c r="E8" s="132" t="str">
        <x:v>Internal methodology</x:v>
      </x:c>
      <x:c r="F8" s="133" t="str">
        <x:v>2026-08-04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70" hidden="0" customWidth="1"/>
    <x:col min="4" max="4" width="55" hidden="0" customWidth="1"/>
    <x:col min="5" max="5" width="20" hidden="0" customWidth="1"/>
  </x:cols>
  <x:sheetData>
    <x:row r="1" ht="28" customHeight="1">
      <x:c r="A1" s="170" t="str">
        <x:v>VERSION HISTORY</x:v>
      </x:c>
      <x:c r="B1" s="170"/>
      <x:c r="C1" s="170"/>
      <x:c r="D1" s="170"/>
      <x:c r="E1" s="170"/>
    </x:row>
    <x:row r="2">
      <x:c r="A2" s="173" t="str">
        <x:v>User-facing change log for controlled platform updates.</x:v>
      </x:c>
      <x:c r="B2" s="173"/>
      <x:c r="C2" s="173"/>
      <x:c r="D2" s="173"/>
      <x:c r="E2" s="173"/>
    </x:row>
    <x:row r="3">
      <x:c r="A3" s="176" t="str">
        <x:v>Version</x:v>
      </x:c>
      <x:c r="B3" s="176" t="str">
        <x:v>Date</x:v>
      </x:c>
      <x:c r="C3" s="176" t="str">
        <x:v>Change</x:v>
      </x:c>
      <x:c r="D3" s="176" t="str">
        <x:v>Reason</x:v>
      </x:c>
      <x:c r="E3" s="176" t="str">
        <x:v>Owner</x:v>
      </x:c>
    </x:row>
    <x:row r="4">
      <x:c r="A4" s="125" t="str">
        <x:v>V4.2</x:v>
      </x:c>
      <x:c r="B4" s="146" t="n">
        <x:v>46238</x:v>
      </x:c>
      <x:c r="C4" s="126" t="str">
        <x:v>Refocused platform on operating management; upgraded tab 06 and retained the mobile KPI grid.</x:v>
      </x:c>
      <x:c r="D4" s="126" t="str">
        <x:v>Refocus platform on company operations and management.</x:v>
      </x:c>
      <x:c r="E4" s="127" t="str">
        <x:v>Le Hoang Quan</x:v>
      </x:c>
    </x:row>
    <x:row r="5">
      <x:c r="A5" s="131" t="str">
        <x:v>V4.1</x:v>
      </x:c>
      <x:c r="B5" s="148" t="n">
        <x:v>46238</x:v>
      </x:c>
      <x:c r="C5" s="132" t="str">
        <x:v>Secure Vnstock authentication and responsive metric-card improvements.</x:v>
      </x:c>
      <x:c r="D5" s="132" t="str">
        <x:v>Improve data access, clarity and mobile usability.</x:v>
      </x:c>
      <x:c r="E5" s="133" t="str">
        <x:v>Le Hoang Quan</x:v>
      </x:c>
    </x:row>
  </x:sheetData>
  <x:mergeCells>
    <x:mergeCell ref="A1:E1"/>
    <x:mergeCell ref="A2:E2"/>
  </x:mergeCells>
  <x:pageMargins left="0.7" right="0.7" top="0.75" bottom="0.75" header="0.3" footer="0.3"/>
</x:worksheet>
</file>